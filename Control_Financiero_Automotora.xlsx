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obantes" sheetId="1" state="visible" r:id="rId1"/>
    <sheet name="Instrucciones" sheetId="2" state="visible" r:id="rId2"/>
    <sheet name="Configuracion" sheetId="3" state="visible" r:id="rId3"/>
    <sheet name="Resumen" sheetId="4" state="visible" r:id="rId4"/>
    <sheet name="Estado_Resultados" sheetId="5" state="visible" r:id="rId5"/>
    <sheet name="Ventas_Autos" sheetId="6" state="visible" r:id="rId6"/>
    <sheet name="Taller_Repuestos" sheetId="7" state="visible" r:id="rId7"/>
    <sheet name="Otros_Ingresos" sheetId="8" state="visible" r:id="rId8"/>
    <sheet name="Gastos_Fijos" sheetId="9" state="visible" r:id="rId9"/>
    <sheet name="Gastos_Variables" sheetId="10" state="visible" r:id="rId10"/>
    <sheet name="IVA" sheetId="11" state="visible" r:id="rId11"/>
    <sheet name="PPM" sheetId="12" state="visible" r:id="rId12"/>
  </sheets>
  <definedNames>
    <definedName name="TasaIVA">Configuracion!$B$11</definedName>
    <definedName name="TasaPPM">Configuracion!$B$12</definedName>
    <definedName name="TasaRenta">Configuracion!$B$13</definedName>
    <definedName name="AnioTrabajo">Configuracion!$B$7</definedName>
    <definedName name="MesTrabajo">Configuracion!$B$8</definedName>
    <definedName name="_xlnm._FilterDatabase" localSheetId="0" hidden="1">'Comprobantes'!$A$5:$Q$2005</definedName>
    <definedName name="_xlnm._FilterDatabase" localSheetId="5" hidden="1">'Ventas_Autos'!$A$5:$Z$205</definedName>
    <definedName name="_xlnm._FilterDatabase" localSheetId="6" hidden="1">'Taller_Repuestos'!$A$5:$N$205</definedName>
    <definedName name="_xlnm._FilterDatabase" localSheetId="7" hidden="1">'Otros_Ingresos'!$A$5:$I$105</definedName>
    <definedName name="_xlnm._FilterDatabase" localSheetId="8" hidden="1">'Gastos_Fijos'!$A$5:$R$23</definedName>
    <definedName name="_xlnm._FilterDatabase" localSheetId="9" hidden="1">'Gastos_Variables'!$A$5:$R$20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DD/MM/YYYY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color rgb="00E2E8F0"/>
      <sz val="10"/>
    </font>
    <font>
      <name val="Calibri"/>
      <b val="1"/>
      <color rgb="001A365D"/>
      <sz val="13"/>
    </font>
    <font>
      <name val="Calibri"/>
      <color rgb="001A202C"/>
      <sz val="10"/>
    </font>
    <font>
      <name val="Calibri"/>
      <i val="1"/>
      <color rgb="00718096"/>
      <sz val="9"/>
    </font>
    <font>
      <name val="Calibri"/>
      <b val="1"/>
      <color rgb="001A365D"/>
      <sz val="10"/>
    </font>
    <font>
      <name val="Calibri"/>
      <color rgb="00744210"/>
      <sz val="10"/>
    </font>
    <font>
      <name val="Calibri"/>
      <color rgb="002A436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2744"/>
      <sz val="10"/>
    </font>
    <font>
      <name val="Calibri"/>
      <b val="1"/>
      <color rgb="000F2744"/>
      <sz val="11"/>
    </font>
    <font>
      <name val="Calibri"/>
      <b val="1"/>
      <color rgb="00276749"/>
      <sz val="10"/>
    </font>
    <font>
      <name val="Calibri"/>
      <color rgb="00FFFFFF"/>
      <sz val="11"/>
    </font>
    <font>
      <name val="Calibri"/>
      <color rgb="00E2E8F0"/>
      <sz val="11"/>
    </font>
    <font>
      <name val="Calibri"/>
      <b val="1"/>
      <color rgb="00FFFFFF"/>
      <sz val="9"/>
    </font>
    <font>
      <name val="Calibri"/>
      <b val="1"/>
      <color rgb="000F2744"/>
      <sz val="16"/>
    </font>
    <font>
      <name val="Calibri"/>
      <b val="1"/>
      <color rgb="00FFFFFF"/>
      <sz val="12"/>
    </font>
    <font>
      <name val="Calibri"/>
      <color rgb="001A365D"/>
      <sz val="11"/>
    </font>
  </fonts>
  <fills count="1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0F2744"/>
      </patternFill>
    </fill>
    <fill>
      <patternFill patternType="solid">
        <fgColor rgb="00FAF7F2"/>
      </patternFill>
    </fill>
    <fill>
      <patternFill patternType="solid">
        <fgColor rgb="00FFF8DC"/>
      </patternFill>
    </fill>
    <fill>
      <patternFill patternType="solid">
        <fgColor rgb="00EDF2F7"/>
      </patternFill>
    </fill>
    <fill>
      <patternFill patternType="solid">
        <fgColor rgb="00234E52"/>
      </patternFill>
    </fill>
    <fill>
      <patternFill patternType="solid">
        <fgColor rgb="00C9A227"/>
      </patternFill>
    </fill>
    <fill>
      <patternFill patternType="solid">
        <fgColor rgb="002C5282"/>
      </patternFill>
    </fill>
    <fill>
      <patternFill patternType="solid">
        <fgColor rgb="004A5568"/>
      </patternFill>
    </fill>
    <fill>
      <patternFill patternType="solid">
        <fgColor rgb="00C6F6D5"/>
      </patternFill>
    </fill>
    <fill>
      <patternFill patternType="solid">
        <fgColor rgb="00FFFFFF"/>
      </patternFill>
    </fill>
    <fill>
      <patternFill patternType="solid">
        <fgColor rgb="009B2C2C"/>
      </patternFill>
    </fill>
  </fills>
  <borders count="15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 style="medium">
        <color rgb="00C9A227"/>
      </left>
      <right style="medium">
        <color rgb="00C9A227"/>
      </right>
      <top style="medium">
        <color rgb="00C9A227"/>
      </top>
      <bottom style="medium">
        <color rgb="00C9A227"/>
      </bottom>
    </border>
    <border>
      <left style="thin">
        <color rgb="00CBD5E0"/>
      </left>
      <right/>
      <top/>
      <bottom/>
      <diagonal/>
    </border>
    <border>
      <left/>
      <right style="thin">
        <color rgb="00CBD5E0"/>
      </right>
      <top/>
      <bottom/>
      <diagonal/>
    </border>
    <border>
      <left style="thin">
        <color rgb="00CBD5E0"/>
      </left>
      <right/>
      <top/>
      <bottom style="thin">
        <color rgb="00CBD5E0"/>
      </bottom>
      <diagonal/>
    </border>
    <border>
      <left/>
      <right style="thin">
        <color rgb="00CBD5E0"/>
      </right>
      <top/>
      <bottom style="thin">
        <color rgb="00CBD5E0"/>
      </bottom>
      <diagonal/>
    </border>
    <border>
      <left/>
      <right/>
      <top style="medium">
        <color rgb="00C9A227"/>
      </top>
      <bottom/>
      <diagonal/>
    </border>
    <border>
      <left/>
      <right style="medium">
        <color rgb="00C9A227"/>
      </right>
      <top style="medium">
        <color rgb="00C9A227"/>
      </top>
      <bottom/>
      <diagonal/>
    </border>
    <border>
      <left/>
      <right/>
      <top style="medium">
        <color rgb="00C9A227"/>
      </top>
      <bottom style="medium">
        <color rgb="00C9A227"/>
      </bottom>
      <diagonal/>
    </border>
    <border>
      <left/>
      <right style="medium">
        <color rgb="00C9A227"/>
      </right>
      <top style="medium">
        <color rgb="00C9A227"/>
      </top>
      <bottom style="medium">
        <color rgb="00C9A227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" fillId="2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 wrapText="1"/>
    </xf>
    <xf numFmtId="1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16" fillId="3" borderId="0" pivotButton="0" quotePrefix="0" xfId="0"/>
    <xf numFmtId="0" fontId="17" fillId="2" borderId="6" applyAlignment="1" pivotButton="0" quotePrefix="0" xfId="0">
      <alignment horizontal="center" vertical="center"/>
    </xf>
    <xf numFmtId="0" fontId="0" fillId="2" borderId="6" pivotButton="0" quotePrefix="0" xfId="0"/>
    <xf numFmtId="164" fontId="18" fillId="4" borderId="6" applyAlignment="1" pivotButton="0" quotePrefix="0" xfId="0">
      <alignment horizontal="center" vertical="center" wrapText="1"/>
    </xf>
    <xf numFmtId="0" fontId="0" fillId="4" borderId="6" pivotButton="0" quotePrefix="0" xfId="0"/>
    <xf numFmtId="0" fontId="6" fillId="4" borderId="6" applyAlignment="1" pivotButton="0" quotePrefix="0" xfId="0">
      <alignment horizontal="center" vertical="center" wrapText="1"/>
    </xf>
    <xf numFmtId="0" fontId="19" fillId="9" borderId="0" pivotButton="0" quotePrefix="0" xfId="0"/>
    <xf numFmtId="0" fontId="19" fillId="13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164" fontId="9" fillId="6" borderId="1" applyAlignment="1" pivotButton="0" quotePrefix="0" xfId="0">
      <alignment horizontal="center" vertical="center"/>
    </xf>
    <xf numFmtId="10" fontId="9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1" fillId="2" borderId="1" pivotButton="0" quotePrefix="0" xfId="0"/>
    <xf numFmtId="164" fontId="11" fillId="2" borderId="1" applyAlignment="1" pivotButton="0" quotePrefix="0" xfId="0">
      <alignment horizontal="center" vertical="center"/>
    </xf>
    <xf numFmtId="10" fontId="11" fillId="2" borderId="1" applyAlignment="1" pivotButton="0" quotePrefix="0" xfId="0">
      <alignment horizontal="center" vertical="center"/>
    </xf>
    <xf numFmtId="0" fontId="14" fillId="11" borderId="1" pivotButton="0" quotePrefix="0" xfId="0"/>
    <xf numFmtId="164" fontId="14" fillId="11" borderId="1" applyAlignment="1" pivotButton="0" quotePrefix="0" xfId="0">
      <alignment horizontal="center" vertical="center"/>
    </xf>
    <xf numFmtId="10" fontId="14" fillId="11" borderId="1" applyAlignment="1" pivotButton="0" quotePrefix="0" xfId="0">
      <alignment horizontal="center" vertical="center"/>
    </xf>
    <xf numFmtId="0" fontId="12" fillId="8" borderId="1" pivotButton="0" quotePrefix="0" xfId="0"/>
    <xf numFmtId="164" fontId="12" fillId="8" borderId="1" applyAlignment="1" pivotButton="0" quotePrefix="0" xfId="0">
      <alignment horizontal="center" vertical="center"/>
    </xf>
    <xf numFmtId="10" fontId="12" fillId="8" borderId="1" applyAlignment="1" pivotButton="0" quotePrefix="0" xfId="0">
      <alignment horizontal="center" vertical="center"/>
    </xf>
    <xf numFmtId="0" fontId="11" fillId="3" borderId="1" pivotButton="0" quotePrefix="0" xfId="0"/>
    <xf numFmtId="164" fontId="11" fillId="3" borderId="1" applyAlignment="1" pivotButton="0" quotePrefix="0" xfId="0">
      <alignment horizontal="center" vertical="center"/>
    </xf>
    <xf numFmtId="10" fontId="11" fillId="3" borderId="1" applyAlignment="1" pivotButton="0" quotePrefix="0" xfId="0">
      <alignment horizontal="center" vertical="center"/>
    </xf>
    <xf numFmtId="0" fontId="0" fillId="9" borderId="0" pivotButton="0" quotePrefix="0" xfId="0"/>
    <xf numFmtId="0" fontId="20" fillId="4" borderId="0" applyAlignment="1" pivotButton="0" quotePrefix="0" xfId="0">
      <alignment vertical="top" wrapText="1" indent="1"/>
    </xf>
    <xf numFmtId="0" fontId="9" fillId="4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9" fillId="6" borderId="1" pivotButton="0" quotePrefix="0" xfId="0"/>
    <xf numFmtId="164" fontId="12" fillId="8" borderId="1" pivotButton="0" quotePrefix="0" xfId="0"/>
    <xf numFmtId="0" fontId="11" fillId="2" borderId="1" applyAlignment="1" pivotButton="0" quotePrefix="0" xfId="0">
      <alignment horizontal="left" vertical="center" wrapText="1"/>
    </xf>
    <xf numFmtId="164" fontId="11" fillId="2" borderId="1" pivotButton="0" quotePrefix="0" xfId="0"/>
    <xf numFmtId="0" fontId="11" fillId="10" borderId="1" applyAlignment="1" pivotButton="0" quotePrefix="0" xfId="0">
      <alignment horizontal="left" vertical="center" wrapText="1"/>
    </xf>
    <xf numFmtId="164" fontId="11" fillId="10" borderId="1" pivotButton="0" quotePrefix="0" xfId="0"/>
    <xf numFmtId="0" fontId="7" fillId="11" borderId="1" applyAlignment="1" pivotButton="0" quotePrefix="0" xfId="0">
      <alignment horizontal="left" vertical="center" wrapText="1"/>
    </xf>
    <xf numFmtId="164" fontId="14" fillId="11" borderId="1" pivotButton="0" quotePrefix="0" xfId="0"/>
    <xf numFmtId="164" fontId="12" fillId="11" borderId="1" pivotButton="0" quotePrefix="0" xfId="0"/>
    <xf numFmtId="0" fontId="5" fillId="12" borderId="1" applyAlignment="1" pivotButton="0" quotePrefix="0" xfId="0">
      <alignment horizontal="left" vertical="center" wrapText="1"/>
    </xf>
    <xf numFmtId="10" fontId="9" fillId="6" borderId="1" pivotButton="0" quotePrefix="0" xfId="0"/>
    <xf numFmtId="0" fontId="7" fillId="8" borderId="1" applyAlignment="1" pivotButton="0" quotePrefix="0" xfId="0">
      <alignment horizontal="left" vertical="center" wrapText="1"/>
    </xf>
    <xf numFmtId="164" fontId="13" fillId="8" borderId="1" pivotButton="0" quotePrefix="0" xfId="0"/>
    <xf numFmtId="10" fontId="0" fillId="6" borderId="1" pivotButton="0" quotePrefix="0" xfId="0"/>
    <xf numFmtId="10" fontId="12" fillId="6" borderId="1" pivotButton="0" quotePrefix="0" xfId="0"/>
    <xf numFmtId="164" fontId="0" fillId="6" borderId="1" pivotButton="0" quotePrefix="0" xfId="0"/>
    <xf numFmtId="0" fontId="11" fillId="3" borderId="1" applyAlignment="1" pivotButton="0" quotePrefix="0" xfId="0">
      <alignment horizontal="left" vertical="center" wrapText="1"/>
    </xf>
    <xf numFmtId="164" fontId="11" fillId="3" borderId="1" pivotButton="0" quotePrefix="0" xfId="0"/>
    <xf numFmtId="0" fontId="10" fillId="7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9" borderId="4" applyAlignment="1" pivotButton="0" quotePrefix="0" xfId="0">
      <alignment horizontal="left" vertical="center" wrapText="1"/>
    </xf>
    <xf numFmtId="0" fontId="10" fillId="9" borderId="5" applyAlignment="1" pivotButton="0" quotePrefix="0" xfId="0">
      <alignment horizontal="left" vertical="center" wrapText="1"/>
    </xf>
    <xf numFmtId="164" fontId="0" fillId="8" borderId="1" pivotButton="0" quotePrefix="0" xfId="0"/>
    <xf numFmtId="164" fontId="9" fillId="8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10" fontId="0" fillId="8" borderId="1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9" borderId="0" pivotButton="0" quotePrefix="0" xfId="0"/>
    <xf numFmtId="164" fontId="9" fillId="6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ont>
        <b val="1"/>
        <color rgb="00C53030"/>
      </font>
      <fill>
        <patternFill patternType="solid">
          <fgColor rgb="00FED7D7"/>
        </patternFill>
      </fill>
    </dxf>
    <dxf>
      <font>
        <b val="1"/>
        <color rgb="00276749"/>
      </font>
      <fill>
        <patternFill patternType="solid">
          <fgColor rgb="00C6F6D5"/>
        </patternFill>
      </fill>
    </dxf>
    <dxf>
      <fill>
        <patternFill patternType="solid">
          <f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Ingresos, gastos y utilidad operacional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'Estado_Resultados'!A13</f>
            </strRef>
          </tx>
          <spPr>
            <a:ln>
              <a:prstDash val="solid"/>
            </a:ln>
          </spPr>
          <cat>
            <numRef>
              <f>'Estado_Resultados'!$B$4:$M$4</f>
            </numRef>
          </cat>
          <val>
            <numRef>
              <f>'Estado_Resultados'!$B$13:$M$13</f>
            </numRef>
          </val>
        </ser>
        <ser>
          <idx val="1"/>
          <order val="1"/>
          <tx>
            <strRef>
              <f>'Estado_Resultados'!A26</f>
            </strRef>
          </tx>
          <spPr>
            <a:ln>
              <a:prstDash val="solid"/>
            </a:ln>
          </spPr>
          <cat>
            <numRef>
              <f>'Estado_Resultados'!$B$4:$M$4</f>
            </numRef>
          </cat>
          <val>
            <numRef>
              <f>'Estado_Resultados'!$B$26:$M$26</f>
            </numRef>
          </val>
        </ser>
        <ser>
          <idx val="2"/>
          <order val="2"/>
          <tx>
            <strRef>
              <f>'Estado_Resultados'!A27</f>
            </strRef>
          </tx>
          <spPr>
            <a:ln>
              <a:prstDash val="solid"/>
            </a:ln>
          </spPr>
          <cat>
            <numRef>
              <f>'Estado_Resultados'!$B$4:$M$4</f>
            </numRef>
          </cat>
          <val>
            <numRef>
              <f>'Estado_Resultados'!$B$27:$M$27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Sistema</author>
  </authors>
  <commentList>
    <comment ref="B5" authorId="0" shapeId="0">
      <text>
        <t>Nombre comercial o razón social.</t>
      </text>
    </comment>
    <comment ref="B12" authorId="0" shapeId="0">
      <text>
        <t>PPM = ingresos netos del mes × esta tasa. No se calcula sobre la utilidad.</t>
      </text>
    </comment>
  </commentList>
</comments>
</file>

<file path=xl/comments/comment2.xml><?xml version="1.0" encoding="utf-8"?>
<comments xmlns="http://schemas.openxmlformats.org/spreadsheetml/2006/main">
  <authors>
    <author>Telegram</author>
  </authors>
  <commentList>
    <comment ref="A3" authorId="0" shapeId="0">
      <text>
        <t>No escribas números en los meses: se pisan con la fórmula.</t>
      </text>
    </comment>
  </commentList>
</comments>
</file>

<file path=xl/comments/comment3.xml><?xml version="1.0" encoding="utf-8"?>
<comments xmlns="http://schemas.openxmlformats.org/spreadsheetml/2006/main">
  <authors>
    <author>Sistema</author>
  </authors>
  <commentList>
    <comment ref="A20" authorId="0" shapeId="0">
      <text>
        <t>En enero puedes escribir el remanente que venía de diciembre del año anterior.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Q2005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32" customWidth="1" min="4" max="4"/>
    <col width="28" customWidth="1" min="5" max="5"/>
    <col width="16" customWidth="1" min="6" max="6"/>
    <col width="36" customWidth="1" min="7" max="7"/>
    <col width="14" customWidth="1" min="8" max="8"/>
    <col width="12" customWidth="1" min="9" max="9"/>
    <col width="12" customWidth="1" min="10" max="10"/>
    <col width="14" customWidth="1" min="11" max="11"/>
    <col width="8" customWidth="1" min="12" max="12"/>
    <col width="8" customWidth="1" min="13" max="13"/>
    <col width="14" customWidth="1" min="14" max="14"/>
    <col width="14" customWidth="1" min="15" max="15"/>
    <col width="28" customWidth="1" min="16" max="16"/>
    <col width="18" customWidth="1" min="17" max="17"/>
  </cols>
  <sheetData>
    <row r="1" ht="32" customHeight="1">
      <c r="A1" s="86" t="inlineStr">
        <is>
          <t xml:space="preserve">  Comprobantes — lo que entra por Telegram</t>
        </is>
      </c>
    </row>
    <row r="2" ht="22" customHeight="1">
      <c r="A2" s="88" t="inlineStr">
        <is>
          <t xml:space="preserve">  Cada foto confirmada es una fila. Los gastos fijos y variables suman desde aquí. No borres las columnas grises.</t>
        </is>
      </c>
    </row>
    <row r="3">
      <c r="A3" s="6" t="inlineStr">
        <is>
          <t>Amarillo = datos del bot. Gris = fórmulas (IVA, total, año y mes).</t>
        </is>
      </c>
    </row>
    <row r="5" ht="32" customHeight="1">
      <c r="A5" s="26" t="inlineStr">
        <is>
          <t>N°</t>
        </is>
      </c>
      <c r="B5" s="26" t="inlineStr">
        <is>
          <t>Fecha</t>
        </is>
      </c>
      <c r="C5" s="26" t="inlineStr">
        <is>
          <t>Tipo</t>
        </is>
      </c>
      <c r="D5" s="26" t="inlineStr">
        <is>
          <t>Categoría</t>
        </is>
      </c>
      <c r="E5" s="26" t="inlineStr">
        <is>
          <t>Proveedor / cliente</t>
        </is>
      </c>
      <c r="F5" s="26" t="inlineStr">
        <is>
          <t>N° documento</t>
        </is>
      </c>
      <c r="G5" s="26" t="inlineStr">
        <is>
          <t>Descripción</t>
        </is>
      </c>
      <c r="H5" s="26" t="inlineStr">
        <is>
          <t>Neto</t>
        </is>
      </c>
      <c r="I5" s="26" t="inlineStr">
        <is>
          <t>Afecto IVA</t>
        </is>
      </c>
      <c r="J5" s="26" t="inlineStr">
        <is>
          <t>IVA</t>
        </is>
      </c>
      <c r="K5" s="26" t="inlineStr">
        <is>
          <t>Total</t>
        </is>
      </c>
      <c r="L5" s="69" t="inlineStr">
        <is>
          <t>Año</t>
        </is>
      </c>
      <c r="M5" s="69" t="inlineStr">
        <is>
          <t>Mes</t>
        </is>
      </c>
      <c r="N5" s="26" t="inlineStr">
        <is>
          <t>Origen</t>
        </is>
      </c>
      <c r="O5" s="26" t="inlineStr">
        <is>
          <t>Estado</t>
        </is>
      </c>
      <c r="P5" s="26" t="inlineStr">
        <is>
          <t>Archivo</t>
        </is>
      </c>
      <c r="Q5" s="26" t="inlineStr">
        <is>
          <t>Huella</t>
        </is>
      </c>
    </row>
    <row r="6">
      <c r="A6" s="9" t="n">
        <v>1</v>
      </c>
      <c r="B6" s="70" t="n">
        <v>46249</v>
      </c>
      <c r="C6" s="9" t="inlineStr">
        <is>
          <t>Gasto fijo</t>
        </is>
      </c>
      <c r="D6" s="9" t="inlineStr">
        <is>
          <t>Arriendo local / patio</t>
        </is>
      </c>
      <c r="E6" s="9" t="inlineStr"/>
      <c r="F6" s="9" t="inlineStr"/>
      <c r="G6" s="9" t="inlineStr">
        <is>
          <t>Saldo que ya estaba anotado en la planilla</t>
        </is>
      </c>
      <c r="H6" s="71" t="n">
        <v>2800000</v>
      </c>
      <c r="I6" s="9" t="inlineStr">
        <is>
          <t>No</t>
        </is>
      </c>
      <c r="J6" s="89">
        <f>IF(H6="","",IF(I6="Sí",ROUND(H6*Configuracion!$B$11,0),0))</f>
        <v/>
      </c>
      <c r="K6" s="89">
        <f>IF(H6="","",H6+J6)</f>
        <v/>
      </c>
      <c r="L6" s="13">
        <f>IF(B6="","",YEAR(B6))</f>
        <v/>
      </c>
      <c r="M6" s="13">
        <f>IF(B6="","",MONTH(B6))</f>
        <v/>
      </c>
      <c r="N6" s="9" t="inlineStr">
        <is>
          <t>Planilla</t>
        </is>
      </c>
      <c r="O6" s="9" t="inlineStr">
        <is>
          <t>Confirmado</t>
        </is>
      </c>
      <c r="P6" s="9" t="inlineStr"/>
      <c r="Q6" s="9" t="inlineStr"/>
    </row>
    <row r="7">
      <c r="A7" s="9" t="n">
        <v>2</v>
      </c>
      <c r="B7" s="70" t="n">
        <v>46249</v>
      </c>
      <c r="C7" s="9" t="inlineStr">
        <is>
          <t>Gasto fijo</t>
        </is>
      </c>
      <c r="D7" s="9" t="inlineStr">
        <is>
          <t>Sueldos (líquidos)</t>
        </is>
      </c>
      <c r="E7" s="9" t="inlineStr"/>
      <c r="F7" s="9" t="inlineStr"/>
      <c r="G7" s="9" t="inlineStr">
        <is>
          <t>Saldo que ya estaba anotado en la planilla</t>
        </is>
      </c>
      <c r="H7" s="71" t="n">
        <v>4200000</v>
      </c>
      <c r="I7" s="9" t="inlineStr">
        <is>
          <t>No</t>
        </is>
      </c>
      <c r="J7" s="89">
        <f>IF(H7="","",IF(I7="Sí",ROUND(H7*Configuracion!$B$11,0),0))</f>
        <v/>
      </c>
      <c r="K7" s="89">
        <f>IF(H7="","",H7+J7)</f>
        <v/>
      </c>
      <c r="L7" s="13">
        <f>IF(B7="","",YEAR(B7))</f>
        <v/>
      </c>
      <c r="M7" s="13">
        <f>IF(B7="","",MONTH(B7))</f>
        <v/>
      </c>
      <c r="N7" s="9" t="inlineStr">
        <is>
          <t>Planilla</t>
        </is>
      </c>
      <c r="O7" s="9" t="inlineStr">
        <is>
          <t>Confirmado</t>
        </is>
      </c>
      <c r="P7" s="9" t="inlineStr"/>
      <c r="Q7" s="9" t="inlineStr"/>
    </row>
    <row r="8">
      <c r="A8" s="9" t="n">
        <v>3</v>
      </c>
      <c r="B8" s="70" t="n">
        <v>46249</v>
      </c>
      <c r="C8" s="9" t="inlineStr">
        <is>
          <t>Gasto fijo</t>
        </is>
      </c>
      <c r="D8" s="9" t="inlineStr">
        <is>
          <t>Leyes sociales empleador</t>
        </is>
      </c>
      <c r="E8" s="9" t="inlineStr"/>
      <c r="F8" s="9" t="inlineStr"/>
      <c r="G8" s="9" t="inlineStr">
        <is>
          <t>Saldo que ya estaba anotado en la planilla</t>
        </is>
      </c>
      <c r="H8" s="71" t="n">
        <v>1150000</v>
      </c>
      <c r="I8" s="9" t="inlineStr">
        <is>
          <t>No</t>
        </is>
      </c>
      <c r="J8" s="89">
        <f>IF(H8="","",IF(I8="Sí",ROUND(H8*Configuracion!$B$11,0),0))</f>
        <v/>
      </c>
      <c r="K8" s="89">
        <f>IF(H8="","",H8+J8)</f>
        <v/>
      </c>
      <c r="L8" s="13">
        <f>IF(B8="","",YEAR(B8))</f>
        <v/>
      </c>
      <c r="M8" s="13">
        <f>IF(B8="","",MONTH(B8))</f>
        <v/>
      </c>
      <c r="N8" s="9" t="inlineStr">
        <is>
          <t>Planilla</t>
        </is>
      </c>
      <c r="O8" s="9" t="inlineStr">
        <is>
          <t>Confirmado</t>
        </is>
      </c>
      <c r="P8" s="9" t="inlineStr"/>
      <c r="Q8" s="9" t="inlineStr"/>
    </row>
    <row r="9">
      <c r="A9" s="9" t="n">
        <v>4</v>
      </c>
      <c r="B9" s="70" t="n">
        <v>46249</v>
      </c>
      <c r="C9" s="9" t="inlineStr">
        <is>
          <t>Gasto fijo</t>
        </is>
      </c>
      <c r="D9" s="9" t="inlineStr">
        <is>
          <t>Honorarios contador</t>
        </is>
      </c>
      <c r="E9" s="9" t="inlineStr"/>
      <c r="F9" s="9" t="inlineStr"/>
      <c r="G9" s="9" t="inlineStr">
        <is>
          <t>Saldo que ya estaba anotado en la planilla</t>
        </is>
      </c>
      <c r="H9" s="71" t="n">
        <v>250000</v>
      </c>
      <c r="I9" s="9" t="inlineStr">
        <is>
          <t>No</t>
        </is>
      </c>
      <c r="J9" s="89">
        <f>IF(H9="","",IF(I9="Sí",ROUND(H9*Configuracion!$B$11,0),0))</f>
        <v/>
      </c>
      <c r="K9" s="89">
        <f>IF(H9="","",H9+J9)</f>
        <v/>
      </c>
      <c r="L9" s="13">
        <f>IF(B9="","",YEAR(B9))</f>
        <v/>
      </c>
      <c r="M9" s="13">
        <f>IF(B9="","",MONTH(B9))</f>
        <v/>
      </c>
      <c r="N9" s="9" t="inlineStr">
        <is>
          <t>Planilla</t>
        </is>
      </c>
      <c r="O9" s="9" t="inlineStr">
        <is>
          <t>Confirmado</t>
        </is>
      </c>
      <c r="P9" s="9" t="inlineStr"/>
      <c r="Q9" s="9" t="inlineStr"/>
    </row>
    <row r="10">
      <c r="A10" s="9" t="n">
        <v>5</v>
      </c>
      <c r="B10" s="70" t="n">
        <v>46249</v>
      </c>
      <c r="C10" s="9" t="inlineStr">
        <is>
          <t>Gasto fijo</t>
        </is>
      </c>
      <c r="D10" s="9" t="inlineStr">
        <is>
          <t>Seguros (local, stock, RC)</t>
        </is>
      </c>
      <c r="E10" s="9" t="inlineStr"/>
      <c r="F10" s="9" t="inlineStr"/>
      <c r="G10" s="9" t="inlineStr">
        <is>
          <t>Saldo que ya estaba anotado en la planilla</t>
        </is>
      </c>
      <c r="H10" s="71" t="n">
        <v>180000</v>
      </c>
      <c r="I10" s="9" t="inlineStr">
        <is>
          <t>No</t>
        </is>
      </c>
      <c r="J10" s="89">
        <f>IF(H10="","",IF(I10="Sí",ROUND(H10*Configuracion!$B$11,0),0))</f>
        <v/>
      </c>
      <c r="K10" s="89">
        <f>IF(H10="","",H10+J10)</f>
        <v/>
      </c>
      <c r="L10" s="13">
        <f>IF(B10="","",YEAR(B10))</f>
        <v/>
      </c>
      <c r="M10" s="13">
        <f>IF(B10="","",MONTH(B10))</f>
        <v/>
      </c>
      <c r="N10" s="9" t="inlineStr">
        <is>
          <t>Planilla</t>
        </is>
      </c>
      <c r="O10" s="9" t="inlineStr">
        <is>
          <t>Confirmado</t>
        </is>
      </c>
      <c r="P10" s="9" t="inlineStr"/>
      <c r="Q10" s="9" t="inlineStr"/>
    </row>
    <row r="11">
      <c r="A11" s="9" t="n">
        <v>6</v>
      </c>
      <c r="B11" s="70" t="n">
        <v>46249</v>
      </c>
      <c r="C11" s="9" t="inlineStr">
        <is>
          <t>Gasto fijo</t>
        </is>
      </c>
      <c r="D11" s="9" t="inlineStr">
        <is>
          <t>Electricidad</t>
        </is>
      </c>
      <c r="E11" s="9" t="inlineStr"/>
      <c r="F11" s="9" t="inlineStr"/>
      <c r="G11" s="9" t="inlineStr">
        <is>
          <t>Saldo que ya estaba anotado en la planilla</t>
        </is>
      </c>
      <c r="H11" s="71" t="n">
        <v>220000</v>
      </c>
      <c r="I11" s="9" t="inlineStr">
        <is>
          <t>Sí</t>
        </is>
      </c>
      <c r="J11" s="89">
        <f>IF(H11="","",IF(I11="Sí",ROUND(H11*Configuracion!$B$11,0),0))</f>
        <v/>
      </c>
      <c r="K11" s="89">
        <f>IF(H11="","",H11+J11)</f>
        <v/>
      </c>
      <c r="L11" s="13">
        <f>IF(B11="","",YEAR(B11))</f>
        <v/>
      </c>
      <c r="M11" s="13">
        <f>IF(B11="","",MONTH(B11))</f>
        <v/>
      </c>
      <c r="N11" s="9" t="inlineStr">
        <is>
          <t>Planilla</t>
        </is>
      </c>
      <c r="O11" s="9" t="inlineStr">
        <is>
          <t>Confirmado</t>
        </is>
      </c>
      <c r="P11" s="9" t="inlineStr"/>
      <c r="Q11" s="9" t="inlineStr"/>
    </row>
    <row r="12">
      <c r="A12" s="9" t="n">
        <v>7</v>
      </c>
      <c r="B12" s="70" t="n">
        <v>46249</v>
      </c>
      <c r="C12" s="9" t="inlineStr">
        <is>
          <t>Gasto fijo</t>
        </is>
      </c>
      <c r="D12" s="9" t="inlineStr">
        <is>
          <t>Internet y telefonía</t>
        </is>
      </c>
      <c r="E12" s="9" t="inlineStr"/>
      <c r="F12" s="9" t="inlineStr"/>
      <c r="G12" s="9" t="inlineStr">
        <is>
          <t>Saldo que ya estaba anotado en la planilla</t>
        </is>
      </c>
      <c r="H12" s="71" t="n">
        <v>89000</v>
      </c>
      <c r="I12" s="9" t="inlineStr">
        <is>
          <t>Sí</t>
        </is>
      </c>
      <c r="J12" s="89">
        <f>IF(H12="","",IF(I12="Sí",ROUND(H12*Configuracion!$B$11,0),0))</f>
        <v/>
      </c>
      <c r="K12" s="89">
        <f>IF(H12="","",H12+J12)</f>
        <v/>
      </c>
      <c r="L12" s="13">
        <f>IF(B12="","",YEAR(B12))</f>
        <v/>
      </c>
      <c r="M12" s="13">
        <f>IF(B12="","",MONTH(B12))</f>
        <v/>
      </c>
      <c r="N12" s="9" t="inlineStr">
        <is>
          <t>Planilla</t>
        </is>
      </c>
      <c r="O12" s="9" t="inlineStr">
        <is>
          <t>Confirmado</t>
        </is>
      </c>
      <c r="P12" s="9" t="inlineStr"/>
      <c r="Q12" s="9" t="inlineStr"/>
    </row>
    <row r="13">
      <c r="A13" s="9" t="n">
        <v>8</v>
      </c>
      <c r="B13" s="70" t="n">
        <v>46249</v>
      </c>
      <c r="C13" s="9" t="inlineStr">
        <is>
          <t>Gasto fijo</t>
        </is>
      </c>
      <c r="D13" s="9" t="inlineStr">
        <is>
          <t>Alarma / seguridad</t>
        </is>
      </c>
      <c r="E13" s="9" t="inlineStr"/>
      <c r="F13" s="9" t="inlineStr"/>
      <c r="G13" s="9" t="inlineStr">
        <is>
          <t>Saldo que ya estaba anotado en la planilla</t>
        </is>
      </c>
      <c r="H13" s="71" t="n">
        <v>45000</v>
      </c>
      <c r="I13" s="9" t="inlineStr">
        <is>
          <t>Sí</t>
        </is>
      </c>
      <c r="J13" s="89">
        <f>IF(H13="","",IF(I13="Sí",ROUND(H13*Configuracion!$B$11,0),0))</f>
        <v/>
      </c>
      <c r="K13" s="89">
        <f>IF(H13="","",H13+J13)</f>
        <v/>
      </c>
      <c r="L13" s="13">
        <f>IF(B13="","",YEAR(B13))</f>
        <v/>
      </c>
      <c r="M13" s="13">
        <f>IF(B13="","",MONTH(B13))</f>
        <v/>
      </c>
      <c r="N13" s="9" t="inlineStr">
        <is>
          <t>Planilla</t>
        </is>
      </c>
      <c r="O13" s="9" t="inlineStr">
        <is>
          <t>Confirmado</t>
        </is>
      </c>
      <c r="P13" s="9" t="inlineStr"/>
      <c r="Q13" s="9" t="inlineStr"/>
    </row>
    <row r="14">
      <c r="A14" s="9" t="n">
        <v>9</v>
      </c>
      <c r="B14" s="70" t="n">
        <v>46249</v>
      </c>
      <c r="C14" s="9" t="inlineStr">
        <is>
          <t>Gasto fijo</t>
        </is>
      </c>
      <c r="D14" s="9" t="inlineStr">
        <is>
          <t>Aseo</t>
        </is>
      </c>
      <c r="E14" s="9" t="inlineStr"/>
      <c r="F14" s="9" t="inlineStr"/>
      <c r="G14" s="9" t="inlineStr">
        <is>
          <t>Saldo que ya estaba anotado en la planilla</t>
        </is>
      </c>
      <c r="H14" s="71" t="n">
        <v>80000</v>
      </c>
      <c r="I14" s="9" t="inlineStr">
        <is>
          <t>Sí</t>
        </is>
      </c>
      <c r="J14" s="89">
        <f>IF(H14="","",IF(I14="Sí",ROUND(H14*Configuracion!$B$11,0),0))</f>
        <v/>
      </c>
      <c r="K14" s="89">
        <f>IF(H14="","",H14+J14)</f>
        <v/>
      </c>
      <c r="L14" s="13">
        <f>IF(B14="","",YEAR(B14))</f>
        <v/>
      </c>
      <c r="M14" s="13">
        <f>IF(B14="","",MONTH(B14))</f>
        <v/>
      </c>
      <c r="N14" s="9" t="inlineStr">
        <is>
          <t>Planilla</t>
        </is>
      </c>
      <c r="O14" s="9" t="inlineStr">
        <is>
          <t>Confirmado</t>
        </is>
      </c>
      <c r="P14" s="9" t="inlineStr"/>
      <c r="Q14" s="9" t="inlineStr"/>
    </row>
    <row r="15">
      <c r="A15" s="9" t="n">
        <v>10</v>
      </c>
      <c r="B15" s="70" t="n">
        <v>46249</v>
      </c>
      <c r="C15" s="9" t="inlineStr">
        <is>
          <t>Gasto fijo</t>
        </is>
      </c>
      <c r="D15" s="9" t="inlineStr">
        <is>
          <t>Software / facturación electrónica</t>
        </is>
      </c>
      <c r="E15" s="9" t="inlineStr"/>
      <c r="F15" s="9" t="inlineStr"/>
      <c r="G15" s="9" t="inlineStr">
        <is>
          <t>Saldo que ya estaba anotado en la planilla</t>
        </is>
      </c>
      <c r="H15" s="71" t="n">
        <v>65000</v>
      </c>
      <c r="I15" s="9" t="inlineStr">
        <is>
          <t>Sí</t>
        </is>
      </c>
      <c r="J15" s="89">
        <f>IF(H15="","",IF(I15="Sí",ROUND(H15*Configuracion!$B$11,0),0))</f>
        <v/>
      </c>
      <c r="K15" s="89">
        <f>IF(H15="","",H15+J15)</f>
        <v/>
      </c>
      <c r="L15" s="13">
        <f>IF(B15="","",YEAR(B15))</f>
        <v/>
      </c>
      <c r="M15" s="13">
        <f>IF(B15="","",MONTH(B15))</f>
        <v/>
      </c>
      <c r="N15" s="9" t="inlineStr">
        <is>
          <t>Planilla</t>
        </is>
      </c>
      <c r="O15" s="9" t="inlineStr">
        <is>
          <t>Confirmado</t>
        </is>
      </c>
      <c r="P15" s="9" t="inlineStr"/>
      <c r="Q15" s="9" t="inlineStr"/>
    </row>
    <row r="16">
      <c r="A16" s="9" t="n">
        <v>11</v>
      </c>
      <c r="B16" s="70" t="n">
        <v>46249</v>
      </c>
      <c r="C16" s="9" t="inlineStr">
        <is>
          <t>Gasto fijo</t>
        </is>
      </c>
      <c r="D16" s="9" t="inlineStr">
        <is>
          <t>Publicidad fija (portales, redes)</t>
        </is>
      </c>
      <c r="E16" s="9" t="inlineStr"/>
      <c r="F16" s="9" t="inlineStr"/>
      <c r="G16" s="9" t="inlineStr">
        <is>
          <t>Saldo que ya estaba anotado en la planilla</t>
        </is>
      </c>
      <c r="H16" s="71" t="n">
        <v>350000</v>
      </c>
      <c r="I16" s="9" t="inlineStr">
        <is>
          <t>Sí</t>
        </is>
      </c>
      <c r="J16" s="89">
        <f>IF(H16="","",IF(I16="Sí",ROUND(H16*Configuracion!$B$11,0),0))</f>
        <v/>
      </c>
      <c r="K16" s="89">
        <f>IF(H16="","",H16+J16)</f>
        <v/>
      </c>
      <c r="L16" s="13">
        <f>IF(B16="","",YEAR(B16))</f>
        <v/>
      </c>
      <c r="M16" s="13">
        <f>IF(B16="","",MONTH(B16))</f>
        <v/>
      </c>
      <c r="N16" s="9" t="inlineStr">
        <is>
          <t>Planilla</t>
        </is>
      </c>
      <c r="O16" s="9" t="inlineStr">
        <is>
          <t>Confirmado</t>
        </is>
      </c>
      <c r="P16" s="9" t="inlineStr"/>
      <c r="Q16" s="9" t="inlineStr"/>
    </row>
    <row r="17">
      <c r="A17" s="9" t="n">
        <v>12</v>
      </c>
      <c r="B17" s="70" t="n">
        <v>46249</v>
      </c>
      <c r="C17" s="9" t="inlineStr">
        <is>
          <t>Gasto variable</t>
        </is>
      </c>
      <c r="D17" s="9" t="inlineStr">
        <is>
          <t>Publicidad de campañas</t>
        </is>
      </c>
      <c r="E17" s="9" t="inlineStr"/>
      <c r="F17" s="9" t="inlineStr"/>
      <c r="G17" s="9" t="inlineStr">
        <is>
          <t>Saldo que ya estaba anotado en la planilla</t>
        </is>
      </c>
      <c r="H17" s="71" t="n">
        <v>280000</v>
      </c>
      <c r="I17" s="9" t="inlineStr">
        <is>
          <t>Sí</t>
        </is>
      </c>
      <c r="J17" s="89">
        <f>IF(H17="","",IF(I17="Sí",ROUND(H17*Configuracion!$B$11,0),0))</f>
        <v/>
      </c>
      <c r="K17" s="89">
        <f>IF(H17="","",H17+J17)</f>
        <v/>
      </c>
      <c r="L17" s="13">
        <f>IF(B17="","",YEAR(B17))</f>
        <v/>
      </c>
      <c r="M17" s="13">
        <f>IF(B17="","",MONTH(B17))</f>
        <v/>
      </c>
      <c r="N17" s="9" t="inlineStr">
        <is>
          <t>Planilla</t>
        </is>
      </c>
      <c r="O17" s="9" t="inlineStr">
        <is>
          <t>Confirmado</t>
        </is>
      </c>
      <c r="P17" s="9" t="inlineStr"/>
      <c r="Q17" s="9" t="inlineStr"/>
    </row>
    <row r="18">
      <c r="A18" s="9" t="n">
        <v>13</v>
      </c>
      <c r="B18" s="70" t="n">
        <v>46249</v>
      </c>
      <c r="C18" s="9" t="inlineStr">
        <is>
          <t>Gasto variable</t>
        </is>
      </c>
      <c r="D18" s="9" t="inlineStr">
        <is>
          <t>Preparación y detailing</t>
        </is>
      </c>
      <c r="E18" s="9" t="inlineStr"/>
      <c r="F18" s="9" t="inlineStr"/>
      <c r="G18" s="9" t="inlineStr">
        <is>
          <t>Saldo que ya estaba anotado en la planilla</t>
        </is>
      </c>
      <c r="H18" s="71" t="n">
        <v>190000</v>
      </c>
      <c r="I18" s="9" t="inlineStr">
        <is>
          <t>Sí</t>
        </is>
      </c>
      <c r="J18" s="89">
        <f>IF(H18="","",IF(I18="Sí",ROUND(H18*Configuracion!$B$11,0),0))</f>
        <v/>
      </c>
      <c r="K18" s="89">
        <f>IF(H18="","",H18+J18)</f>
        <v/>
      </c>
      <c r="L18" s="13">
        <f>IF(B18="","",YEAR(B18))</f>
        <v/>
      </c>
      <c r="M18" s="13">
        <f>IF(B18="","",MONTH(B18))</f>
        <v/>
      </c>
      <c r="N18" s="9" t="inlineStr">
        <is>
          <t>Planilla</t>
        </is>
      </c>
      <c r="O18" s="9" t="inlineStr">
        <is>
          <t>Confirmado</t>
        </is>
      </c>
      <c r="P18" s="9" t="inlineStr"/>
      <c r="Q18" s="9" t="inlineStr"/>
    </row>
    <row r="19">
      <c r="A19" s="9" t="n">
        <v>14</v>
      </c>
      <c r="B19" s="70" t="n">
        <v>46249</v>
      </c>
      <c r="C19" s="9" t="inlineStr">
        <is>
          <t>Gasto variable</t>
        </is>
      </c>
      <c r="D19" s="9" t="inlineStr">
        <is>
          <t>Traslado / flete de vehículos</t>
        </is>
      </c>
      <c r="E19" s="9" t="inlineStr"/>
      <c r="F19" s="9" t="inlineStr"/>
      <c r="G19" s="9" t="inlineStr">
        <is>
          <t>Saldo que ya estaba anotado en la planilla</t>
        </is>
      </c>
      <c r="H19" s="71" t="n">
        <v>70000</v>
      </c>
      <c r="I19" s="9" t="inlineStr">
        <is>
          <t>Sí</t>
        </is>
      </c>
      <c r="J19" s="89">
        <f>IF(H19="","",IF(I19="Sí",ROUND(H19*Configuracion!$B$11,0),0))</f>
        <v/>
      </c>
      <c r="K19" s="89">
        <f>IF(H19="","",H19+J19)</f>
        <v/>
      </c>
      <c r="L19" s="13">
        <f>IF(B19="","",YEAR(B19))</f>
        <v/>
      </c>
      <c r="M19" s="13">
        <f>IF(B19="","",MONTH(B19))</f>
        <v/>
      </c>
      <c r="N19" s="9" t="inlineStr">
        <is>
          <t>Planilla</t>
        </is>
      </c>
      <c r="O19" s="9" t="inlineStr">
        <is>
          <t>Confirmado</t>
        </is>
      </c>
      <c r="P19" s="9" t="inlineStr"/>
      <c r="Q19" s="9" t="inlineStr"/>
    </row>
    <row r="20">
      <c r="A20" s="9" t="n">
        <v>15</v>
      </c>
      <c r="B20" s="70" t="n">
        <v>46249</v>
      </c>
      <c r="C20" s="9" t="inlineStr">
        <is>
          <t>Gasto variable</t>
        </is>
      </c>
      <c r="D20" s="9" t="inlineStr">
        <is>
          <t>Combustible</t>
        </is>
      </c>
      <c r="E20" s="9" t="inlineStr"/>
      <c r="F20" s="9" t="inlineStr"/>
      <c r="G20" s="9" t="inlineStr">
        <is>
          <t>Saldo que ya estaba anotado en la planilla</t>
        </is>
      </c>
      <c r="H20" s="71" t="n">
        <v>85000</v>
      </c>
      <c r="I20" s="9" t="inlineStr">
        <is>
          <t>Sí</t>
        </is>
      </c>
      <c r="J20" s="89">
        <f>IF(H20="","",IF(I20="Sí",ROUND(H20*Configuracion!$B$11,0),0))</f>
        <v/>
      </c>
      <c r="K20" s="89">
        <f>IF(H20="","",H20+J20)</f>
        <v/>
      </c>
      <c r="L20" s="13">
        <f>IF(B20="","",YEAR(B20))</f>
        <v/>
      </c>
      <c r="M20" s="13">
        <f>IF(B20="","",MONTH(B20))</f>
        <v/>
      </c>
      <c r="N20" s="9" t="inlineStr">
        <is>
          <t>Planilla</t>
        </is>
      </c>
      <c r="O20" s="9" t="inlineStr">
        <is>
          <t>Confirmado</t>
        </is>
      </c>
      <c r="P20" s="9" t="inlineStr"/>
      <c r="Q20" s="9" t="inlineStr"/>
    </row>
    <row r="21">
      <c r="A21" s="9" t="n">
        <v>16</v>
      </c>
      <c r="B21" s="70" t="n">
        <v>46249</v>
      </c>
      <c r="C21" s="9" t="inlineStr">
        <is>
          <t>Gasto variable</t>
        </is>
      </c>
      <c r="D21" s="9" t="inlineStr">
        <is>
          <t>Comisiones Transbank / Webpay</t>
        </is>
      </c>
      <c r="E21" s="9" t="inlineStr"/>
      <c r="F21" s="9" t="inlineStr"/>
      <c r="G21" s="9" t="inlineStr">
        <is>
          <t>Saldo que ya estaba anotado en la planilla</t>
        </is>
      </c>
      <c r="H21" s="71" t="n">
        <v>45000</v>
      </c>
      <c r="I21" s="9" t="inlineStr">
        <is>
          <t>Sí</t>
        </is>
      </c>
      <c r="J21" s="89">
        <f>IF(H21="","",IF(I21="Sí",ROUND(H21*Configuracion!$B$11,0),0))</f>
        <v/>
      </c>
      <c r="K21" s="89">
        <f>IF(H21="","",H21+J21)</f>
        <v/>
      </c>
      <c r="L21" s="13">
        <f>IF(B21="","",YEAR(B21))</f>
        <v/>
      </c>
      <c r="M21" s="13">
        <f>IF(B21="","",MONTH(B21))</f>
        <v/>
      </c>
      <c r="N21" s="9" t="inlineStr">
        <is>
          <t>Planilla</t>
        </is>
      </c>
      <c r="O21" s="9" t="inlineStr">
        <is>
          <t>Confirmado</t>
        </is>
      </c>
      <c r="P21" s="9" t="inlineStr"/>
      <c r="Q21" s="9" t="inlineStr"/>
    </row>
    <row r="22">
      <c r="A22" s="9" t="n">
        <v>17</v>
      </c>
      <c r="B22" s="70" t="n">
        <v>46288</v>
      </c>
      <c r="C22" s="9" t="inlineStr">
        <is>
          <t>Gasto variable</t>
        </is>
      </c>
      <c r="D22" s="9" t="inlineStr">
        <is>
          <t>Transferencia / notaría / TAG</t>
        </is>
      </c>
      <c r="E22" s="9" t="inlineStr">
        <is>
          <t>Servipag</t>
        </is>
      </c>
      <c r="F22" s="9" t="inlineStr">
        <is>
          <t>18590912</t>
        </is>
      </c>
      <c r="G22" s="9" t="inlineStr">
        <is>
          <t>Pago de cuentas de autopistas (Ruta 78, Autopase, Vespucio Sur, Costanera Norte)</t>
        </is>
      </c>
      <c r="H22" s="71" t="n">
        <v>58119</v>
      </c>
      <c r="I22" s="9" t="inlineStr">
        <is>
          <t>Sí</t>
        </is>
      </c>
      <c r="J22" s="89">
        <f>IF(H22="","",IF(I22="Sí",ROUND(H22*Configuracion!$B$11,0),0))</f>
        <v/>
      </c>
      <c r="K22" s="89">
        <f>IF(H22="","",H22+J22)</f>
        <v/>
      </c>
      <c r="L22" s="13">
        <f>IF(B22="","",YEAR(B22))</f>
        <v/>
      </c>
      <c r="M22" s="13">
        <f>IF(B22="","",MONTH(B22))</f>
        <v/>
      </c>
      <c r="N22" s="9" t="inlineStr">
        <is>
          <t>Telegram</t>
        </is>
      </c>
      <c r="O22" s="9" t="inlineStr">
        <is>
          <t>Confirmado</t>
        </is>
      </c>
      <c r="P22" s="9" t="inlineStr">
        <is>
          <t>data/comprobantes/2026-09/5d504524720b11c3.jpg</t>
        </is>
      </c>
      <c r="Q22" s="9" t="inlineStr">
        <is>
          <t>5d504524720b11c3</t>
        </is>
      </c>
    </row>
    <row r="23">
      <c r="A23" s="9" t="n"/>
      <c r="B23" s="70" t="n"/>
      <c r="C23" s="9" t="n"/>
      <c r="D23" s="9" t="n"/>
      <c r="E23" s="9" t="n"/>
      <c r="F23" s="9" t="n"/>
      <c r="G23" s="9" t="n"/>
      <c r="H23" s="71" t="n"/>
      <c r="I23" s="9" t="n"/>
      <c r="J23" s="89">
        <f>IF(H23="","",IF(I23="Sí",ROUND(H23*Configuracion!$B$11,0),0))</f>
        <v/>
      </c>
      <c r="K23" s="89">
        <f>IF(H23="","",H23+J23)</f>
        <v/>
      </c>
      <c r="L23" s="13">
        <f>IF(B23="","",YEAR(B23))</f>
        <v/>
      </c>
      <c r="M23" s="13">
        <f>IF(B23="","",MONTH(B23))</f>
        <v/>
      </c>
      <c r="N23" s="9" t="n"/>
      <c r="O23" s="9" t="n"/>
      <c r="P23" s="9" t="n"/>
      <c r="Q23" s="9" t="n"/>
    </row>
    <row r="24">
      <c r="A24" s="9" t="n"/>
      <c r="B24" s="70" t="n"/>
      <c r="C24" s="9" t="n"/>
      <c r="D24" s="9" t="n"/>
      <c r="E24" s="9" t="n"/>
      <c r="F24" s="9" t="n"/>
      <c r="G24" s="9" t="n"/>
      <c r="H24" s="71" t="n"/>
      <c r="I24" s="9" t="n"/>
      <c r="J24" s="89">
        <f>IF(H24="","",IF(I24="Sí",ROUND(H24*Configuracion!$B$11,0),0))</f>
        <v/>
      </c>
      <c r="K24" s="89">
        <f>IF(H24="","",H24+J24)</f>
        <v/>
      </c>
      <c r="L24" s="13">
        <f>IF(B24="","",YEAR(B24))</f>
        <v/>
      </c>
      <c r="M24" s="13">
        <f>IF(B24="","",MONTH(B24))</f>
        <v/>
      </c>
      <c r="N24" s="9" t="n"/>
      <c r="O24" s="9" t="n"/>
      <c r="P24" s="9" t="n"/>
      <c r="Q24" s="9" t="n"/>
    </row>
    <row r="25">
      <c r="A25" s="9" t="n"/>
      <c r="B25" s="70" t="n"/>
      <c r="C25" s="9" t="n"/>
      <c r="D25" s="9" t="n"/>
      <c r="E25" s="9" t="n"/>
      <c r="F25" s="9" t="n"/>
      <c r="G25" s="9" t="n"/>
      <c r="H25" s="71" t="n"/>
      <c r="I25" s="9" t="n"/>
      <c r="J25" s="89">
        <f>IF(H25="","",IF(I25="Sí",ROUND(H25*Configuracion!$B$11,0),0))</f>
        <v/>
      </c>
      <c r="K25" s="89">
        <f>IF(H25="","",H25+J25)</f>
        <v/>
      </c>
      <c r="L25" s="13">
        <f>IF(B25="","",YEAR(B25))</f>
        <v/>
      </c>
      <c r="M25" s="13">
        <f>IF(B25="","",MONTH(B25))</f>
        <v/>
      </c>
      <c r="N25" s="9" t="n"/>
      <c r="O25" s="9" t="n"/>
      <c r="P25" s="9" t="n"/>
      <c r="Q25" s="9" t="n"/>
    </row>
    <row r="26">
      <c r="A26" s="9" t="n"/>
      <c r="B26" s="70" t="n"/>
      <c r="C26" s="9" t="n"/>
      <c r="D26" s="9" t="n"/>
      <c r="E26" s="9" t="n"/>
      <c r="F26" s="9" t="n"/>
      <c r="G26" s="9" t="n"/>
      <c r="H26" s="71" t="n"/>
      <c r="I26" s="9" t="n"/>
      <c r="J26" s="89">
        <f>IF(H26="","",IF(I26="Sí",ROUND(H26*Configuracion!$B$11,0),0))</f>
        <v/>
      </c>
      <c r="K26" s="89">
        <f>IF(H26="","",H26+J26)</f>
        <v/>
      </c>
      <c r="L26" s="13">
        <f>IF(B26="","",YEAR(B26))</f>
        <v/>
      </c>
      <c r="M26" s="13">
        <f>IF(B26="","",MONTH(B26))</f>
        <v/>
      </c>
      <c r="N26" s="9" t="n"/>
      <c r="O26" s="9" t="n"/>
      <c r="P26" s="9" t="n"/>
      <c r="Q26" s="9" t="n"/>
    </row>
    <row r="27">
      <c r="A27" s="9" t="n"/>
      <c r="B27" s="70" t="n"/>
      <c r="C27" s="9" t="n"/>
      <c r="D27" s="9" t="n"/>
      <c r="E27" s="9" t="n"/>
      <c r="F27" s="9" t="n"/>
      <c r="G27" s="9" t="n"/>
      <c r="H27" s="71" t="n"/>
      <c r="I27" s="9" t="n"/>
      <c r="J27" s="89">
        <f>IF(H27="","",IF(I27="Sí",ROUND(H27*Configuracion!$B$11,0),0))</f>
        <v/>
      </c>
      <c r="K27" s="89">
        <f>IF(H27="","",H27+J27)</f>
        <v/>
      </c>
      <c r="L27" s="13">
        <f>IF(B27="","",YEAR(B27))</f>
        <v/>
      </c>
      <c r="M27" s="13">
        <f>IF(B27="","",MONTH(B27))</f>
        <v/>
      </c>
      <c r="N27" s="9" t="n"/>
      <c r="O27" s="9" t="n"/>
      <c r="P27" s="9" t="n"/>
      <c r="Q27" s="9" t="n"/>
    </row>
    <row r="28">
      <c r="A28" s="9" t="n"/>
      <c r="B28" s="70" t="n"/>
      <c r="C28" s="9" t="n"/>
      <c r="D28" s="9" t="n"/>
      <c r="E28" s="9" t="n"/>
      <c r="F28" s="9" t="n"/>
      <c r="G28" s="9" t="n"/>
      <c r="H28" s="71" t="n"/>
      <c r="I28" s="9" t="n"/>
      <c r="J28" s="89">
        <f>IF(H28="","",IF(I28="Sí",ROUND(H28*Configuracion!$B$11,0),0))</f>
        <v/>
      </c>
      <c r="K28" s="89">
        <f>IF(H28="","",H28+J28)</f>
        <v/>
      </c>
      <c r="L28" s="13">
        <f>IF(B28="","",YEAR(B28))</f>
        <v/>
      </c>
      <c r="M28" s="13">
        <f>IF(B28="","",MONTH(B28))</f>
        <v/>
      </c>
      <c r="N28" s="9" t="n"/>
      <c r="O28" s="9" t="n"/>
      <c r="P28" s="9" t="n"/>
      <c r="Q28" s="9" t="n"/>
    </row>
    <row r="29">
      <c r="A29" s="9" t="n"/>
      <c r="B29" s="70" t="n"/>
      <c r="C29" s="9" t="n"/>
      <c r="D29" s="9" t="n"/>
      <c r="E29" s="9" t="n"/>
      <c r="F29" s="9" t="n"/>
      <c r="G29" s="9" t="n"/>
      <c r="H29" s="71" t="n"/>
      <c r="I29" s="9" t="n"/>
      <c r="J29" s="89">
        <f>IF(H29="","",IF(I29="Sí",ROUND(H29*Configuracion!$B$11,0),0))</f>
        <v/>
      </c>
      <c r="K29" s="89">
        <f>IF(H29="","",H29+J29)</f>
        <v/>
      </c>
      <c r="L29" s="13">
        <f>IF(B29="","",YEAR(B29))</f>
        <v/>
      </c>
      <c r="M29" s="13">
        <f>IF(B29="","",MONTH(B29))</f>
        <v/>
      </c>
      <c r="N29" s="9" t="n"/>
      <c r="O29" s="9" t="n"/>
      <c r="P29" s="9" t="n"/>
      <c r="Q29" s="9" t="n"/>
    </row>
    <row r="30">
      <c r="A30" s="9" t="n"/>
      <c r="B30" s="70" t="n"/>
      <c r="C30" s="9" t="n"/>
      <c r="D30" s="9" t="n"/>
      <c r="E30" s="9" t="n"/>
      <c r="F30" s="9" t="n"/>
      <c r="G30" s="9" t="n"/>
      <c r="H30" s="71" t="n"/>
      <c r="I30" s="9" t="n"/>
      <c r="J30" s="89">
        <f>IF(H30="","",IF(I30="Sí",ROUND(H30*Configuracion!$B$11,0),0))</f>
        <v/>
      </c>
      <c r="K30" s="89">
        <f>IF(H30="","",H30+J30)</f>
        <v/>
      </c>
      <c r="L30" s="13">
        <f>IF(B30="","",YEAR(B30))</f>
        <v/>
      </c>
      <c r="M30" s="13">
        <f>IF(B30="","",MONTH(B30))</f>
        <v/>
      </c>
      <c r="N30" s="9" t="n"/>
      <c r="O30" s="9" t="n"/>
      <c r="P30" s="9" t="n"/>
      <c r="Q30" s="9" t="n"/>
    </row>
    <row r="31">
      <c r="A31" s="9" t="n"/>
      <c r="B31" s="70" t="n"/>
      <c r="C31" s="9" t="n"/>
      <c r="D31" s="9" t="n"/>
      <c r="E31" s="9" t="n"/>
      <c r="F31" s="9" t="n"/>
      <c r="G31" s="9" t="n"/>
      <c r="H31" s="71" t="n"/>
      <c r="I31" s="9" t="n"/>
      <c r="J31" s="89">
        <f>IF(H31="","",IF(I31="Sí",ROUND(H31*Configuracion!$B$11,0),0))</f>
        <v/>
      </c>
      <c r="K31" s="89">
        <f>IF(H31="","",H31+J31)</f>
        <v/>
      </c>
      <c r="L31" s="13">
        <f>IF(B31="","",YEAR(B31))</f>
        <v/>
      </c>
      <c r="M31" s="13">
        <f>IF(B31="","",MONTH(B31))</f>
        <v/>
      </c>
      <c r="N31" s="9" t="n"/>
      <c r="O31" s="9" t="n"/>
      <c r="P31" s="9" t="n"/>
      <c r="Q31" s="9" t="n"/>
    </row>
    <row r="32">
      <c r="A32" s="9" t="n"/>
      <c r="B32" s="70" t="n"/>
      <c r="C32" s="9" t="n"/>
      <c r="D32" s="9" t="n"/>
      <c r="E32" s="9" t="n"/>
      <c r="F32" s="9" t="n"/>
      <c r="G32" s="9" t="n"/>
      <c r="H32" s="71" t="n"/>
      <c r="I32" s="9" t="n"/>
      <c r="J32" s="89">
        <f>IF(H32="","",IF(I32="Sí",ROUND(H32*Configuracion!$B$11,0),0))</f>
        <v/>
      </c>
      <c r="K32" s="89">
        <f>IF(H32="","",H32+J32)</f>
        <v/>
      </c>
      <c r="L32" s="13">
        <f>IF(B32="","",YEAR(B32))</f>
        <v/>
      </c>
      <c r="M32" s="13">
        <f>IF(B32="","",MONTH(B32))</f>
        <v/>
      </c>
      <c r="N32" s="9" t="n"/>
      <c r="O32" s="9" t="n"/>
      <c r="P32" s="9" t="n"/>
      <c r="Q32" s="9" t="n"/>
    </row>
    <row r="33">
      <c r="A33" s="9" t="n"/>
      <c r="B33" s="70" t="n"/>
      <c r="C33" s="9" t="n"/>
      <c r="D33" s="9" t="n"/>
      <c r="E33" s="9" t="n"/>
      <c r="F33" s="9" t="n"/>
      <c r="G33" s="9" t="n"/>
      <c r="H33" s="71" t="n"/>
      <c r="I33" s="9" t="n"/>
      <c r="J33" s="89">
        <f>IF(H33="","",IF(I33="Sí",ROUND(H33*Configuracion!$B$11,0),0))</f>
        <v/>
      </c>
      <c r="K33" s="89">
        <f>IF(H33="","",H33+J33)</f>
        <v/>
      </c>
      <c r="L33" s="13">
        <f>IF(B33="","",YEAR(B33))</f>
        <v/>
      </c>
      <c r="M33" s="13">
        <f>IF(B33="","",MONTH(B33))</f>
        <v/>
      </c>
      <c r="N33" s="9" t="n"/>
      <c r="O33" s="9" t="n"/>
      <c r="P33" s="9" t="n"/>
      <c r="Q33" s="9" t="n"/>
    </row>
    <row r="34">
      <c r="A34" s="9" t="n"/>
      <c r="B34" s="70" t="n"/>
      <c r="C34" s="9" t="n"/>
      <c r="D34" s="9" t="n"/>
      <c r="E34" s="9" t="n"/>
      <c r="F34" s="9" t="n"/>
      <c r="G34" s="9" t="n"/>
      <c r="H34" s="71" t="n"/>
      <c r="I34" s="9" t="n"/>
      <c r="J34" s="89">
        <f>IF(H34="","",IF(I34="Sí",ROUND(H34*Configuracion!$B$11,0),0))</f>
        <v/>
      </c>
      <c r="K34" s="89">
        <f>IF(H34="","",H34+J34)</f>
        <v/>
      </c>
      <c r="L34" s="13">
        <f>IF(B34="","",YEAR(B34))</f>
        <v/>
      </c>
      <c r="M34" s="13">
        <f>IF(B34="","",MONTH(B34))</f>
        <v/>
      </c>
      <c r="N34" s="9" t="n"/>
      <c r="O34" s="9" t="n"/>
      <c r="P34" s="9" t="n"/>
      <c r="Q34" s="9" t="n"/>
    </row>
    <row r="35">
      <c r="A35" s="9" t="n"/>
      <c r="B35" s="70" t="n"/>
      <c r="C35" s="9" t="n"/>
      <c r="D35" s="9" t="n"/>
      <c r="E35" s="9" t="n"/>
      <c r="F35" s="9" t="n"/>
      <c r="G35" s="9" t="n"/>
      <c r="H35" s="71" t="n"/>
      <c r="I35" s="9" t="n"/>
      <c r="J35" s="89">
        <f>IF(H35="","",IF(I35="Sí",ROUND(H35*Configuracion!$B$11,0),0))</f>
        <v/>
      </c>
      <c r="K35" s="89">
        <f>IF(H35="","",H35+J35)</f>
        <v/>
      </c>
      <c r="L35" s="13">
        <f>IF(B35="","",YEAR(B35))</f>
        <v/>
      </c>
      <c r="M35" s="13">
        <f>IF(B35="","",MONTH(B35))</f>
        <v/>
      </c>
      <c r="N35" s="9" t="n"/>
      <c r="O35" s="9" t="n"/>
      <c r="P35" s="9" t="n"/>
      <c r="Q35" s="9" t="n"/>
    </row>
    <row r="36">
      <c r="A36" s="9" t="n"/>
      <c r="B36" s="70" t="n"/>
      <c r="C36" s="9" t="n"/>
      <c r="D36" s="9" t="n"/>
      <c r="E36" s="9" t="n"/>
      <c r="F36" s="9" t="n"/>
      <c r="G36" s="9" t="n"/>
      <c r="H36" s="71" t="n"/>
      <c r="I36" s="9" t="n"/>
      <c r="J36" s="89">
        <f>IF(H36="","",IF(I36="Sí",ROUND(H36*Configuracion!$B$11,0),0))</f>
        <v/>
      </c>
      <c r="K36" s="89">
        <f>IF(H36="","",H36+J36)</f>
        <v/>
      </c>
      <c r="L36" s="13">
        <f>IF(B36="","",YEAR(B36))</f>
        <v/>
      </c>
      <c r="M36" s="13">
        <f>IF(B36="","",MONTH(B36))</f>
        <v/>
      </c>
      <c r="N36" s="9" t="n"/>
      <c r="O36" s="9" t="n"/>
      <c r="P36" s="9" t="n"/>
      <c r="Q36" s="9" t="n"/>
    </row>
    <row r="37">
      <c r="A37" s="9" t="n"/>
      <c r="B37" s="70" t="n"/>
      <c r="C37" s="9" t="n"/>
      <c r="D37" s="9" t="n"/>
      <c r="E37" s="9" t="n"/>
      <c r="F37" s="9" t="n"/>
      <c r="G37" s="9" t="n"/>
      <c r="H37" s="71" t="n"/>
      <c r="I37" s="9" t="n"/>
      <c r="J37" s="89">
        <f>IF(H37="","",IF(I37="Sí",ROUND(H37*Configuracion!$B$11,0),0))</f>
        <v/>
      </c>
      <c r="K37" s="89">
        <f>IF(H37="","",H37+J37)</f>
        <v/>
      </c>
      <c r="L37" s="13">
        <f>IF(B37="","",YEAR(B37))</f>
        <v/>
      </c>
      <c r="M37" s="13">
        <f>IF(B37="","",MONTH(B37))</f>
        <v/>
      </c>
      <c r="N37" s="9" t="n"/>
      <c r="O37" s="9" t="n"/>
      <c r="P37" s="9" t="n"/>
      <c r="Q37" s="9" t="n"/>
    </row>
    <row r="38">
      <c r="A38" s="9" t="n"/>
      <c r="B38" s="70" t="n"/>
      <c r="C38" s="9" t="n"/>
      <c r="D38" s="9" t="n"/>
      <c r="E38" s="9" t="n"/>
      <c r="F38" s="9" t="n"/>
      <c r="G38" s="9" t="n"/>
      <c r="H38" s="71" t="n"/>
      <c r="I38" s="9" t="n"/>
      <c r="J38" s="89">
        <f>IF(H38="","",IF(I38="Sí",ROUND(H38*Configuracion!$B$11,0),0))</f>
        <v/>
      </c>
      <c r="K38" s="89">
        <f>IF(H38="","",H38+J38)</f>
        <v/>
      </c>
      <c r="L38" s="13">
        <f>IF(B38="","",YEAR(B38))</f>
        <v/>
      </c>
      <c r="M38" s="13">
        <f>IF(B38="","",MONTH(B38))</f>
        <v/>
      </c>
      <c r="N38" s="9" t="n"/>
      <c r="O38" s="9" t="n"/>
      <c r="P38" s="9" t="n"/>
      <c r="Q38" s="9" t="n"/>
    </row>
    <row r="39">
      <c r="A39" s="9" t="n"/>
      <c r="B39" s="70" t="n"/>
      <c r="C39" s="9" t="n"/>
      <c r="D39" s="9" t="n"/>
      <c r="E39" s="9" t="n"/>
      <c r="F39" s="9" t="n"/>
      <c r="G39" s="9" t="n"/>
      <c r="H39" s="71" t="n"/>
      <c r="I39" s="9" t="n"/>
      <c r="J39" s="89">
        <f>IF(H39="","",IF(I39="Sí",ROUND(H39*Configuracion!$B$11,0),0))</f>
        <v/>
      </c>
      <c r="K39" s="89">
        <f>IF(H39="","",H39+J39)</f>
        <v/>
      </c>
      <c r="L39" s="13">
        <f>IF(B39="","",YEAR(B39))</f>
        <v/>
      </c>
      <c r="M39" s="13">
        <f>IF(B39="","",MONTH(B39))</f>
        <v/>
      </c>
      <c r="N39" s="9" t="n"/>
      <c r="O39" s="9" t="n"/>
      <c r="P39" s="9" t="n"/>
      <c r="Q39" s="9" t="n"/>
    </row>
    <row r="40">
      <c r="A40" s="9" t="n"/>
      <c r="B40" s="70" t="n"/>
      <c r="C40" s="9" t="n"/>
      <c r="D40" s="9" t="n"/>
      <c r="E40" s="9" t="n"/>
      <c r="F40" s="9" t="n"/>
      <c r="G40" s="9" t="n"/>
      <c r="H40" s="71" t="n"/>
      <c r="I40" s="9" t="n"/>
      <c r="J40" s="89">
        <f>IF(H40="","",IF(I40="Sí",ROUND(H40*Configuracion!$B$11,0),0))</f>
        <v/>
      </c>
      <c r="K40" s="89">
        <f>IF(H40="","",H40+J40)</f>
        <v/>
      </c>
      <c r="L40" s="13">
        <f>IF(B40="","",YEAR(B40))</f>
        <v/>
      </c>
      <c r="M40" s="13">
        <f>IF(B40="","",MONTH(B40))</f>
        <v/>
      </c>
      <c r="N40" s="9" t="n"/>
      <c r="O40" s="9" t="n"/>
      <c r="P40" s="9" t="n"/>
      <c r="Q40" s="9" t="n"/>
    </row>
    <row r="41">
      <c r="A41" s="9" t="n"/>
      <c r="B41" s="70" t="n"/>
      <c r="C41" s="9" t="n"/>
      <c r="D41" s="9" t="n"/>
      <c r="E41" s="9" t="n"/>
      <c r="F41" s="9" t="n"/>
      <c r="G41" s="9" t="n"/>
      <c r="H41" s="71" t="n"/>
      <c r="I41" s="9" t="n"/>
      <c r="J41" s="89">
        <f>IF(H41="","",IF(I41="Sí",ROUND(H41*Configuracion!$B$11,0),0))</f>
        <v/>
      </c>
      <c r="K41" s="89">
        <f>IF(H41="","",H41+J41)</f>
        <v/>
      </c>
      <c r="L41" s="13">
        <f>IF(B41="","",YEAR(B41))</f>
        <v/>
      </c>
      <c r="M41" s="13">
        <f>IF(B41="","",MONTH(B41))</f>
        <v/>
      </c>
      <c r="N41" s="9" t="n"/>
      <c r="O41" s="9" t="n"/>
      <c r="P41" s="9" t="n"/>
      <c r="Q41" s="9" t="n"/>
    </row>
    <row r="42">
      <c r="A42" s="9" t="n"/>
      <c r="B42" s="70" t="n"/>
      <c r="C42" s="9" t="n"/>
      <c r="D42" s="9" t="n"/>
      <c r="E42" s="9" t="n"/>
      <c r="F42" s="9" t="n"/>
      <c r="G42" s="9" t="n"/>
      <c r="H42" s="71" t="n"/>
      <c r="I42" s="9" t="n"/>
      <c r="J42" s="89">
        <f>IF(H42="","",IF(I42="Sí",ROUND(H42*Configuracion!$B$11,0),0))</f>
        <v/>
      </c>
      <c r="K42" s="89">
        <f>IF(H42="","",H42+J42)</f>
        <v/>
      </c>
      <c r="L42" s="13">
        <f>IF(B42="","",YEAR(B42))</f>
        <v/>
      </c>
      <c r="M42" s="13">
        <f>IF(B42="","",MONTH(B42))</f>
        <v/>
      </c>
      <c r="N42" s="9" t="n"/>
      <c r="O42" s="9" t="n"/>
      <c r="P42" s="9" t="n"/>
      <c r="Q42" s="9" t="n"/>
    </row>
    <row r="43">
      <c r="A43" s="9" t="n"/>
      <c r="B43" s="70" t="n"/>
      <c r="C43" s="9" t="n"/>
      <c r="D43" s="9" t="n"/>
      <c r="E43" s="9" t="n"/>
      <c r="F43" s="9" t="n"/>
      <c r="G43" s="9" t="n"/>
      <c r="H43" s="71" t="n"/>
      <c r="I43" s="9" t="n"/>
      <c r="J43" s="89">
        <f>IF(H43="","",IF(I43="Sí",ROUND(H43*Configuracion!$B$11,0),0))</f>
        <v/>
      </c>
      <c r="K43" s="89">
        <f>IF(H43="","",H43+J43)</f>
        <v/>
      </c>
      <c r="L43" s="13">
        <f>IF(B43="","",YEAR(B43))</f>
        <v/>
      </c>
      <c r="M43" s="13">
        <f>IF(B43="","",MONTH(B43))</f>
        <v/>
      </c>
      <c r="N43" s="9" t="n"/>
      <c r="O43" s="9" t="n"/>
      <c r="P43" s="9" t="n"/>
      <c r="Q43" s="9" t="n"/>
    </row>
    <row r="44">
      <c r="A44" s="9" t="n"/>
      <c r="B44" s="70" t="n"/>
      <c r="C44" s="9" t="n"/>
      <c r="D44" s="9" t="n"/>
      <c r="E44" s="9" t="n"/>
      <c r="F44" s="9" t="n"/>
      <c r="G44" s="9" t="n"/>
      <c r="H44" s="71" t="n"/>
      <c r="I44" s="9" t="n"/>
      <c r="J44" s="89">
        <f>IF(H44="","",IF(I44="Sí",ROUND(H44*Configuracion!$B$11,0),0))</f>
        <v/>
      </c>
      <c r="K44" s="89">
        <f>IF(H44="","",H44+J44)</f>
        <v/>
      </c>
      <c r="L44" s="13">
        <f>IF(B44="","",YEAR(B44))</f>
        <v/>
      </c>
      <c r="M44" s="13">
        <f>IF(B44="","",MONTH(B44))</f>
        <v/>
      </c>
      <c r="N44" s="9" t="n"/>
      <c r="O44" s="9" t="n"/>
      <c r="P44" s="9" t="n"/>
      <c r="Q44" s="9" t="n"/>
    </row>
    <row r="45">
      <c r="A45" s="9" t="n"/>
      <c r="B45" s="70" t="n"/>
      <c r="C45" s="9" t="n"/>
      <c r="D45" s="9" t="n"/>
      <c r="E45" s="9" t="n"/>
      <c r="F45" s="9" t="n"/>
      <c r="G45" s="9" t="n"/>
      <c r="H45" s="71" t="n"/>
      <c r="I45" s="9" t="n"/>
      <c r="J45" s="89">
        <f>IF(H45="","",IF(I45="Sí",ROUND(H45*Configuracion!$B$11,0),0))</f>
        <v/>
      </c>
      <c r="K45" s="89">
        <f>IF(H45="","",H45+J45)</f>
        <v/>
      </c>
      <c r="L45" s="13">
        <f>IF(B45="","",YEAR(B45))</f>
        <v/>
      </c>
      <c r="M45" s="13">
        <f>IF(B45="","",MONTH(B45))</f>
        <v/>
      </c>
      <c r="N45" s="9" t="n"/>
      <c r="O45" s="9" t="n"/>
      <c r="P45" s="9" t="n"/>
      <c r="Q45" s="9" t="n"/>
    </row>
    <row r="46">
      <c r="A46" s="9" t="n"/>
      <c r="B46" s="70" t="n"/>
      <c r="C46" s="9" t="n"/>
      <c r="D46" s="9" t="n"/>
      <c r="E46" s="9" t="n"/>
      <c r="F46" s="9" t="n"/>
      <c r="G46" s="9" t="n"/>
      <c r="H46" s="71" t="n"/>
      <c r="I46" s="9" t="n"/>
      <c r="J46" s="89">
        <f>IF(H46="","",IF(I46="Sí",ROUND(H46*Configuracion!$B$11,0),0))</f>
        <v/>
      </c>
      <c r="K46" s="89">
        <f>IF(H46="","",H46+J46)</f>
        <v/>
      </c>
      <c r="L46" s="13">
        <f>IF(B46="","",YEAR(B46))</f>
        <v/>
      </c>
      <c r="M46" s="13">
        <f>IF(B46="","",MONTH(B46))</f>
        <v/>
      </c>
      <c r="N46" s="9" t="n"/>
      <c r="O46" s="9" t="n"/>
      <c r="P46" s="9" t="n"/>
      <c r="Q46" s="9" t="n"/>
    </row>
    <row r="47">
      <c r="A47" s="9" t="n"/>
      <c r="B47" s="70" t="n"/>
      <c r="C47" s="9" t="n"/>
      <c r="D47" s="9" t="n"/>
      <c r="E47" s="9" t="n"/>
      <c r="F47" s="9" t="n"/>
      <c r="G47" s="9" t="n"/>
      <c r="H47" s="71" t="n"/>
      <c r="I47" s="9" t="n"/>
      <c r="J47" s="89">
        <f>IF(H47="","",IF(I47="Sí",ROUND(H47*Configuracion!$B$11,0),0))</f>
        <v/>
      </c>
      <c r="K47" s="89">
        <f>IF(H47="","",H47+J47)</f>
        <v/>
      </c>
      <c r="L47" s="13">
        <f>IF(B47="","",YEAR(B47))</f>
        <v/>
      </c>
      <c r="M47" s="13">
        <f>IF(B47="","",MONTH(B47))</f>
        <v/>
      </c>
      <c r="N47" s="9" t="n"/>
      <c r="O47" s="9" t="n"/>
      <c r="P47" s="9" t="n"/>
      <c r="Q47" s="9" t="n"/>
    </row>
    <row r="48">
      <c r="A48" s="9" t="n"/>
      <c r="B48" s="70" t="n"/>
      <c r="C48" s="9" t="n"/>
      <c r="D48" s="9" t="n"/>
      <c r="E48" s="9" t="n"/>
      <c r="F48" s="9" t="n"/>
      <c r="G48" s="9" t="n"/>
      <c r="H48" s="71" t="n"/>
      <c r="I48" s="9" t="n"/>
      <c r="J48" s="89">
        <f>IF(H48="","",IF(I48="Sí",ROUND(H48*Configuracion!$B$11,0),0))</f>
        <v/>
      </c>
      <c r="K48" s="89">
        <f>IF(H48="","",H48+J48)</f>
        <v/>
      </c>
      <c r="L48" s="13">
        <f>IF(B48="","",YEAR(B48))</f>
        <v/>
      </c>
      <c r="M48" s="13">
        <f>IF(B48="","",MONTH(B48))</f>
        <v/>
      </c>
      <c r="N48" s="9" t="n"/>
      <c r="O48" s="9" t="n"/>
      <c r="P48" s="9" t="n"/>
      <c r="Q48" s="9" t="n"/>
    </row>
    <row r="49">
      <c r="A49" s="9" t="n"/>
      <c r="B49" s="70" t="n"/>
      <c r="C49" s="9" t="n"/>
      <c r="D49" s="9" t="n"/>
      <c r="E49" s="9" t="n"/>
      <c r="F49" s="9" t="n"/>
      <c r="G49" s="9" t="n"/>
      <c r="H49" s="71" t="n"/>
      <c r="I49" s="9" t="n"/>
      <c r="J49" s="89">
        <f>IF(H49="","",IF(I49="Sí",ROUND(H49*Configuracion!$B$11,0),0))</f>
        <v/>
      </c>
      <c r="K49" s="89">
        <f>IF(H49="","",H49+J49)</f>
        <v/>
      </c>
      <c r="L49" s="13">
        <f>IF(B49="","",YEAR(B49))</f>
        <v/>
      </c>
      <c r="M49" s="13">
        <f>IF(B49="","",MONTH(B49))</f>
        <v/>
      </c>
      <c r="N49" s="9" t="n"/>
      <c r="O49" s="9" t="n"/>
      <c r="P49" s="9" t="n"/>
      <c r="Q49" s="9" t="n"/>
    </row>
    <row r="50">
      <c r="A50" s="9" t="n"/>
      <c r="B50" s="70" t="n"/>
      <c r="C50" s="9" t="n"/>
      <c r="D50" s="9" t="n"/>
      <c r="E50" s="9" t="n"/>
      <c r="F50" s="9" t="n"/>
      <c r="G50" s="9" t="n"/>
      <c r="H50" s="71" t="n"/>
      <c r="I50" s="9" t="n"/>
      <c r="J50" s="89">
        <f>IF(H50="","",IF(I50="Sí",ROUND(H50*Configuracion!$B$11,0),0))</f>
        <v/>
      </c>
      <c r="K50" s="89">
        <f>IF(H50="","",H50+J50)</f>
        <v/>
      </c>
      <c r="L50" s="13">
        <f>IF(B50="","",YEAR(B50))</f>
        <v/>
      </c>
      <c r="M50" s="13">
        <f>IF(B50="","",MONTH(B50))</f>
        <v/>
      </c>
      <c r="N50" s="9" t="n"/>
      <c r="O50" s="9" t="n"/>
      <c r="P50" s="9" t="n"/>
      <c r="Q50" s="9" t="n"/>
    </row>
    <row r="51">
      <c r="A51" s="9" t="n"/>
      <c r="B51" s="70" t="n"/>
      <c r="C51" s="9" t="n"/>
      <c r="D51" s="9" t="n"/>
      <c r="E51" s="9" t="n"/>
      <c r="F51" s="9" t="n"/>
      <c r="G51" s="9" t="n"/>
      <c r="H51" s="71" t="n"/>
      <c r="I51" s="9" t="n"/>
      <c r="J51" s="89">
        <f>IF(H51="","",IF(I51="Sí",ROUND(H51*Configuracion!$B$11,0),0))</f>
        <v/>
      </c>
      <c r="K51" s="89">
        <f>IF(H51="","",H51+J51)</f>
        <v/>
      </c>
      <c r="L51" s="13">
        <f>IF(B51="","",YEAR(B51))</f>
        <v/>
      </c>
      <c r="M51" s="13">
        <f>IF(B51="","",MONTH(B51))</f>
        <v/>
      </c>
      <c r="N51" s="9" t="n"/>
      <c r="O51" s="9" t="n"/>
      <c r="P51" s="9" t="n"/>
      <c r="Q51" s="9" t="n"/>
    </row>
    <row r="52">
      <c r="A52" s="9" t="n"/>
      <c r="B52" s="70" t="n"/>
      <c r="C52" s="9" t="n"/>
      <c r="D52" s="9" t="n"/>
      <c r="E52" s="9" t="n"/>
      <c r="F52" s="9" t="n"/>
      <c r="G52" s="9" t="n"/>
      <c r="H52" s="71" t="n"/>
      <c r="I52" s="9" t="n"/>
      <c r="J52" s="89">
        <f>IF(H52="","",IF(I52="Sí",ROUND(H52*Configuracion!$B$11,0),0))</f>
        <v/>
      </c>
      <c r="K52" s="89">
        <f>IF(H52="","",H52+J52)</f>
        <v/>
      </c>
      <c r="L52" s="13">
        <f>IF(B52="","",YEAR(B52))</f>
        <v/>
      </c>
      <c r="M52" s="13">
        <f>IF(B52="","",MONTH(B52))</f>
        <v/>
      </c>
      <c r="N52" s="9" t="n"/>
      <c r="O52" s="9" t="n"/>
      <c r="P52" s="9" t="n"/>
      <c r="Q52" s="9" t="n"/>
    </row>
    <row r="53">
      <c r="A53" s="9" t="n"/>
      <c r="B53" s="70" t="n"/>
      <c r="C53" s="9" t="n"/>
      <c r="D53" s="9" t="n"/>
      <c r="E53" s="9" t="n"/>
      <c r="F53" s="9" t="n"/>
      <c r="G53" s="9" t="n"/>
      <c r="H53" s="71" t="n"/>
      <c r="I53" s="9" t="n"/>
      <c r="J53" s="89">
        <f>IF(H53="","",IF(I53="Sí",ROUND(H53*Configuracion!$B$11,0),0))</f>
        <v/>
      </c>
      <c r="K53" s="89">
        <f>IF(H53="","",H53+J53)</f>
        <v/>
      </c>
      <c r="L53" s="13">
        <f>IF(B53="","",YEAR(B53))</f>
        <v/>
      </c>
      <c r="M53" s="13">
        <f>IF(B53="","",MONTH(B53))</f>
        <v/>
      </c>
      <c r="N53" s="9" t="n"/>
      <c r="O53" s="9" t="n"/>
      <c r="P53" s="9" t="n"/>
      <c r="Q53" s="9" t="n"/>
    </row>
    <row r="54">
      <c r="A54" s="9" t="n"/>
      <c r="B54" s="70" t="n"/>
      <c r="C54" s="9" t="n"/>
      <c r="D54" s="9" t="n"/>
      <c r="E54" s="9" t="n"/>
      <c r="F54" s="9" t="n"/>
      <c r="G54" s="9" t="n"/>
      <c r="H54" s="71" t="n"/>
      <c r="I54" s="9" t="n"/>
      <c r="J54" s="89">
        <f>IF(H54="","",IF(I54="Sí",ROUND(H54*Configuracion!$B$11,0),0))</f>
        <v/>
      </c>
      <c r="K54" s="89">
        <f>IF(H54="","",H54+J54)</f>
        <v/>
      </c>
      <c r="L54" s="13">
        <f>IF(B54="","",YEAR(B54))</f>
        <v/>
      </c>
      <c r="M54" s="13">
        <f>IF(B54="","",MONTH(B54))</f>
        <v/>
      </c>
      <c r="N54" s="9" t="n"/>
      <c r="O54" s="9" t="n"/>
      <c r="P54" s="9" t="n"/>
      <c r="Q54" s="9" t="n"/>
    </row>
    <row r="55">
      <c r="A55" s="9" t="n"/>
      <c r="B55" s="70" t="n"/>
      <c r="C55" s="9" t="n"/>
      <c r="D55" s="9" t="n"/>
      <c r="E55" s="9" t="n"/>
      <c r="F55" s="9" t="n"/>
      <c r="G55" s="9" t="n"/>
      <c r="H55" s="71" t="n"/>
      <c r="I55" s="9" t="n"/>
      <c r="J55" s="89">
        <f>IF(H55="","",IF(I55="Sí",ROUND(H55*Configuracion!$B$11,0),0))</f>
        <v/>
      </c>
      <c r="K55" s="89">
        <f>IF(H55="","",H55+J55)</f>
        <v/>
      </c>
      <c r="L55" s="13">
        <f>IF(B55="","",YEAR(B55))</f>
        <v/>
      </c>
      <c r="M55" s="13">
        <f>IF(B55="","",MONTH(B55))</f>
        <v/>
      </c>
      <c r="N55" s="9" t="n"/>
      <c r="O55" s="9" t="n"/>
      <c r="P55" s="9" t="n"/>
      <c r="Q55" s="9" t="n"/>
    </row>
    <row r="56">
      <c r="A56" s="9" t="n"/>
      <c r="B56" s="70" t="n"/>
      <c r="C56" s="9" t="n"/>
      <c r="D56" s="9" t="n"/>
      <c r="E56" s="9" t="n"/>
      <c r="F56" s="9" t="n"/>
      <c r="G56" s="9" t="n"/>
      <c r="H56" s="71" t="n"/>
      <c r="I56" s="9" t="n"/>
      <c r="J56" s="89">
        <f>IF(H56="","",IF(I56="Sí",ROUND(H56*Configuracion!$B$11,0),0))</f>
        <v/>
      </c>
      <c r="K56" s="89">
        <f>IF(H56="","",H56+J56)</f>
        <v/>
      </c>
      <c r="L56" s="13">
        <f>IF(B56="","",YEAR(B56))</f>
        <v/>
      </c>
      <c r="M56" s="13">
        <f>IF(B56="","",MONTH(B56))</f>
        <v/>
      </c>
      <c r="N56" s="9" t="n"/>
      <c r="O56" s="9" t="n"/>
      <c r="P56" s="9" t="n"/>
      <c r="Q56" s="9" t="n"/>
    </row>
    <row r="57">
      <c r="A57" s="9" t="n"/>
      <c r="B57" s="70" t="n"/>
      <c r="C57" s="9" t="n"/>
      <c r="D57" s="9" t="n"/>
      <c r="E57" s="9" t="n"/>
      <c r="F57" s="9" t="n"/>
      <c r="G57" s="9" t="n"/>
      <c r="H57" s="71" t="n"/>
      <c r="I57" s="9" t="n"/>
      <c r="J57" s="89">
        <f>IF(H57="","",IF(I57="Sí",ROUND(H57*Configuracion!$B$11,0),0))</f>
        <v/>
      </c>
      <c r="K57" s="89">
        <f>IF(H57="","",H57+J57)</f>
        <v/>
      </c>
      <c r="L57" s="13">
        <f>IF(B57="","",YEAR(B57))</f>
        <v/>
      </c>
      <c r="M57" s="13">
        <f>IF(B57="","",MONTH(B57))</f>
        <v/>
      </c>
      <c r="N57" s="9" t="n"/>
      <c r="O57" s="9" t="n"/>
      <c r="P57" s="9" t="n"/>
      <c r="Q57" s="9" t="n"/>
    </row>
    <row r="58">
      <c r="A58" s="9" t="n"/>
      <c r="B58" s="70" t="n"/>
      <c r="C58" s="9" t="n"/>
      <c r="D58" s="9" t="n"/>
      <c r="E58" s="9" t="n"/>
      <c r="F58" s="9" t="n"/>
      <c r="G58" s="9" t="n"/>
      <c r="H58" s="71" t="n"/>
      <c r="I58" s="9" t="n"/>
      <c r="J58" s="89">
        <f>IF(H58="","",IF(I58="Sí",ROUND(H58*Configuracion!$B$11,0),0))</f>
        <v/>
      </c>
      <c r="K58" s="89">
        <f>IF(H58="","",H58+J58)</f>
        <v/>
      </c>
      <c r="L58" s="13">
        <f>IF(B58="","",YEAR(B58))</f>
        <v/>
      </c>
      <c r="M58" s="13">
        <f>IF(B58="","",MONTH(B58))</f>
        <v/>
      </c>
      <c r="N58" s="9" t="n"/>
      <c r="O58" s="9" t="n"/>
      <c r="P58" s="9" t="n"/>
      <c r="Q58" s="9" t="n"/>
    </row>
    <row r="59">
      <c r="A59" s="9" t="n"/>
      <c r="B59" s="70" t="n"/>
      <c r="C59" s="9" t="n"/>
      <c r="D59" s="9" t="n"/>
      <c r="E59" s="9" t="n"/>
      <c r="F59" s="9" t="n"/>
      <c r="G59" s="9" t="n"/>
      <c r="H59" s="71" t="n"/>
      <c r="I59" s="9" t="n"/>
      <c r="J59" s="89">
        <f>IF(H59="","",IF(I59="Sí",ROUND(H59*Configuracion!$B$11,0),0))</f>
        <v/>
      </c>
      <c r="K59" s="89">
        <f>IF(H59="","",H59+J59)</f>
        <v/>
      </c>
      <c r="L59" s="13">
        <f>IF(B59="","",YEAR(B59))</f>
        <v/>
      </c>
      <c r="M59" s="13">
        <f>IF(B59="","",MONTH(B59))</f>
        <v/>
      </c>
      <c r="N59" s="9" t="n"/>
      <c r="O59" s="9" t="n"/>
      <c r="P59" s="9" t="n"/>
      <c r="Q59" s="9" t="n"/>
    </row>
    <row r="60">
      <c r="A60" s="9" t="n"/>
      <c r="B60" s="70" t="n"/>
      <c r="C60" s="9" t="n"/>
      <c r="D60" s="9" t="n"/>
      <c r="E60" s="9" t="n"/>
      <c r="F60" s="9" t="n"/>
      <c r="G60" s="9" t="n"/>
      <c r="H60" s="71" t="n"/>
      <c r="I60" s="9" t="n"/>
      <c r="J60" s="89">
        <f>IF(H60="","",IF(I60="Sí",ROUND(H60*Configuracion!$B$11,0),0))</f>
        <v/>
      </c>
      <c r="K60" s="89">
        <f>IF(H60="","",H60+J60)</f>
        <v/>
      </c>
      <c r="L60" s="13">
        <f>IF(B60="","",YEAR(B60))</f>
        <v/>
      </c>
      <c r="M60" s="13">
        <f>IF(B60="","",MONTH(B60))</f>
        <v/>
      </c>
      <c r="N60" s="9" t="n"/>
      <c r="O60" s="9" t="n"/>
      <c r="P60" s="9" t="n"/>
      <c r="Q60" s="9" t="n"/>
    </row>
    <row r="61">
      <c r="A61" s="9" t="n"/>
      <c r="B61" s="70" t="n"/>
      <c r="C61" s="9" t="n"/>
      <c r="D61" s="9" t="n"/>
      <c r="E61" s="9" t="n"/>
      <c r="F61" s="9" t="n"/>
      <c r="G61" s="9" t="n"/>
      <c r="H61" s="71" t="n"/>
      <c r="I61" s="9" t="n"/>
      <c r="J61" s="89">
        <f>IF(H61="","",IF(I61="Sí",ROUND(H61*Configuracion!$B$11,0),0))</f>
        <v/>
      </c>
      <c r="K61" s="89">
        <f>IF(H61="","",H61+J61)</f>
        <v/>
      </c>
      <c r="L61" s="13">
        <f>IF(B61="","",YEAR(B61))</f>
        <v/>
      </c>
      <c r="M61" s="13">
        <f>IF(B61="","",MONTH(B61))</f>
        <v/>
      </c>
      <c r="N61" s="9" t="n"/>
      <c r="O61" s="9" t="n"/>
      <c r="P61" s="9" t="n"/>
      <c r="Q61" s="9" t="n"/>
    </row>
    <row r="62">
      <c r="A62" s="9" t="n"/>
      <c r="B62" s="70" t="n"/>
      <c r="C62" s="9" t="n"/>
      <c r="D62" s="9" t="n"/>
      <c r="E62" s="9" t="n"/>
      <c r="F62" s="9" t="n"/>
      <c r="G62" s="9" t="n"/>
      <c r="H62" s="71" t="n"/>
      <c r="I62" s="9" t="n"/>
      <c r="J62" s="89">
        <f>IF(H62="","",IF(I62="Sí",ROUND(H62*Configuracion!$B$11,0),0))</f>
        <v/>
      </c>
      <c r="K62" s="89">
        <f>IF(H62="","",H62+J62)</f>
        <v/>
      </c>
      <c r="L62" s="13">
        <f>IF(B62="","",YEAR(B62))</f>
        <v/>
      </c>
      <c r="M62" s="13">
        <f>IF(B62="","",MONTH(B62))</f>
        <v/>
      </c>
      <c r="N62" s="9" t="n"/>
      <c r="O62" s="9" t="n"/>
      <c r="P62" s="9" t="n"/>
      <c r="Q62" s="9" t="n"/>
    </row>
    <row r="63">
      <c r="A63" s="9" t="n"/>
      <c r="B63" s="70" t="n"/>
      <c r="C63" s="9" t="n"/>
      <c r="D63" s="9" t="n"/>
      <c r="E63" s="9" t="n"/>
      <c r="F63" s="9" t="n"/>
      <c r="G63" s="9" t="n"/>
      <c r="H63" s="71" t="n"/>
      <c r="I63" s="9" t="n"/>
      <c r="J63" s="89">
        <f>IF(H63="","",IF(I63="Sí",ROUND(H63*Configuracion!$B$11,0),0))</f>
        <v/>
      </c>
      <c r="K63" s="89">
        <f>IF(H63="","",H63+J63)</f>
        <v/>
      </c>
      <c r="L63" s="13">
        <f>IF(B63="","",YEAR(B63))</f>
        <v/>
      </c>
      <c r="M63" s="13">
        <f>IF(B63="","",MONTH(B63))</f>
        <v/>
      </c>
      <c r="N63" s="9" t="n"/>
      <c r="O63" s="9" t="n"/>
      <c r="P63" s="9" t="n"/>
      <c r="Q63" s="9" t="n"/>
    </row>
    <row r="64">
      <c r="A64" s="9" t="n"/>
      <c r="B64" s="70" t="n"/>
      <c r="C64" s="9" t="n"/>
      <c r="D64" s="9" t="n"/>
      <c r="E64" s="9" t="n"/>
      <c r="F64" s="9" t="n"/>
      <c r="G64" s="9" t="n"/>
      <c r="H64" s="71" t="n"/>
      <c r="I64" s="9" t="n"/>
      <c r="J64" s="89">
        <f>IF(H64="","",IF(I64="Sí",ROUND(H64*Configuracion!$B$11,0),0))</f>
        <v/>
      </c>
      <c r="K64" s="89">
        <f>IF(H64="","",H64+J64)</f>
        <v/>
      </c>
      <c r="L64" s="13">
        <f>IF(B64="","",YEAR(B64))</f>
        <v/>
      </c>
      <c r="M64" s="13">
        <f>IF(B64="","",MONTH(B64))</f>
        <v/>
      </c>
      <c r="N64" s="9" t="n"/>
      <c r="O64" s="9" t="n"/>
      <c r="P64" s="9" t="n"/>
      <c r="Q64" s="9" t="n"/>
    </row>
    <row r="65">
      <c r="A65" s="9" t="n"/>
      <c r="B65" s="70" t="n"/>
      <c r="C65" s="9" t="n"/>
      <c r="D65" s="9" t="n"/>
      <c r="E65" s="9" t="n"/>
      <c r="F65" s="9" t="n"/>
      <c r="G65" s="9" t="n"/>
      <c r="H65" s="71" t="n"/>
      <c r="I65" s="9" t="n"/>
      <c r="J65" s="89">
        <f>IF(H65="","",IF(I65="Sí",ROUND(H65*Configuracion!$B$11,0),0))</f>
        <v/>
      </c>
      <c r="K65" s="89">
        <f>IF(H65="","",H65+J65)</f>
        <v/>
      </c>
      <c r="L65" s="13">
        <f>IF(B65="","",YEAR(B65))</f>
        <v/>
      </c>
      <c r="M65" s="13">
        <f>IF(B65="","",MONTH(B65))</f>
        <v/>
      </c>
      <c r="N65" s="9" t="n"/>
      <c r="O65" s="9" t="n"/>
      <c r="P65" s="9" t="n"/>
      <c r="Q65" s="9" t="n"/>
    </row>
    <row r="66">
      <c r="A66" s="9" t="n"/>
      <c r="B66" s="70" t="n"/>
      <c r="C66" s="9" t="n"/>
      <c r="D66" s="9" t="n"/>
      <c r="E66" s="9" t="n"/>
      <c r="F66" s="9" t="n"/>
      <c r="G66" s="9" t="n"/>
      <c r="H66" s="71" t="n"/>
      <c r="I66" s="9" t="n"/>
      <c r="J66" s="89">
        <f>IF(H66="","",IF(I66="Sí",ROUND(H66*Configuracion!$B$11,0),0))</f>
        <v/>
      </c>
      <c r="K66" s="89">
        <f>IF(H66="","",H66+J66)</f>
        <v/>
      </c>
      <c r="L66" s="13">
        <f>IF(B66="","",YEAR(B66))</f>
        <v/>
      </c>
      <c r="M66" s="13">
        <f>IF(B66="","",MONTH(B66))</f>
        <v/>
      </c>
      <c r="N66" s="9" t="n"/>
      <c r="O66" s="9" t="n"/>
      <c r="P66" s="9" t="n"/>
      <c r="Q66" s="9" t="n"/>
    </row>
    <row r="67">
      <c r="A67" s="9" t="n"/>
      <c r="B67" s="70" t="n"/>
      <c r="C67" s="9" t="n"/>
      <c r="D67" s="9" t="n"/>
      <c r="E67" s="9" t="n"/>
      <c r="F67" s="9" t="n"/>
      <c r="G67" s="9" t="n"/>
      <c r="H67" s="71" t="n"/>
      <c r="I67" s="9" t="n"/>
      <c r="J67" s="89">
        <f>IF(H67="","",IF(I67="Sí",ROUND(H67*Configuracion!$B$11,0),0))</f>
        <v/>
      </c>
      <c r="K67" s="89">
        <f>IF(H67="","",H67+J67)</f>
        <v/>
      </c>
      <c r="L67" s="13">
        <f>IF(B67="","",YEAR(B67))</f>
        <v/>
      </c>
      <c r="M67" s="13">
        <f>IF(B67="","",MONTH(B67))</f>
        <v/>
      </c>
      <c r="N67" s="9" t="n"/>
      <c r="O67" s="9" t="n"/>
      <c r="P67" s="9" t="n"/>
      <c r="Q67" s="9" t="n"/>
    </row>
    <row r="68">
      <c r="A68" s="9" t="n"/>
      <c r="B68" s="70" t="n"/>
      <c r="C68" s="9" t="n"/>
      <c r="D68" s="9" t="n"/>
      <c r="E68" s="9" t="n"/>
      <c r="F68" s="9" t="n"/>
      <c r="G68" s="9" t="n"/>
      <c r="H68" s="71" t="n"/>
      <c r="I68" s="9" t="n"/>
      <c r="J68" s="89">
        <f>IF(H68="","",IF(I68="Sí",ROUND(H68*Configuracion!$B$11,0),0))</f>
        <v/>
      </c>
      <c r="K68" s="89">
        <f>IF(H68="","",H68+J68)</f>
        <v/>
      </c>
      <c r="L68" s="13">
        <f>IF(B68="","",YEAR(B68))</f>
        <v/>
      </c>
      <c r="M68" s="13">
        <f>IF(B68="","",MONTH(B68))</f>
        <v/>
      </c>
      <c r="N68" s="9" t="n"/>
      <c r="O68" s="9" t="n"/>
      <c r="P68" s="9" t="n"/>
      <c r="Q68" s="9" t="n"/>
    </row>
    <row r="69">
      <c r="A69" s="9" t="n"/>
      <c r="B69" s="70" t="n"/>
      <c r="C69" s="9" t="n"/>
      <c r="D69" s="9" t="n"/>
      <c r="E69" s="9" t="n"/>
      <c r="F69" s="9" t="n"/>
      <c r="G69" s="9" t="n"/>
      <c r="H69" s="71" t="n"/>
      <c r="I69" s="9" t="n"/>
      <c r="J69" s="89">
        <f>IF(H69="","",IF(I69="Sí",ROUND(H69*Configuracion!$B$11,0),0))</f>
        <v/>
      </c>
      <c r="K69" s="89">
        <f>IF(H69="","",H69+J69)</f>
        <v/>
      </c>
      <c r="L69" s="13">
        <f>IF(B69="","",YEAR(B69))</f>
        <v/>
      </c>
      <c r="M69" s="13">
        <f>IF(B69="","",MONTH(B69))</f>
        <v/>
      </c>
      <c r="N69" s="9" t="n"/>
      <c r="O69" s="9" t="n"/>
      <c r="P69" s="9" t="n"/>
      <c r="Q69" s="9" t="n"/>
    </row>
    <row r="70">
      <c r="A70" s="9" t="n"/>
      <c r="B70" s="70" t="n"/>
      <c r="C70" s="9" t="n"/>
      <c r="D70" s="9" t="n"/>
      <c r="E70" s="9" t="n"/>
      <c r="F70" s="9" t="n"/>
      <c r="G70" s="9" t="n"/>
      <c r="H70" s="71" t="n"/>
      <c r="I70" s="9" t="n"/>
      <c r="J70" s="89">
        <f>IF(H70="","",IF(I70="Sí",ROUND(H70*Configuracion!$B$11,0),0))</f>
        <v/>
      </c>
      <c r="K70" s="89">
        <f>IF(H70="","",H70+J70)</f>
        <v/>
      </c>
      <c r="L70" s="13">
        <f>IF(B70="","",YEAR(B70))</f>
        <v/>
      </c>
      <c r="M70" s="13">
        <f>IF(B70="","",MONTH(B70))</f>
        <v/>
      </c>
      <c r="N70" s="9" t="n"/>
      <c r="O70" s="9" t="n"/>
      <c r="P70" s="9" t="n"/>
      <c r="Q70" s="9" t="n"/>
    </row>
    <row r="71">
      <c r="A71" s="9" t="n"/>
      <c r="B71" s="70" t="n"/>
      <c r="C71" s="9" t="n"/>
      <c r="D71" s="9" t="n"/>
      <c r="E71" s="9" t="n"/>
      <c r="F71" s="9" t="n"/>
      <c r="G71" s="9" t="n"/>
      <c r="H71" s="71" t="n"/>
      <c r="I71" s="9" t="n"/>
      <c r="J71" s="89">
        <f>IF(H71="","",IF(I71="Sí",ROUND(H71*Configuracion!$B$11,0),0))</f>
        <v/>
      </c>
      <c r="K71" s="89">
        <f>IF(H71="","",H71+J71)</f>
        <v/>
      </c>
      <c r="L71" s="13">
        <f>IF(B71="","",YEAR(B71))</f>
        <v/>
      </c>
      <c r="M71" s="13">
        <f>IF(B71="","",MONTH(B71))</f>
        <v/>
      </c>
      <c r="N71" s="9" t="n"/>
      <c r="O71" s="9" t="n"/>
      <c r="P71" s="9" t="n"/>
      <c r="Q71" s="9" t="n"/>
    </row>
    <row r="72">
      <c r="A72" s="9" t="n"/>
      <c r="B72" s="70" t="n"/>
      <c r="C72" s="9" t="n"/>
      <c r="D72" s="9" t="n"/>
      <c r="E72" s="9" t="n"/>
      <c r="F72" s="9" t="n"/>
      <c r="G72" s="9" t="n"/>
      <c r="H72" s="71" t="n"/>
      <c r="I72" s="9" t="n"/>
      <c r="J72" s="89">
        <f>IF(H72="","",IF(I72="Sí",ROUND(H72*Configuracion!$B$11,0),0))</f>
        <v/>
      </c>
      <c r="K72" s="89">
        <f>IF(H72="","",H72+J72)</f>
        <v/>
      </c>
      <c r="L72" s="13">
        <f>IF(B72="","",YEAR(B72))</f>
        <v/>
      </c>
      <c r="M72" s="13">
        <f>IF(B72="","",MONTH(B72))</f>
        <v/>
      </c>
      <c r="N72" s="9" t="n"/>
      <c r="O72" s="9" t="n"/>
      <c r="P72" s="9" t="n"/>
      <c r="Q72" s="9" t="n"/>
    </row>
    <row r="73">
      <c r="A73" s="9" t="n"/>
      <c r="B73" s="70" t="n"/>
      <c r="C73" s="9" t="n"/>
      <c r="D73" s="9" t="n"/>
      <c r="E73" s="9" t="n"/>
      <c r="F73" s="9" t="n"/>
      <c r="G73" s="9" t="n"/>
      <c r="H73" s="71" t="n"/>
      <c r="I73" s="9" t="n"/>
      <c r="J73" s="89">
        <f>IF(H73="","",IF(I73="Sí",ROUND(H73*Configuracion!$B$11,0),0))</f>
        <v/>
      </c>
      <c r="K73" s="89">
        <f>IF(H73="","",H73+J73)</f>
        <v/>
      </c>
      <c r="L73" s="13">
        <f>IF(B73="","",YEAR(B73))</f>
        <v/>
      </c>
      <c r="M73" s="13">
        <f>IF(B73="","",MONTH(B73))</f>
        <v/>
      </c>
      <c r="N73" s="9" t="n"/>
      <c r="O73" s="9" t="n"/>
      <c r="P73" s="9" t="n"/>
      <c r="Q73" s="9" t="n"/>
    </row>
    <row r="74">
      <c r="A74" s="9" t="n"/>
      <c r="B74" s="70" t="n"/>
      <c r="C74" s="9" t="n"/>
      <c r="D74" s="9" t="n"/>
      <c r="E74" s="9" t="n"/>
      <c r="F74" s="9" t="n"/>
      <c r="G74" s="9" t="n"/>
      <c r="H74" s="71" t="n"/>
      <c r="I74" s="9" t="n"/>
      <c r="J74" s="89">
        <f>IF(H74="","",IF(I74="Sí",ROUND(H74*Configuracion!$B$11,0),0))</f>
        <v/>
      </c>
      <c r="K74" s="89">
        <f>IF(H74="","",H74+J74)</f>
        <v/>
      </c>
      <c r="L74" s="13">
        <f>IF(B74="","",YEAR(B74))</f>
        <v/>
      </c>
      <c r="M74" s="13">
        <f>IF(B74="","",MONTH(B74))</f>
        <v/>
      </c>
      <c r="N74" s="9" t="n"/>
      <c r="O74" s="9" t="n"/>
      <c r="P74" s="9" t="n"/>
      <c r="Q74" s="9" t="n"/>
    </row>
    <row r="75">
      <c r="A75" s="9" t="n"/>
      <c r="B75" s="70" t="n"/>
      <c r="C75" s="9" t="n"/>
      <c r="D75" s="9" t="n"/>
      <c r="E75" s="9" t="n"/>
      <c r="F75" s="9" t="n"/>
      <c r="G75" s="9" t="n"/>
      <c r="H75" s="71" t="n"/>
      <c r="I75" s="9" t="n"/>
      <c r="J75" s="89">
        <f>IF(H75="","",IF(I75="Sí",ROUND(H75*Configuracion!$B$11,0),0))</f>
        <v/>
      </c>
      <c r="K75" s="89">
        <f>IF(H75="","",H75+J75)</f>
        <v/>
      </c>
      <c r="L75" s="13">
        <f>IF(B75="","",YEAR(B75))</f>
        <v/>
      </c>
      <c r="M75" s="13">
        <f>IF(B75="","",MONTH(B75))</f>
        <v/>
      </c>
      <c r="N75" s="9" t="n"/>
      <c r="O75" s="9" t="n"/>
      <c r="P75" s="9" t="n"/>
      <c r="Q75" s="9" t="n"/>
    </row>
    <row r="76">
      <c r="A76" s="9" t="n"/>
      <c r="B76" s="70" t="n"/>
      <c r="C76" s="9" t="n"/>
      <c r="D76" s="9" t="n"/>
      <c r="E76" s="9" t="n"/>
      <c r="F76" s="9" t="n"/>
      <c r="G76" s="9" t="n"/>
      <c r="H76" s="71" t="n"/>
      <c r="I76" s="9" t="n"/>
      <c r="J76" s="89">
        <f>IF(H76="","",IF(I76="Sí",ROUND(H76*Configuracion!$B$11,0),0))</f>
        <v/>
      </c>
      <c r="K76" s="89">
        <f>IF(H76="","",H76+J76)</f>
        <v/>
      </c>
      <c r="L76" s="13">
        <f>IF(B76="","",YEAR(B76))</f>
        <v/>
      </c>
      <c r="M76" s="13">
        <f>IF(B76="","",MONTH(B76))</f>
        <v/>
      </c>
      <c r="N76" s="9" t="n"/>
      <c r="O76" s="9" t="n"/>
      <c r="P76" s="9" t="n"/>
      <c r="Q76" s="9" t="n"/>
    </row>
    <row r="77">
      <c r="A77" s="9" t="n"/>
      <c r="B77" s="70" t="n"/>
      <c r="C77" s="9" t="n"/>
      <c r="D77" s="9" t="n"/>
      <c r="E77" s="9" t="n"/>
      <c r="F77" s="9" t="n"/>
      <c r="G77" s="9" t="n"/>
      <c r="H77" s="71" t="n"/>
      <c r="I77" s="9" t="n"/>
      <c r="J77" s="89">
        <f>IF(H77="","",IF(I77="Sí",ROUND(H77*Configuracion!$B$11,0),0))</f>
        <v/>
      </c>
      <c r="K77" s="89">
        <f>IF(H77="","",H77+J77)</f>
        <v/>
      </c>
      <c r="L77" s="13">
        <f>IF(B77="","",YEAR(B77))</f>
        <v/>
      </c>
      <c r="M77" s="13">
        <f>IF(B77="","",MONTH(B77))</f>
        <v/>
      </c>
      <c r="N77" s="9" t="n"/>
      <c r="O77" s="9" t="n"/>
      <c r="P77" s="9" t="n"/>
      <c r="Q77" s="9" t="n"/>
    </row>
    <row r="78">
      <c r="A78" s="9" t="n"/>
      <c r="B78" s="70" t="n"/>
      <c r="C78" s="9" t="n"/>
      <c r="D78" s="9" t="n"/>
      <c r="E78" s="9" t="n"/>
      <c r="F78" s="9" t="n"/>
      <c r="G78" s="9" t="n"/>
      <c r="H78" s="71" t="n"/>
      <c r="I78" s="9" t="n"/>
      <c r="J78" s="89">
        <f>IF(H78="","",IF(I78="Sí",ROUND(H78*Configuracion!$B$11,0),0))</f>
        <v/>
      </c>
      <c r="K78" s="89">
        <f>IF(H78="","",H78+J78)</f>
        <v/>
      </c>
      <c r="L78" s="13">
        <f>IF(B78="","",YEAR(B78))</f>
        <v/>
      </c>
      <c r="M78" s="13">
        <f>IF(B78="","",MONTH(B78))</f>
        <v/>
      </c>
      <c r="N78" s="9" t="n"/>
      <c r="O78" s="9" t="n"/>
      <c r="P78" s="9" t="n"/>
      <c r="Q78" s="9" t="n"/>
    </row>
    <row r="79">
      <c r="A79" s="9" t="n"/>
      <c r="B79" s="70" t="n"/>
      <c r="C79" s="9" t="n"/>
      <c r="D79" s="9" t="n"/>
      <c r="E79" s="9" t="n"/>
      <c r="F79" s="9" t="n"/>
      <c r="G79" s="9" t="n"/>
      <c r="H79" s="71" t="n"/>
      <c r="I79" s="9" t="n"/>
      <c r="J79" s="89">
        <f>IF(H79="","",IF(I79="Sí",ROUND(H79*Configuracion!$B$11,0),0))</f>
        <v/>
      </c>
      <c r="K79" s="89">
        <f>IF(H79="","",H79+J79)</f>
        <v/>
      </c>
      <c r="L79" s="13">
        <f>IF(B79="","",YEAR(B79))</f>
        <v/>
      </c>
      <c r="M79" s="13">
        <f>IF(B79="","",MONTH(B79))</f>
        <v/>
      </c>
      <c r="N79" s="9" t="n"/>
      <c r="O79" s="9" t="n"/>
      <c r="P79" s="9" t="n"/>
      <c r="Q79" s="9" t="n"/>
    </row>
    <row r="80">
      <c r="A80" s="9" t="n"/>
      <c r="B80" s="70" t="n"/>
      <c r="C80" s="9" t="n"/>
      <c r="D80" s="9" t="n"/>
      <c r="E80" s="9" t="n"/>
      <c r="F80" s="9" t="n"/>
      <c r="G80" s="9" t="n"/>
      <c r="H80" s="71" t="n"/>
      <c r="I80" s="9" t="n"/>
      <c r="J80" s="89">
        <f>IF(H80="","",IF(I80="Sí",ROUND(H80*Configuracion!$B$11,0),0))</f>
        <v/>
      </c>
      <c r="K80" s="89">
        <f>IF(H80="","",H80+J80)</f>
        <v/>
      </c>
      <c r="L80" s="13">
        <f>IF(B80="","",YEAR(B80))</f>
        <v/>
      </c>
      <c r="M80" s="13">
        <f>IF(B80="","",MONTH(B80))</f>
        <v/>
      </c>
      <c r="N80" s="9" t="n"/>
      <c r="O80" s="9" t="n"/>
      <c r="P80" s="9" t="n"/>
      <c r="Q80" s="9" t="n"/>
    </row>
    <row r="81">
      <c r="A81" s="9" t="n"/>
      <c r="B81" s="70" t="n"/>
      <c r="C81" s="9" t="n"/>
      <c r="D81" s="9" t="n"/>
      <c r="E81" s="9" t="n"/>
      <c r="F81" s="9" t="n"/>
      <c r="G81" s="9" t="n"/>
      <c r="H81" s="71" t="n"/>
      <c r="I81" s="9" t="n"/>
      <c r="J81" s="89">
        <f>IF(H81="","",IF(I81="Sí",ROUND(H81*Configuracion!$B$11,0),0))</f>
        <v/>
      </c>
      <c r="K81" s="89">
        <f>IF(H81="","",H81+J81)</f>
        <v/>
      </c>
      <c r="L81" s="13">
        <f>IF(B81="","",YEAR(B81))</f>
        <v/>
      </c>
      <c r="M81" s="13">
        <f>IF(B81="","",MONTH(B81))</f>
        <v/>
      </c>
      <c r="N81" s="9" t="n"/>
      <c r="O81" s="9" t="n"/>
      <c r="P81" s="9" t="n"/>
      <c r="Q81" s="9" t="n"/>
    </row>
    <row r="82">
      <c r="A82" s="9" t="n"/>
      <c r="B82" s="70" t="n"/>
      <c r="C82" s="9" t="n"/>
      <c r="D82" s="9" t="n"/>
      <c r="E82" s="9" t="n"/>
      <c r="F82" s="9" t="n"/>
      <c r="G82" s="9" t="n"/>
      <c r="H82" s="71" t="n"/>
      <c r="I82" s="9" t="n"/>
      <c r="J82" s="89">
        <f>IF(H82="","",IF(I82="Sí",ROUND(H82*Configuracion!$B$11,0),0))</f>
        <v/>
      </c>
      <c r="K82" s="89">
        <f>IF(H82="","",H82+J82)</f>
        <v/>
      </c>
      <c r="L82" s="13">
        <f>IF(B82="","",YEAR(B82))</f>
        <v/>
      </c>
      <c r="M82" s="13">
        <f>IF(B82="","",MONTH(B82))</f>
        <v/>
      </c>
      <c r="N82" s="9" t="n"/>
      <c r="O82" s="9" t="n"/>
      <c r="P82" s="9" t="n"/>
      <c r="Q82" s="9" t="n"/>
    </row>
    <row r="83">
      <c r="A83" s="9" t="n"/>
      <c r="B83" s="70" t="n"/>
      <c r="C83" s="9" t="n"/>
      <c r="D83" s="9" t="n"/>
      <c r="E83" s="9" t="n"/>
      <c r="F83" s="9" t="n"/>
      <c r="G83" s="9" t="n"/>
      <c r="H83" s="71" t="n"/>
      <c r="I83" s="9" t="n"/>
      <c r="J83" s="89">
        <f>IF(H83="","",IF(I83="Sí",ROUND(H83*Configuracion!$B$11,0),0))</f>
        <v/>
      </c>
      <c r="K83" s="89">
        <f>IF(H83="","",H83+J83)</f>
        <v/>
      </c>
      <c r="L83" s="13">
        <f>IF(B83="","",YEAR(B83))</f>
        <v/>
      </c>
      <c r="M83" s="13">
        <f>IF(B83="","",MONTH(B83))</f>
        <v/>
      </c>
      <c r="N83" s="9" t="n"/>
      <c r="O83" s="9" t="n"/>
      <c r="P83" s="9" t="n"/>
      <c r="Q83" s="9" t="n"/>
    </row>
    <row r="84">
      <c r="A84" s="9" t="n"/>
      <c r="B84" s="70" t="n"/>
      <c r="C84" s="9" t="n"/>
      <c r="D84" s="9" t="n"/>
      <c r="E84" s="9" t="n"/>
      <c r="F84" s="9" t="n"/>
      <c r="G84" s="9" t="n"/>
      <c r="H84" s="71" t="n"/>
      <c r="I84" s="9" t="n"/>
      <c r="J84" s="89">
        <f>IF(H84="","",IF(I84="Sí",ROUND(H84*Configuracion!$B$11,0),0))</f>
        <v/>
      </c>
      <c r="K84" s="89">
        <f>IF(H84="","",H84+J84)</f>
        <v/>
      </c>
      <c r="L84" s="13">
        <f>IF(B84="","",YEAR(B84))</f>
        <v/>
      </c>
      <c r="M84" s="13">
        <f>IF(B84="","",MONTH(B84))</f>
        <v/>
      </c>
      <c r="N84" s="9" t="n"/>
      <c r="O84" s="9" t="n"/>
      <c r="P84" s="9" t="n"/>
      <c r="Q84" s="9" t="n"/>
    </row>
    <row r="85">
      <c r="A85" s="9" t="n"/>
      <c r="B85" s="70" t="n"/>
      <c r="C85" s="9" t="n"/>
      <c r="D85" s="9" t="n"/>
      <c r="E85" s="9" t="n"/>
      <c r="F85" s="9" t="n"/>
      <c r="G85" s="9" t="n"/>
      <c r="H85" s="71" t="n"/>
      <c r="I85" s="9" t="n"/>
      <c r="J85" s="89">
        <f>IF(H85="","",IF(I85="Sí",ROUND(H85*Configuracion!$B$11,0),0))</f>
        <v/>
      </c>
      <c r="K85" s="89">
        <f>IF(H85="","",H85+J85)</f>
        <v/>
      </c>
      <c r="L85" s="13">
        <f>IF(B85="","",YEAR(B85))</f>
        <v/>
      </c>
      <c r="M85" s="13">
        <f>IF(B85="","",MONTH(B85))</f>
        <v/>
      </c>
      <c r="N85" s="9" t="n"/>
      <c r="O85" s="9" t="n"/>
      <c r="P85" s="9" t="n"/>
      <c r="Q85" s="9" t="n"/>
    </row>
    <row r="86">
      <c r="A86" s="9" t="n"/>
      <c r="B86" s="70" t="n"/>
      <c r="C86" s="9" t="n"/>
      <c r="D86" s="9" t="n"/>
      <c r="E86" s="9" t="n"/>
      <c r="F86" s="9" t="n"/>
      <c r="G86" s="9" t="n"/>
      <c r="H86" s="71" t="n"/>
      <c r="I86" s="9" t="n"/>
      <c r="J86" s="89">
        <f>IF(H86="","",IF(I86="Sí",ROUND(H86*Configuracion!$B$11,0),0))</f>
        <v/>
      </c>
      <c r="K86" s="89">
        <f>IF(H86="","",H86+J86)</f>
        <v/>
      </c>
      <c r="L86" s="13">
        <f>IF(B86="","",YEAR(B86))</f>
        <v/>
      </c>
      <c r="M86" s="13">
        <f>IF(B86="","",MONTH(B86))</f>
        <v/>
      </c>
      <c r="N86" s="9" t="n"/>
      <c r="O86" s="9" t="n"/>
      <c r="P86" s="9" t="n"/>
      <c r="Q86" s="9" t="n"/>
    </row>
    <row r="87">
      <c r="A87" s="9" t="n"/>
      <c r="B87" s="70" t="n"/>
      <c r="C87" s="9" t="n"/>
      <c r="D87" s="9" t="n"/>
      <c r="E87" s="9" t="n"/>
      <c r="F87" s="9" t="n"/>
      <c r="G87" s="9" t="n"/>
      <c r="H87" s="71" t="n"/>
      <c r="I87" s="9" t="n"/>
      <c r="J87" s="89">
        <f>IF(H87="","",IF(I87="Sí",ROUND(H87*Configuracion!$B$11,0),0))</f>
        <v/>
      </c>
      <c r="K87" s="89">
        <f>IF(H87="","",H87+J87)</f>
        <v/>
      </c>
      <c r="L87" s="13">
        <f>IF(B87="","",YEAR(B87))</f>
        <v/>
      </c>
      <c r="M87" s="13">
        <f>IF(B87="","",MONTH(B87))</f>
        <v/>
      </c>
      <c r="N87" s="9" t="n"/>
      <c r="O87" s="9" t="n"/>
      <c r="P87" s="9" t="n"/>
      <c r="Q87" s="9" t="n"/>
    </row>
    <row r="88">
      <c r="A88" s="9" t="n"/>
      <c r="B88" s="70" t="n"/>
      <c r="C88" s="9" t="n"/>
      <c r="D88" s="9" t="n"/>
      <c r="E88" s="9" t="n"/>
      <c r="F88" s="9" t="n"/>
      <c r="G88" s="9" t="n"/>
      <c r="H88" s="71" t="n"/>
      <c r="I88" s="9" t="n"/>
      <c r="J88" s="89">
        <f>IF(H88="","",IF(I88="Sí",ROUND(H88*Configuracion!$B$11,0),0))</f>
        <v/>
      </c>
      <c r="K88" s="89">
        <f>IF(H88="","",H88+J88)</f>
        <v/>
      </c>
      <c r="L88" s="13">
        <f>IF(B88="","",YEAR(B88))</f>
        <v/>
      </c>
      <c r="M88" s="13">
        <f>IF(B88="","",MONTH(B88))</f>
        <v/>
      </c>
      <c r="N88" s="9" t="n"/>
      <c r="O88" s="9" t="n"/>
      <c r="P88" s="9" t="n"/>
      <c r="Q88" s="9" t="n"/>
    </row>
    <row r="89">
      <c r="A89" s="9" t="n"/>
      <c r="B89" s="70" t="n"/>
      <c r="C89" s="9" t="n"/>
      <c r="D89" s="9" t="n"/>
      <c r="E89" s="9" t="n"/>
      <c r="F89" s="9" t="n"/>
      <c r="G89" s="9" t="n"/>
      <c r="H89" s="71" t="n"/>
      <c r="I89" s="9" t="n"/>
      <c r="J89" s="89">
        <f>IF(H89="","",IF(I89="Sí",ROUND(H89*Configuracion!$B$11,0),0))</f>
        <v/>
      </c>
      <c r="K89" s="89">
        <f>IF(H89="","",H89+J89)</f>
        <v/>
      </c>
      <c r="L89" s="13">
        <f>IF(B89="","",YEAR(B89))</f>
        <v/>
      </c>
      <c r="M89" s="13">
        <f>IF(B89="","",MONTH(B89))</f>
        <v/>
      </c>
      <c r="N89" s="9" t="n"/>
      <c r="O89" s="9" t="n"/>
      <c r="P89" s="9" t="n"/>
      <c r="Q89" s="9" t="n"/>
    </row>
    <row r="90">
      <c r="A90" s="9" t="n"/>
      <c r="B90" s="70" t="n"/>
      <c r="C90" s="9" t="n"/>
      <c r="D90" s="9" t="n"/>
      <c r="E90" s="9" t="n"/>
      <c r="F90" s="9" t="n"/>
      <c r="G90" s="9" t="n"/>
      <c r="H90" s="71" t="n"/>
      <c r="I90" s="9" t="n"/>
      <c r="J90" s="89">
        <f>IF(H90="","",IF(I90="Sí",ROUND(H90*Configuracion!$B$11,0),0))</f>
        <v/>
      </c>
      <c r="K90" s="89">
        <f>IF(H90="","",H90+J90)</f>
        <v/>
      </c>
      <c r="L90" s="13">
        <f>IF(B90="","",YEAR(B90))</f>
        <v/>
      </c>
      <c r="M90" s="13">
        <f>IF(B90="","",MONTH(B90))</f>
        <v/>
      </c>
      <c r="N90" s="9" t="n"/>
      <c r="O90" s="9" t="n"/>
      <c r="P90" s="9" t="n"/>
      <c r="Q90" s="9" t="n"/>
    </row>
    <row r="91">
      <c r="A91" s="9" t="n"/>
      <c r="B91" s="70" t="n"/>
      <c r="C91" s="9" t="n"/>
      <c r="D91" s="9" t="n"/>
      <c r="E91" s="9" t="n"/>
      <c r="F91" s="9" t="n"/>
      <c r="G91" s="9" t="n"/>
      <c r="H91" s="71" t="n"/>
      <c r="I91" s="9" t="n"/>
      <c r="J91" s="89">
        <f>IF(H91="","",IF(I91="Sí",ROUND(H91*Configuracion!$B$11,0),0))</f>
        <v/>
      </c>
      <c r="K91" s="89">
        <f>IF(H91="","",H91+J91)</f>
        <v/>
      </c>
      <c r="L91" s="13">
        <f>IF(B91="","",YEAR(B91))</f>
        <v/>
      </c>
      <c r="M91" s="13">
        <f>IF(B91="","",MONTH(B91))</f>
        <v/>
      </c>
      <c r="N91" s="9" t="n"/>
      <c r="O91" s="9" t="n"/>
      <c r="P91" s="9" t="n"/>
      <c r="Q91" s="9" t="n"/>
    </row>
    <row r="92">
      <c r="A92" s="9" t="n"/>
      <c r="B92" s="70" t="n"/>
      <c r="C92" s="9" t="n"/>
      <c r="D92" s="9" t="n"/>
      <c r="E92" s="9" t="n"/>
      <c r="F92" s="9" t="n"/>
      <c r="G92" s="9" t="n"/>
      <c r="H92" s="71" t="n"/>
      <c r="I92" s="9" t="n"/>
      <c r="J92" s="89">
        <f>IF(H92="","",IF(I92="Sí",ROUND(H92*Configuracion!$B$11,0),0))</f>
        <v/>
      </c>
      <c r="K92" s="89">
        <f>IF(H92="","",H92+J92)</f>
        <v/>
      </c>
      <c r="L92" s="13">
        <f>IF(B92="","",YEAR(B92))</f>
        <v/>
      </c>
      <c r="M92" s="13">
        <f>IF(B92="","",MONTH(B92))</f>
        <v/>
      </c>
      <c r="N92" s="9" t="n"/>
      <c r="O92" s="9" t="n"/>
      <c r="P92" s="9" t="n"/>
      <c r="Q92" s="9" t="n"/>
    </row>
    <row r="93">
      <c r="A93" s="9" t="n"/>
      <c r="B93" s="70" t="n"/>
      <c r="C93" s="9" t="n"/>
      <c r="D93" s="9" t="n"/>
      <c r="E93" s="9" t="n"/>
      <c r="F93" s="9" t="n"/>
      <c r="G93" s="9" t="n"/>
      <c r="H93" s="71" t="n"/>
      <c r="I93" s="9" t="n"/>
      <c r="J93" s="89">
        <f>IF(H93="","",IF(I93="Sí",ROUND(H93*Configuracion!$B$11,0),0))</f>
        <v/>
      </c>
      <c r="K93" s="89">
        <f>IF(H93="","",H93+J93)</f>
        <v/>
      </c>
      <c r="L93" s="13">
        <f>IF(B93="","",YEAR(B93))</f>
        <v/>
      </c>
      <c r="M93" s="13">
        <f>IF(B93="","",MONTH(B93))</f>
        <v/>
      </c>
      <c r="N93" s="9" t="n"/>
      <c r="O93" s="9" t="n"/>
      <c r="P93" s="9" t="n"/>
      <c r="Q93" s="9" t="n"/>
    </row>
    <row r="94">
      <c r="A94" s="9" t="n"/>
      <c r="B94" s="70" t="n"/>
      <c r="C94" s="9" t="n"/>
      <c r="D94" s="9" t="n"/>
      <c r="E94" s="9" t="n"/>
      <c r="F94" s="9" t="n"/>
      <c r="G94" s="9" t="n"/>
      <c r="H94" s="71" t="n"/>
      <c r="I94" s="9" t="n"/>
      <c r="J94" s="89">
        <f>IF(H94="","",IF(I94="Sí",ROUND(H94*Configuracion!$B$11,0),0))</f>
        <v/>
      </c>
      <c r="K94" s="89">
        <f>IF(H94="","",H94+J94)</f>
        <v/>
      </c>
      <c r="L94" s="13">
        <f>IF(B94="","",YEAR(B94))</f>
        <v/>
      </c>
      <c r="M94" s="13">
        <f>IF(B94="","",MONTH(B94))</f>
        <v/>
      </c>
      <c r="N94" s="9" t="n"/>
      <c r="O94" s="9" t="n"/>
      <c r="P94" s="9" t="n"/>
      <c r="Q94" s="9" t="n"/>
    </row>
    <row r="95">
      <c r="A95" s="9" t="n"/>
      <c r="B95" s="70" t="n"/>
      <c r="C95" s="9" t="n"/>
      <c r="D95" s="9" t="n"/>
      <c r="E95" s="9" t="n"/>
      <c r="F95" s="9" t="n"/>
      <c r="G95" s="9" t="n"/>
      <c r="H95" s="71" t="n"/>
      <c r="I95" s="9" t="n"/>
      <c r="J95" s="89">
        <f>IF(H95="","",IF(I95="Sí",ROUND(H95*Configuracion!$B$11,0),0))</f>
        <v/>
      </c>
      <c r="K95" s="89">
        <f>IF(H95="","",H95+J95)</f>
        <v/>
      </c>
      <c r="L95" s="13">
        <f>IF(B95="","",YEAR(B95))</f>
        <v/>
      </c>
      <c r="M95" s="13">
        <f>IF(B95="","",MONTH(B95))</f>
        <v/>
      </c>
      <c r="N95" s="9" t="n"/>
      <c r="O95" s="9" t="n"/>
      <c r="P95" s="9" t="n"/>
      <c r="Q95" s="9" t="n"/>
    </row>
    <row r="96">
      <c r="A96" s="9" t="n"/>
      <c r="B96" s="70" t="n"/>
      <c r="C96" s="9" t="n"/>
      <c r="D96" s="9" t="n"/>
      <c r="E96" s="9" t="n"/>
      <c r="F96" s="9" t="n"/>
      <c r="G96" s="9" t="n"/>
      <c r="H96" s="71" t="n"/>
      <c r="I96" s="9" t="n"/>
      <c r="J96" s="89">
        <f>IF(H96="","",IF(I96="Sí",ROUND(H96*Configuracion!$B$11,0),0))</f>
        <v/>
      </c>
      <c r="K96" s="89">
        <f>IF(H96="","",H96+J96)</f>
        <v/>
      </c>
      <c r="L96" s="13">
        <f>IF(B96="","",YEAR(B96))</f>
        <v/>
      </c>
      <c r="M96" s="13">
        <f>IF(B96="","",MONTH(B96))</f>
        <v/>
      </c>
      <c r="N96" s="9" t="n"/>
      <c r="O96" s="9" t="n"/>
      <c r="P96" s="9" t="n"/>
      <c r="Q96" s="9" t="n"/>
    </row>
    <row r="97">
      <c r="A97" s="9" t="n"/>
      <c r="B97" s="70" t="n"/>
      <c r="C97" s="9" t="n"/>
      <c r="D97" s="9" t="n"/>
      <c r="E97" s="9" t="n"/>
      <c r="F97" s="9" t="n"/>
      <c r="G97" s="9" t="n"/>
      <c r="H97" s="71" t="n"/>
      <c r="I97" s="9" t="n"/>
      <c r="J97" s="89">
        <f>IF(H97="","",IF(I97="Sí",ROUND(H97*Configuracion!$B$11,0),0))</f>
        <v/>
      </c>
      <c r="K97" s="89">
        <f>IF(H97="","",H97+J97)</f>
        <v/>
      </c>
      <c r="L97" s="13">
        <f>IF(B97="","",YEAR(B97))</f>
        <v/>
      </c>
      <c r="M97" s="13">
        <f>IF(B97="","",MONTH(B97))</f>
        <v/>
      </c>
      <c r="N97" s="9" t="n"/>
      <c r="O97" s="9" t="n"/>
      <c r="P97" s="9" t="n"/>
      <c r="Q97" s="9" t="n"/>
    </row>
    <row r="98">
      <c r="A98" s="9" t="n"/>
      <c r="B98" s="70" t="n"/>
      <c r="C98" s="9" t="n"/>
      <c r="D98" s="9" t="n"/>
      <c r="E98" s="9" t="n"/>
      <c r="F98" s="9" t="n"/>
      <c r="G98" s="9" t="n"/>
      <c r="H98" s="71" t="n"/>
      <c r="I98" s="9" t="n"/>
      <c r="J98" s="89">
        <f>IF(H98="","",IF(I98="Sí",ROUND(H98*Configuracion!$B$11,0),0))</f>
        <v/>
      </c>
      <c r="K98" s="89">
        <f>IF(H98="","",H98+J98)</f>
        <v/>
      </c>
      <c r="L98" s="13">
        <f>IF(B98="","",YEAR(B98))</f>
        <v/>
      </c>
      <c r="M98" s="13">
        <f>IF(B98="","",MONTH(B98))</f>
        <v/>
      </c>
      <c r="N98" s="9" t="n"/>
      <c r="O98" s="9" t="n"/>
      <c r="P98" s="9" t="n"/>
      <c r="Q98" s="9" t="n"/>
    </row>
    <row r="99">
      <c r="A99" s="9" t="n"/>
      <c r="B99" s="70" t="n"/>
      <c r="C99" s="9" t="n"/>
      <c r="D99" s="9" t="n"/>
      <c r="E99" s="9" t="n"/>
      <c r="F99" s="9" t="n"/>
      <c r="G99" s="9" t="n"/>
      <c r="H99" s="71" t="n"/>
      <c r="I99" s="9" t="n"/>
      <c r="J99" s="89">
        <f>IF(H99="","",IF(I99="Sí",ROUND(H99*Configuracion!$B$11,0),0))</f>
        <v/>
      </c>
      <c r="K99" s="89">
        <f>IF(H99="","",H99+J99)</f>
        <v/>
      </c>
      <c r="L99" s="13">
        <f>IF(B99="","",YEAR(B99))</f>
        <v/>
      </c>
      <c r="M99" s="13">
        <f>IF(B99="","",MONTH(B99))</f>
        <v/>
      </c>
      <c r="N99" s="9" t="n"/>
      <c r="O99" s="9" t="n"/>
      <c r="P99" s="9" t="n"/>
      <c r="Q99" s="9" t="n"/>
    </row>
    <row r="100">
      <c r="A100" s="9" t="n"/>
      <c r="B100" s="70" t="n"/>
      <c r="C100" s="9" t="n"/>
      <c r="D100" s="9" t="n"/>
      <c r="E100" s="9" t="n"/>
      <c r="F100" s="9" t="n"/>
      <c r="G100" s="9" t="n"/>
      <c r="H100" s="71" t="n"/>
      <c r="I100" s="9" t="n"/>
      <c r="J100" s="89">
        <f>IF(H100="","",IF(I100="Sí",ROUND(H100*Configuracion!$B$11,0),0))</f>
        <v/>
      </c>
      <c r="K100" s="89">
        <f>IF(H100="","",H100+J100)</f>
        <v/>
      </c>
      <c r="L100" s="13">
        <f>IF(B100="","",YEAR(B100))</f>
        <v/>
      </c>
      <c r="M100" s="13">
        <f>IF(B100="","",MONTH(B100))</f>
        <v/>
      </c>
      <c r="N100" s="9" t="n"/>
      <c r="O100" s="9" t="n"/>
      <c r="P100" s="9" t="n"/>
      <c r="Q100" s="9" t="n"/>
    </row>
    <row r="101">
      <c r="A101" s="9" t="n"/>
      <c r="B101" s="70" t="n"/>
      <c r="C101" s="9" t="n"/>
      <c r="D101" s="9" t="n"/>
      <c r="E101" s="9" t="n"/>
      <c r="F101" s="9" t="n"/>
      <c r="G101" s="9" t="n"/>
      <c r="H101" s="71" t="n"/>
      <c r="I101" s="9" t="n"/>
      <c r="J101" s="89">
        <f>IF(H101="","",IF(I101="Sí",ROUND(H101*Configuracion!$B$11,0),0))</f>
        <v/>
      </c>
      <c r="K101" s="89">
        <f>IF(H101="","",H101+J101)</f>
        <v/>
      </c>
      <c r="L101" s="13">
        <f>IF(B101="","",YEAR(B101))</f>
        <v/>
      </c>
      <c r="M101" s="13">
        <f>IF(B101="","",MONTH(B101))</f>
        <v/>
      </c>
      <c r="N101" s="9" t="n"/>
      <c r="O101" s="9" t="n"/>
      <c r="P101" s="9" t="n"/>
      <c r="Q101" s="9" t="n"/>
    </row>
    <row r="102">
      <c r="A102" s="9" t="n"/>
      <c r="B102" s="70" t="n"/>
      <c r="C102" s="9" t="n"/>
      <c r="D102" s="9" t="n"/>
      <c r="E102" s="9" t="n"/>
      <c r="F102" s="9" t="n"/>
      <c r="G102" s="9" t="n"/>
      <c r="H102" s="71" t="n"/>
      <c r="I102" s="9" t="n"/>
      <c r="J102" s="89">
        <f>IF(H102="","",IF(I102="Sí",ROUND(H102*Configuracion!$B$11,0),0))</f>
        <v/>
      </c>
      <c r="K102" s="89">
        <f>IF(H102="","",H102+J102)</f>
        <v/>
      </c>
      <c r="L102" s="13">
        <f>IF(B102="","",YEAR(B102))</f>
        <v/>
      </c>
      <c r="M102" s="13">
        <f>IF(B102="","",MONTH(B102))</f>
        <v/>
      </c>
      <c r="N102" s="9" t="n"/>
      <c r="O102" s="9" t="n"/>
      <c r="P102" s="9" t="n"/>
      <c r="Q102" s="9" t="n"/>
    </row>
    <row r="103">
      <c r="A103" s="9" t="n"/>
      <c r="B103" s="70" t="n"/>
      <c r="C103" s="9" t="n"/>
      <c r="D103" s="9" t="n"/>
      <c r="E103" s="9" t="n"/>
      <c r="F103" s="9" t="n"/>
      <c r="G103" s="9" t="n"/>
      <c r="H103" s="71" t="n"/>
      <c r="I103" s="9" t="n"/>
      <c r="J103" s="89">
        <f>IF(H103="","",IF(I103="Sí",ROUND(H103*Configuracion!$B$11,0),0))</f>
        <v/>
      </c>
      <c r="K103" s="89">
        <f>IF(H103="","",H103+J103)</f>
        <v/>
      </c>
      <c r="L103" s="13">
        <f>IF(B103="","",YEAR(B103))</f>
        <v/>
      </c>
      <c r="M103" s="13">
        <f>IF(B103="","",MONTH(B103))</f>
        <v/>
      </c>
      <c r="N103" s="9" t="n"/>
      <c r="O103" s="9" t="n"/>
      <c r="P103" s="9" t="n"/>
      <c r="Q103" s="9" t="n"/>
    </row>
    <row r="104">
      <c r="A104" s="9" t="n"/>
      <c r="B104" s="70" t="n"/>
      <c r="C104" s="9" t="n"/>
      <c r="D104" s="9" t="n"/>
      <c r="E104" s="9" t="n"/>
      <c r="F104" s="9" t="n"/>
      <c r="G104" s="9" t="n"/>
      <c r="H104" s="71" t="n"/>
      <c r="I104" s="9" t="n"/>
      <c r="J104" s="89">
        <f>IF(H104="","",IF(I104="Sí",ROUND(H104*Configuracion!$B$11,0),0))</f>
        <v/>
      </c>
      <c r="K104" s="89">
        <f>IF(H104="","",H104+J104)</f>
        <v/>
      </c>
      <c r="L104" s="13">
        <f>IF(B104="","",YEAR(B104))</f>
        <v/>
      </c>
      <c r="M104" s="13">
        <f>IF(B104="","",MONTH(B104))</f>
        <v/>
      </c>
      <c r="N104" s="9" t="n"/>
      <c r="O104" s="9" t="n"/>
      <c r="P104" s="9" t="n"/>
      <c r="Q104" s="9" t="n"/>
    </row>
    <row r="105">
      <c r="A105" s="9" t="n"/>
      <c r="B105" s="70" t="n"/>
      <c r="C105" s="9" t="n"/>
      <c r="D105" s="9" t="n"/>
      <c r="E105" s="9" t="n"/>
      <c r="F105" s="9" t="n"/>
      <c r="G105" s="9" t="n"/>
      <c r="H105" s="71" t="n"/>
      <c r="I105" s="9" t="n"/>
      <c r="J105" s="89">
        <f>IF(H105="","",IF(I105="Sí",ROUND(H105*Configuracion!$B$11,0),0))</f>
        <v/>
      </c>
      <c r="K105" s="89">
        <f>IF(H105="","",H105+J105)</f>
        <v/>
      </c>
      <c r="L105" s="13">
        <f>IF(B105="","",YEAR(B105))</f>
        <v/>
      </c>
      <c r="M105" s="13">
        <f>IF(B105="","",MONTH(B105))</f>
        <v/>
      </c>
      <c r="N105" s="9" t="n"/>
      <c r="O105" s="9" t="n"/>
      <c r="P105" s="9" t="n"/>
      <c r="Q105" s="9" t="n"/>
    </row>
    <row r="106">
      <c r="A106" s="9" t="n"/>
      <c r="B106" s="70" t="n"/>
      <c r="C106" s="9" t="n"/>
      <c r="D106" s="9" t="n"/>
      <c r="E106" s="9" t="n"/>
      <c r="F106" s="9" t="n"/>
      <c r="G106" s="9" t="n"/>
      <c r="H106" s="71" t="n"/>
      <c r="I106" s="9" t="n"/>
      <c r="J106" s="89">
        <f>IF(H106="","",IF(I106="Sí",ROUND(H106*Configuracion!$B$11,0),0))</f>
        <v/>
      </c>
      <c r="K106" s="89">
        <f>IF(H106="","",H106+J106)</f>
        <v/>
      </c>
      <c r="L106" s="13">
        <f>IF(B106="","",YEAR(B106))</f>
        <v/>
      </c>
      <c r="M106" s="13">
        <f>IF(B106="","",MONTH(B106))</f>
        <v/>
      </c>
      <c r="N106" s="9" t="n"/>
      <c r="O106" s="9" t="n"/>
      <c r="P106" s="9" t="n"/>
      <c r="Q106" s="9" t="n"/>
    </row>
    <row r="107">
      <c r="A107" s="9" t="n"/>
      <c r="B107" s="70" t="n"/>
      <c r="C107" s="9" t="n"/>
      <c r="D107" s="9" t="n"/>
      <c r="E107" s="9" t="n"/>
      <c r="F107" s="9" t="n"/>
      <c r="G107" s="9" t="n"/>
      <c r="H107" s="71" t="n"/>
      <c r="I107" s="9" t="n"/>
      <c r="J107" s="89">
        <f>IF(H107="","",IF(I107="Sí",ROUND(H107*Configuracion!$B$11,0),0))</f>
        <v/>
      </c>
      <c r="K107" s="89">
        <f>IF(H107="","",H107+J107)</f>
        <v/>
      </c>
      <c r="L107" s="13">
        <f>IF(B107="","",YEAR(B107))</f>
        <v/>
      </c>
      <c r="M107" s="13">
        <f>IF(B107="","",MONTH(B107))</f>
        <v/>
      </c>
      <c r="N107" s="9" t="n"/>
      <c r="O107" s="9" t="n"/>
      <c r="P107" s="9" t="n"/>
      <c r="Q107" s="9" t="n"/>
    </row>
    <row r="108">
      <c r="A108" s="9" t="n"/>
      <c r="B108" s="70" t="n"/>
      <c r="C108" s="9" t="n"/>
      <c r="D108" s="9" t="n"/>
      <c r="E108" s="9" t="n"/>
      <c r="F108" s="9" t="n"/>
      <c r="G108" s="9" t="n"/>
      <c r="H108" s="71" t="n"/>
      <c r="I108" s="9" t="n"/>
      <c r="J108" s="89">
        <f>IF(H108="","",IF(I108="Sí",ROUND(H108*Configuracion!$B$11,0),0))</f>
        <v/>
      </c>
      <c r="K108" s="89">
        <f>IF(H108="","",H108+J108)</f>
        <v/>
      </c>
      <c r="L108" s="13">
        <f>IF(B108="","",YEAR(B108))</f>
        <v/>
      </c>
      <c r="M108" s="13">
        <f>IF(B108="","",MONTH(B108))</f>
        <v/>
      </c>
      <c r="N108" s="9" t="n"/>
      <c r="O108" s="9" t="n"/>
      <c r="P108" s="9" t="n"/>
      <c r="Q108" s="9" t="n"/>
    </row>
    <row r="109">
      <c r="A109" s="9" t="n"/>
      <c r="B109" s="70" t="n"/>
      <c r="C109" s="9" t="n"/>
      <c r="D109" s="9" t="n"/>
      <c r="E109" s="9" t="n"/>
      <c r="F109" s="9" t="n"/>
      <c r="G109" s="9" t="n"/>
      <c r="H109" s="71" t="n"/>
      <c r="I109" s="9" t="n"/>
      <c r="J109" s="89">
        <f>IF(H109="","",IF(I109="Sí",ROUND(H109*Configuracion!$B$11,0),0))</f>
        <v/>
      </c>
      <c r="K109" s="89">
        <f>IF(H109="","",H109+J109)</f>
        <v/>
      </c>
      <c r="L109" s="13">
        <f>IF(B109="","",YEAR(B109))</f>
        <v/>
      </c>
      <c r="M109" s="13">
        <f>IF(B109="","",MONTH(B109))</f>
        <v/>
      </c>
      <c r="N109" s="9" t="n"/>
      <c r="O109" s="9" t="n"/>
      <c r="P109" s="9" t="n"/>
      <c r="Q109" s="9" t="n"/>
    </row>
    <row r="110">
      <c r="A110" s="9" t="n"/>
      <c r="B110" s="70" t="n"/>
      <c r="C110" s="9" t="n"/>
      <c r="D110" s="9" t="n"/>
      <c r="E110" s="9" t="n"/>
      <c r="F110" s="9" t="n"/>
      <c r="G110" s="9" t="n"/>
      <c r="H110" s="71" t="n"/>
      <c r="I110" s="9" t="n"/>
      <c r="J110" s="89">
        <f>IF(H110="","",IF(I110="Sí",ROUND(H110*Configuracion!$B$11,0),0))</f>
        <v/>
      </c>
      <c r="K110" s="89">
        <f>IF(H110="","",H110+J110)</f>
        <v/>
      </c>
      <c r="L110" s="13">
        <f>IF(B110="","",YEAR(B110))</f>
        <v/>
      </c>
      <c r="M110" s="13">
        <f>IF(B110="","",MONTH(B110))</f>
        <v/>
      </c>
      <c r="N110" s="9" t="n"/>
      <c r="O110" s="9" t="n"/>
      <c r="P110" s="9" t="n"/>
      <c r="Q110" s="9" t="n"/>
    </row>
    <row r="111">
      <c r="A111" s="9" t="n"/>
      <c r="B111" s="70" t="n"/>
      <c r="C111" s="9" t="n"/>
      <c r="D111" s="9" t="n"/>
      <c r="E111" s="9" t="n"/>
      <c r="F111" s="9" t="n"/>
      <c r="G111" s="9" t="n"/>
      <c r="H111" s="71" t="n"/>
      <c r="I111" s="9" t="n"/>
      <c r="J111" s="89">
        <f>IF(H111="","",IF(I111="Sí",ROUND(H111*Configuracion!$B$11,0),0))</f>
        <v/>
      </c>
      <c r="K111" s="89">
        <f>IF(H111="","",H111+J111)</f>
        <v/>
      </c>
      <c r="L111" s="13">
        <f>IF(B111="","",YEAR(B111))</f>
        <v/>
      </c>
      <c r="M111" s="13">
        <f>IF(B111="","",MONTH(B111))</f>
        <v/>
      </c>
      <c r="N111" s="9" t="n"/>
      <c r="O111" s="9" t="n"/>
      <c r="P111" s="9" t="n"/>
      <c r="Q111" s="9" t="n"/>
    </row>
    <row r="112">
      <c r="A112" s="9" t="n"/>
      <c r="B112" s="70" t="n"/>
      <c r="C112" s="9" t="n"/>
      <c r="D112" s="9" t="n"/>
      <c r="E112" s="9" t="n"/>
      <c r="F112" s="9" t="n"/>
      <c r="G112" s="9" t="n"/>
      <c r="H112" s="71" t="n"/>
      <c r="I112" s="9" t="n"/>
      <c r="J112" s="89">
        <f>IF(H112="","",IF(I112="Sí",ROUND(H112*Configuracion!$B$11,0),0))</f>
        <v/>
      </c>
      <c r="K112" s="89">
        <f>IF(H112="","",H112+J112)</f>
        <v/>
      </c>
      <c r="L112" s="13">
        <f>IF(B112="","",YEAR(B112))</f>
        <v/>
      </c>
      <c r="M112" s="13">
        <f>IF(B112="","",MONTH(B112))</f>
        <v/>
      </c>
      <c r="N112" s="9" t="n"/>
      <c r="O112" s="9" t="n"/>
      <c r="P112" s="9" t="n"/>
      <c r="Q112" s="9" t="n"/>
    </row>
    <row r="113">
      <c r="A113" s="9" t="n"/>
      <c r="B113" s="70" t="n"/>
      <c r="C113" s="9" t="n"/>
      <c r="D113" s="9" t="n"/>
      <c r="E113" s="9" t="n"/>
      <c r="F113" s="9" t="n"/>
      <c r="G113" s="9" t="n"/>
      <c r="H113" s="71" t="n"/>
      <c r="I113" s="9" t="n"/>
      <c r="J113" s="89">
        <f>IF(H113="","",IF(I113="Sí",ROUND(H113*Configuracion!$B$11,0),0))</f>
        <v/>
      </c>
      <c r="K113" s="89">
        <f>IF(H113="","",H113+J113)</f>
        <v/>
      </c>
      <c r="L113" s="13">
        <f>IF(B113="","",YEAR(B113))</f>
        <v/>
      </c>
      <c r="M113" s="13">
        <f>IF(B113="","",MONTH(B113))</f>
        <v/>
      </c>
      <c r="N113" s="9" t="n"/>
      <c r="O113" s="9" t="n"/>
      <c r="P113" s="9" t="n"/>
      <c r="Q113" s="9" t="n"/>
    </row>
    <row r="114">
      <c r="A114" s="9" t="n"/>
      <c r="B114" s="70" t="n"/>
      <c r="C114" s="9" t="n"/>
      <c r="D114" s="9" t="n"/>
      <c r="E114" s="9" t="n"/>
      <c r="F114" s="9" t="n"/>
      <c r="G114" s="9" t="n"/>
      <c r="H114" s="71" t="n"/>
      <c r="I114" s="9" t="n"/>
      <c r="J114" s="89">
        <f>IF(H114="","",IF(I114="Sí",ROUND(H114*Configuracion!$B$11,0),0))</f>
        <v/>
      </c>
      <c r="K114" s="89">
        <f>IF(H114="","",H114+J114)</f>
        <v/>
      </c>
      <c r="L114" s="13">
        <f>IF(B114="","",YEAR(B114))</f>
        <v/>
      </c>
      <c r="M114" s="13">
        <f>IF(B114="","",MONTH(B114))</f>
        <v/>
      </c>
      <c r="N114" s="9" t="n"/>
      <c r="O114" s="9" t="n"/>
      <c r="P114" s="9" t="n"/>
      <c r="Q114" s="9" t="n"/>
    </row>
    <row r="115">
      <c r="A115" s="9" t="n"/>
      <c r="B115" s="70" t="n"/>
      <c r="C115" s="9" t="n"/>
      <c r="D115" s="9" t="n"/>
      <c r="E115" s="9" t="n"/>
      <c r="F115" s="9" t="n"/>
      <c r="G115" s="9" t="n"/>
      <c r="H115" s="71" t="n"/>
      <c r="I115" s="9" t="n"/>
      <c r="J115" s="89">
        <f>IF(H115="","",IF(I115="Sí",ROUND(H115*Configuracion!$B$11,0),0))</f>
        <v/>
      </c>
      <c r="K115" s="89">
        <f>IF(H115="","",H115+J115)</f>
        <v/>
      </c>
      <c r="L115" s="13">
        <f>IF(B115="","",YEAR(B115))</f>
        <v/>
      </c>
      <c r="M115" s="13">
        <f>IF(B115="","",MONTH(B115))</f>
        <v/>
      </c>
      <c r="N115" s="9" t="n"/>
      <c r="O115" s="9" t="n"/>
      <c r="P115" s="9" t="n"/>
      <c r="Q115" s="9" t="n"/>
    </row>
    <row r="116">
      <c r="A116" s="9" t="n"/>
      <c r="B116" s="70" t="n"/>
      <c r="C116" s="9" t="n"/>
      <c r="D116" s="9" t="n"/>
      <c r="E116" s="9" t="n"/>
      <c r="F116" s="9" t="n"/>
      <c r="G116" s="9" t="n"/>
      <c r="H116" s="71" t="n"/>
      <c r="I116" s="9" t="n"/>
      <c r="J116" s="89">
        <f>IF(H116="","",IF(I116="Sí",ROUND(H116*Configuracion!$B$11,0),0))</f>
        <v/>
      </c>
      <c r="K116" s="89">
        <f>IF(H116="","",H116+J116)</f>
        <v/>
      </c>
      <c r="L116" s="13">
        <f>IF(B116="","",YEAR(B116))</f>
        <v/>
      </c>
      <c r="M116" s="13">
        <f>IF(B116="","",MONTH(B116))</f>
        <v/>
      </c>
      <c r="N116" s="9" t="n"/>
      <c r="O116" s="9" t="n"/>
      <c r="P116" s="9" t="n"/>
      <c r="Q116" s="9" t="n"/>
    </row>
    <row r="117">
      <c r="A117" s="9" t="n"/>
      <c r="B117" s="70" t="n"/>
      <c r="C117" s="9" t="n"/>
      <c r="D117" s="9" t="n"/>
      <c r="E117" s="9" t="n"/>
      <c r="F117" s="9" t="n"/>
      <c r="G117" s="9" t="n"/>
      <c r="H117" s="71" t="n"/>
      <c r="I117" s="9" t="n"/>
      <c r="J117" s="89">
        <f>IF(H117="","",IF(I117="Sí",ROUND(H117*Configuracion!$B$11,0),0))</f>
        <v/>
      </c>
      <c r="K117" s="89">
        <f>IF(H117="","",H117+J117)</f>
        <v/>
      </c>
      <c r="L117" s="13">
        <f>IF(B117="","",YEAR(B117))</f>
        <v/>
      </c>
      <c r="M117" s="13">
        <f>IF(B117="","",MONTH(B117))</f>
        <v/>
      </c>
      <c r="N117" s="9" t="n"/>
      <c r="O117" s="9" t="n"/>
      <c r="P117" s="9" t="n"/>
      <c r="Q117" s="9" t="n"/>
    </row>
    <row r="118">
      <c r="A118" s="9" t="n"/>
      <c r="B118" s="70" t="n"/>
      <c r="C118" s="9" t="n"/>
      <c r="D118" s="9" t="n"/>
      <c r="E118" s="9" t="n"/>
      <c r="F118" s="9" t="n"/>
      <c r="G118" s="9" t="n"/>
      <c r="H118" s="71" t="n"/>
      <c r="I118" s="9" t="n"/>
      <c r="J118" s="89">
        <f>IF(H118="","",IF(I118="Sí",ROUND(H118*Configuracion!$B$11,0),0))</f>
        <v/>
      </c>
      <c r="K118" s="89">
        <f>IF(H118="","",H118+J118)</f>
        <v/>
      </c>
      <c r="L118" s="13">
        <f>IF(B118="","",YEAR(B118))</f>
        <v/>
      </c>
      <c r="M118" s="13">
        <f>IF(B118="","",MONTH(B118))</f>
        <v/>
      </c>
      <c r="N118" s="9" t="n"/>
      <c r="O118" s="9" t="n"/>
      <c r="P118" s="9" t="n"/>
      <c r="Q118" s="9" t="n"/>
    </row>
    <row r="119">
      <c r="A119" s="9" t="n"/>
      <c r="B119" s="70" t="n"/>
      <c r="C119" s="9" t="n"/>
      <c r="D119" s="9" t="n"/>
      <c r="E119" s="9" t="n"/>
      <c r="F119" s="9" t="n"/>
      <c r="G119" s="9" t="n"/>
      <c r="H119" s="71" t="n"/>
      <c r="I119" s="9" t="n"/>
      <c r="J119" s="89">
        <f>IF(H119="","",IF(I119="Sí",ROUND(H119*Configuracion!$B$11,0),0))</f>
        <v/>
      </c>
      <c r="K119" s="89">
        <f>IF(H119="","",H119+J119)</f>
        <v/>
      </c>
      <c r="L119" s="13">
        <f>IF(B119="","",YEAR(B119))</f>
        <v/>
      </c>
      <c r="M119" s="13">
        <f>IF(B119="","",MONTH(B119))</f>
        <v/>
      </c>
      <c r="N119" s="9" t="n"/>
      <c r="O119" s="9" t="n"/>
      <c r="P119" s="9" t="n"/>
      <c r="Q119" s="9" t="n"/>
    </row>
    <row r="120">
      <c r="A120" s="9" t="n"/>
      <c r="B120" s="70" t="n"/>
      <c r="C120" s="9" t="n"/>
      <c r="D120" s="9" t="n"/>
      <c r="E120" s="9" t="n"/>
      <c r="F120" s="9" t="n"/>
      <c r="G120" s="9" t="n"/>
      <c r="H120" s="71" t="n"/>
      <c r="I120" s="9" t="n"/>
      <c r="J120" s="89">
        <f>IF(H120="","",IF(I120="Sí",ROUND(H120*Configuracion!$B$11,0),0))</f>
        <v/>
      </c>
      <c r="K120" s="89">
        <f>IF(H120="","",H120+J120)</f>
        <v/>
      </c>
      <c r="L120" s="13">
        <f>IF(B120="","",YEAR(B120))</f>
        <v/>
      </c>
      <c r="M120" s="13">
        <f>IF(B120="","",MONTH(B120))</f>
        <v/>
      </c>
      <c r="N120" s="9" t="n"/>
      <c r="O120" s="9" t="n"/>
      <c r="P120" s="9" t="n"/>
      <c r="Q120" s="9" t="n"/>
    </row>
    <row r="121">
      <c r="A121" s="9" t="n"/>
      <c r="B121" s="70" t="n"/>
      <c r="C121" s="9" t="n"/>
      <c r="D121" s="9" t="n"/>
      <c r="E121" s="9" t="n"/>
      <c r="F121" s="9" t="n"/>
      <c r="G121" s="9" t="n"/>
      <c r="H121" s="71" t="n"/>
      <c r="I121" s="9" t="n"/>
      <c r="J121" s="89">
        <f>IF(H121="","",IF(I121="Sí",ROUND(H121*Configuracion!$B$11,0),0))</f>
        <v/>
      </c>
      <c r="K121" s="89">
        <f>IF(H121="","",H121+J121)</f>
        <v/>
      </c>
      <c r="L121" s="13">
        <f>IF(B121="","",YEAR(B121))</f>
        <v/>
      </c>
      <c r="M121" s="13">
        <f>IF(B121="","",MONTH(B121))</f>
        <v/>
      </c>
      <c r="N121" s="9" t="n"/>
      <c r="O121" s="9" t="n"/>
      <c r="P121" s="9" t="n"/>
      <c r="Q121" s="9" t="n"/>
    </row>
    <row r="122">
      <c r="A122" s="9" t="n"/>
      <c r="B122" s="70" t="n"/>
      <c r="C122" s="9" t="n"/>
      <c r="D122" s="9" t="n"/>
      <c r="E122" s="9" t="n"/>
      <c r="F122" s="9" t="n"/>
      <c r="G122" s="9" t="n"/>
      <c r="H122" s="71" t="n"/>
      <c r="I122" s="9" t="n"/>
      <c r="J122" s="89">
        <f>IF(H122="","",IF(I122="Sí",ROUND(H122*Configuracion!$B$11,0),0))</f>
        <v/>
      </c>
      <c r="K122" s="89">
        <f>IF(H122="","",H122+J122)</f>
        <v/>
      </c>
      <c r="L122" s="13">
        <f>IF(B122="","",YEAR(B122))</f>
        <v/>
      </c>
      <c r="M122" s="13">
        <f>IF(B122="","",MONTH(B122))</f>
        <v/>
      </c>
      <c r="N122" s="9" t="n"/>
      <c r="O122" s="9" t="n"/>
      <c r="P122" s="9" t="n"/>
      <c r="Q122" s="9" t="n"/>
    </row>
    <row r="123">
      <c r="A123" s="9" t="n"/>
      <c r="B123" s="70" t="n"/>
      <c r="C123" s="9" t="n"/>
      <c r="D123" s="9" t="n"/>
      <c r="E123" s="9" t="n"/>
      <c r="F123" s="9" t="n"/>
      <c r="G123" s="9" t="n"/>
      <c r="H123" s="71" t="n"/>
      <c r="I123" s="9" t="n"/>
      <c r="J123" s="89">
        <f>IF(H123="","",IF(I123="Sí",ROUND(H123*Configuracion!$B$11,0),0))</f>
        <v/>
      </c>
      <c r="K123" s="89">
        <f>IF(H123="","",H123+J123)</f>
        <v/>
      </c>
      <c r="L123" s="13">
        <f>IF(B123="","",YEAR(B123))</f>
        <v/>
      </c>
      <c r="M123" s="13">
        <f>IF(B123="","",MONTH(B123))</f>
        <v/>
      </c>
      <c r="N123" s="9" t="n"/>
      <c r="O123" s="9" t="n"/>
      <c r="P123" s="9" t="n"/>
      <c r="Q123" s="9" t="n"/>
    </row>
    <row r="124">
      <c r="A124" s="9" t="n"/>
      <c r="B124" s="70" t="n"/>
      <c r="C124" s="9" t="n"/>
      <c r="D124" s="9" t="n"/>
      <c r="E124" s="9" t="n"/>
      <c r="F124" s="9" t="n"/>
      <c r="G124" s="9" t="n"/>
      <c r="H124" s="71" t="n"/>
      <c r="I124" s="9" t="n"/>
      <c r="J124" s="89">
        <f>IF(H124="","",IF(I124="Sí",ROUND(H124*Configuracion!$B$11,0),0))</f>
        <v/>
      </c>
      <c r="K124" s="89">
        <f>IF(H124="","",H124+J124)</f>
        <v/>
      </c>
      <c r="L124" s="13">
        <f>IF(B124="","",YEAR(B124))</f>
        <v/>
      </c>
      <c r="M124" s="13">
        <f>IF(B124="","",MONTH(B124))</f>
        <v/>
      </c>
      <c r="N124" s="9" t="n"/>
      <c r="O124" s="9" t="n"/>
      <c r="P124" s="9" t="n"/>
      <c r="Q124" s="9" t="n"/>
    </row>
    <row r="125">
      <c r="A125" s="9" t="n"/>
      <c r="B125" s="70" t="n"/>
      <c r="C125" s="9" t="n"/>
      <c r="D125" s="9" t="n"/>
      <c r="E125" s="9" t="n"/>
      <c r="F125" s="9" t="n"/>
      <c r="G125" s="9" t="n"/>
      <c r="H125" s="71" t="n"/>
      <c r="I125" s="9" t="n"/>
      <c r="J125" s="89">
        <f>IF(H125="","",IF(I125="Sí",ROUND(H125*Configuracion!$B$11,0),0))</f>
        <v/>
      </c>
      <c r="K125" s="89">
        <f>IF(H125="","",H125+J125)</f>
        <v/>
      </c>
      <c r="L125" s="13">
        <f>IF(B125="","",YEAR(B125))</f>
        <v/>
      </c>
      <c r="M125" s="13">
        <f>IF(B125="","",MONTH(B125))</f>
        <v/>
      </c>
      <c r="N125" s="9" t="n"/>
      <c r="O125" s="9" t="n"/>
      <c r="P125" s="9" t="n"/>
      <c r="Q125" s="9" t="n"/>
    </row>
    <row r="126">
      <c r="A126" s="9" t="n"/>
      <c r="B126" s="70" t="n"/>
      <c r="C126" s="9" t="n"/>
      <c r="D126" s="9" t="n"/>
      <c r="E126" s="9" t="n"/>
      <c r="F126" s="9" t="n"/>
      <c r="G126" s="9" t="n"/>
      <c r="H126" s="71" t="n"/>
      <c r="I126" s="9" t="n"/>
      <c r="J126" s="89">
        <f>IF(H126="","",IF(I126="Sí",ROUND(H126*Configuracion!$B$11,0),0))</f>
        <v/>
      </c>
      <c r="K126" s="89">
        <f>IF(H126="","",H126+J126)</f>
        <v/>
      </c>
      <c r="L126" s="13">
        <f>IF(B126="","",YEAR(B126))</f>
        <v/>
      </c>
      <c r="M126" s="13">
        <f>IF(B126="","",MONTH(B126))</f>
        <v/>
      </c>
      <c r="N126" s="9" t="n"/>
      <c r="O126" s="9" t="n"/>
      <c r="P126" s="9" t="n"/>
      <c r="Q126" s="9" t="n"/>
    </row>
    <row r="127">
      <c r="A127" s="9" t="n"/>
      <c r="B127" s="70" t="n"/>
      <c r="C127" s="9" t="n"/>
      <c r="D127" s="9" t="n"/>
      <c r="E127" s="9" t="n"/>
      <c r="F127" s="9" t="n"/>
      <c r="G127" s="9" t="n"/>
      <c r="H127" s="71" t="n"/>
      <c r="I127" s="9" t="n"/>
      <c r="J127" s="89">
        <f>IF(H127="","",IF(I127="Sí",ROUND(H127*Configuracion!$B$11,0),0))</f>
        <v/>
      </c>
      <c r="K127" s="89">
        <f>IF(H127="","",H127+J127)</f>
        <v/>
      </c>
      <c r="L127" s="13">
        <f>IF(B127="","",YEAR(B127))</f>
        <v/>
      </c>
      <c r="M127" s="13">
        <f>IF(B127="","",MONTH(B127))</f>
        <v/>
      </c>
      <c r="N127" s="9" t="n"/>
      <c r="O127" s="9" t="n"/>
      <c r="P127" s="9" t="n"/>
      <c r="Q127" s="9" t="n"/>
    </row>
    <row r="128">
      <c r="A128" s="9" t="n"/>
      <c r="B128" s="70" t="n"/>
      <c r="C128" s="9" t="n"/>
      <c r="D128" s="9" t="n"/>
      <c r="E128" s="9" t="n"/>
      <c r="F128" s="9" t="n"/>
      <c r="G128" s="9" t="n"/>
      <c r="H128" s="71" t="n"/>
      <c r="I128" s="9" t="n"/>
      <c r="J128" s="89">
        <f>IF(H128="","",IF(I128="Sí",ROUND(H128*Configuracion!$B$11,0),0))</f>
        <v/>
      </c>
      <c r="K128" s="89">
        <f>IF(H128="","",H128+J128)</f>
        <v/>
      </c>
      <c r="L128" s="13">
        <f>IF(B128="","",YEAR(B128))</f>
        <v/>
      </c>
      <c r="M128" s="13">
        <f>IF(B128="","",MONTH(B128))</f>
        <v/>
      </c>
      <c r="N128" s="9" t="n"/>
      <c r="O128" s="9" t="n"/>
      <c r="P128" s="9" t="n"/>
      <c r="Q128" s="9" t="n"/>
    </row>
    <row r="129">
      <c r="A129" s="9" t="n"/>
      <c r="B129" s="70" t="n"/>
      <c r="C129" s="9" t="n"/>
      <c r="D129" s="9" t="n"/>
      <c r="E129" s="9" t="n"/>
      <c r="F129" s="9" t="n"/>
      <c r="G129" s="9" t="n"/>
      <c r="H129" s="71" t="n"/>
      <c r="I129" s="9" t="n"/>
      <c r="J129" s="89">
        <f>IF(H129="","",IF(I129="Sí",ROUND(H129*Configuracion!$B$11,0),0))</f>
        <v/>
      </c>
      <c r="K129" s="89">
        <f>IF(H129="","",H129+J129)</f>
        <v/>
      </c>
      <c r="L129" s="13">
        <f>IF(B129="","",YEAR(B129))</f>
        <v/>
      </c>
      <c r="M129" s="13">
        <f>IF(B129="","",MONTH(B129))</f>
        <v/>
      </c>
      <c r="N129" s="9" t="n"/>
      <c r="O129" s="9" t="n"/>
      <c r="P129" s="9" t="n"/>
      <c r="Q129" s="9" t="n"/>
    </row>
    <row r="130">
      <c r="A130" s="9" t="n"/>
      <c r="B130" s="70" t="n"/>
      <c r="C130" s="9" t="n"/>
      <c r="D130" s="9" t="n"/>
      <c r="E130" s="9" t="n"/>
      <c r="F130" s="9" t="n"/>
      <c r="G130" s="9" t="n"/>
      <c r="H130" s="71" t="n"/>
      <c r="I130" s="9" t="n"/>
      <c r="J130" s="89">
        <f>IF(H130="","",IF(I130="Sí",ROUND(H130*Configuracion!$B$11,0),0))</f>
        <v/>
      </c>
      <c r="K130" s="89">
        <f>IF(H130="","",H130+J130)</f>
        <v/>
      </c>
      <c r="L130" s="13">
        <f>IF(B130="","",YEAR(B130))</f>
        <v/>
      </c>
      <c r="M130" s="13">
        <f>IF(B130="","",MONTH(B130))</f>
        <v/>
      </c>
      <c r="N130" s="9" t="n"/>
      <c r="O130" s="9" t="n"/>
      <c r="P130" s="9" t="n"/>
      <c r="Q130" s="9" t="n"/>
    </row>
    <row r="131">
      <c r="A131" s="9" t="n"/>
      <c r="B131" s="70" t="n"/>
      <c r="C131" s="9" t="n"/>
      <c r="D131" s="9" t="n"/>
      <c r="E131" s="9" t="n"/>
      <c r="F131" s="9" t="n"/>
      <c r="G131" s="9" t="n"/>
      <c r="H131" s="71" t="n"/>
      <c r="I131" s="9" t="n"/>
      <c r="J131" s="89">
        <f>IF(H131="","",IF(I131="Sí",ROUND(H131*Configuracion!$B$11,0),0))</f>
        <v/>
      </c>
      <c r="K131" s="89">
        <f>IF(H131="","",H131+J131)</f>
        <v/>
      </c>
      <c r="L131" s="13">
        <f>IF(B131="","",YEAR(B131))</f>
        <v/>
      </c>
      <c r="M131" s="13">
        <f>IF(B131="","",MONTH(B131))</f>
        <v/>
      </c>
      <c r="N131" s="9" t="n"/>
      <c r="O131" s="9" t="n"/>
      <c r="P131" s="9" t="n"/>
      <c r="Q131" s="9" t="n"/>
    </row>
    <row r="132">
      <c r="A132" s="9" t="n"/>
      <c r="B132" s="70" t="n"/>
      <c r="C132" s="9" t="n"/>
      <c r="D132" s="9" t="n"/>
      <c r="E132" s="9" t="n"/>
      <c r="F132" s="9" t="n"/>
      <c r="G132" s="9" t="n"/>
      <c r="H132" s="71" t="n"/>
      <c r="I132" s="9" t="n"/>
      <c r="J132" s="89">
        <f>IF(H132="","",IF(I132="Sí",ROUND(H132*Configuracion!$B$11,0),0))</f>
        <v/>
      </c>
      <c r="K132" s="89">
        <f>IF(H132="","",H132+J132)</f>
        <v/>
      </c>
      <c r="L132" s="13">
        <f>IF(B132="","",YEAR(B132))</f>
        <v/>
      </c>
      <c r="M132" s="13">
        <f>IF(B132="","",MONTH(B132))</f>
        <v/>
      </c>
      <c r="N132" s="9" t="n"/>
      <c r="O132" s="9" t="n"/>
      <c r="P132" s="9" t="n"/>
      <c r="Q132" s="9" t="n"/>
    </row>
    <row r="133">
      <c r="A133" s="9" t="n"/>
      <c r="B133" s="70" t="n"/>
      <c r="C133" s="9" t="n"/>
      <c r="D133" s="9" t="n"/>
      <c r="E133" s="9" t="n"/>
      <c r="F133" s="9" t="n"/>
      <c r="G133" s="9" t="n"/>
      <c r="H133" s="71" t="n"/>
      <c r="I133" s="9" t="n"/>
      <c r="J133" s="89">
        <f>IF(H133="","",IF(I133="Sí",ROUND(H133*Configuracion!$B$11,0),0))</f>
        <v/>
      </c>
      <c r="K133" s="89">
        <f>IF(H133="","",H133+J133)</f>
        <v/>
      </c>
      <c r="L133" s="13">
        <f>IF(B133="","",YEAR(B133))</f>
        <v/>
      </c>
      <c r="M133" s="13">
        <f>IF(B133="","",MONTH(B133))</f>
        <v/>
      </c>
      <c r="N133" s="9" t="n"/>
      <c r="O133" s="9" t="n"/>
      <c r="P133" s="9" t="n"/>
      <c r="Q133" s="9" t="n"/>
    </row>
    <row r="134">
      <c r="A134" s="9" t="n"/>
      <c r="B134" s="70" t="n"/>
      <c r="C134" s="9" t="n"/>
      <c r="D134" s="9" t="n"/>
      <c r="E134" s="9" t="n"/>
      <c r="F134" s="9" t="n"/>
      <c r="G134" s="9" t="n"/>
      <c r="H134" s="71" t="n"/>
      <c r="I134" s="9" t="n"/>
      <c r="J134" s="89">
        <f>IF(H134="","",IF(I134="Sí",ROUND(H134*Configuracion!$B$11,0),0))</f>
        <v/>
      </c>
      <c r="K134" s="89">
        <f>IF(H134="","",H134+J134)</f>
        <v/>
      </c>
      <c r="L134" s="13">
        <f>IF(B134="","",YEAR(B134))</f>
        <v/>
      </c>
      <c r="M134" s="13">
        <f>IF(B134="","",MONTH(B134))</f>
        <v/>
      </c>
      <c r="N134" s="9" t="n"/>
      <c r="O134" s="9" t="n"/>
      <c r="P134" s="9" t="n"/>
      <c r="Q134" s="9" t="n"/>
    </row>
    <row r="135">
      <c r="A135" s="9" t="n"/>
      <c r="B135" s="70" t="n"/>
      <c r="C135" s="9" t="n"/>
      <c r="D135" s="9" t="n"/>
      <c r="E135" s="9" t="n"/>
      <c r="F135" s="9" t="n"/>
      <c r="G135" s="9" t="n"/>
      <c r="H135" s="71" t="n"/>
      <c r="I135" s="9" t="n"/>
      <c r="J135" s="89">
        <f>IF(H135="","",IF(I135="Sí",ROUND(H135*Configuracion!$B$11,0),0))</f>
        <v/>
      </c>
      <c r="K135" s="89">
        <f>IF(H135="","",H135+J135)</f>
        <v/>
      </c>
      <c r="L135" s="13">
        <f>IF(B135="","",YEAR(B135))</f>
        <v/>
      </c>
      <c r="M135" s="13">
        <f>IF(B135="","",MONTH(B135))</f>
        <v/>
      </c>
      <c r="N135" s="9" t="n"/>
      <c r="O135" s="9" t="n"/>
      <c r="P135" s="9" t="n"/>
      <c r="Q135" s="9" t="n"/>
    </row>
    <row r="136">
      <c r="A136" s="9" t="n"/>
      <c r="B136" s="70" t="n"/>
      <c r="C136" s="9" t="n"/>
      <c r="D136" s="9" t="n"/>
      <c r="E136" s="9" t="n"/>
      <c r="F136" s="9" t="n"/>
      <c r="G136" s="9" t="n"/>
      <c r="H136" s="71" t="n"/>
      <c r="I136" s="9" t="n"/>
      <c r="J136" s="89">
        <f>IF(H136="","",IF(I136="Sí",ROUND(H136*Configuracion!$B$11,0),0))</f>
        <v/>
      </c>
      <c r="K136" s="89">
        <f>IF(H136="","",H136+J136)</f>
        <v/>
      </c>
      <c r="L136" s="13">
        <f>IF(B136="","",YEAR(B136))</f>
        <v/>
      </c>
      <c r="M136" s="13">
        <f>IF(B136="","",MONTH(B136))</f>
        <v/>
      </c>
      <c r="N136" s="9" t="n"/>
      <c r="O136" s="9" t="n"/>
      <c r="P136" s="9" t="n"/>
      <c r="Q136" s="9" t="n"/>
    </row>
    <row r="137">
      <c r="A137" s="9" t="n"/>
      <c r="B137" s="70" t="n"/>
      <c r="C137" s="9" t="n"/>
      <c r="D137" s="9" t="n"/>
      <c r="E137" s="9" t="n"/>
      <c r="F137" s="9" t="n"/>
      <c r="G137" s="9" t="n"/>
      <c r="H137" s="71" t="n"/>
      <c r="I137" s="9" t="n"/>
      <c r="J137" s="89">
        <f>IF(H137="","",IF(I137="Sí",ROUND(H137*Configuracion!$B$11,0),0))</f>
        <v/>
      </c>
      <c r="K137" s="89">
        <f>IF(H137="","",H137+J137)</f>
        <v/>
      </c>
      <c r="L137" s="13">
        <f>IF(B137="","",YEAR(B137))</f>
        <v/>
      </c>
      <c r="M137" s="13">
        <f>IF(B137="","",MONTH(B137))</f>
        <v/>
      </c>
      <c r="N137" s="9" t="n"/>
      <c r="O137" s="9" t="n"/>
      <c r="P137" s="9" t="n"/>
      <c r="Q137" s="9" t="n"/>
    </row>
    <row r="138">
      <c r="A138" s="9" t="n"/>
      <c r="B138" s="70" t="n"/>
      <c r="C138" s="9" t="n"/>
      <c r="D138" s="9" t="n"/>
      <c r="E138" s="9" t="n"/>
      <c r="F138" s="9" t="n"/>
      <c r="G138" s="9" t="n"/>
      <c r="H138" s="71" t="n"/>
      <c r="I138" s="9" t="n"/>
      <c r="J138" s="89">
        <f>IF(H138="","",IF(I138="Sí",ROUND(H138*Configuracion!$B$11,0),0))</f>
        <v/>
      </c>
      <c r="K138" s="89">
        <f>IF(H138="","",H138+J138)</f>
        <v/>
      </c>
      <c r="L138" s="13">
        <f>IF(B138="","",YEAR(B138))</f>
        <v/>
      </c>
      <c r="M138" s="13">
        <f>IF(B138="","",MONTH(B138))</f>
        <v/>
      </c>
      <c r="N138" s="9" t="n"/>
      <c r="O138" s="9" t="n"/>
      <c r="P138" s="9" t="n"/>
      <c r="Q138" s="9" t="n"/>
    </row>
    <row r="139">
      <c r="A139" s="9" t="n"/>
      <c r="B139" s="70" t="n"/>
      <c r="C139" s="9" t="n"/>
      <c r="D139" s="9" t="n"/>
      <c r="E139" s="9" t="n"/>
      <c r="F139" s="9" t="n"/>
      <c r="G139" s="9" t="n"/>
      <c r="H139" s="71" t="n"/>
      <c r="I139" s="9" t="n"/>
      <c r="J139" s="89">
        <f>IF(H139="","",IF(I139="Sí",ROUND(H139*Configuracion!$B$11,0),0))</f>
        <v/>
      </c>
      <c r="K139" s="89">
        <f>IF(H139="","",H139+J139)</f>
        <v/>
      </c>
      <c r="L139" s="13">
        <f>IF(B139="","",YEAR(B139))</f>
        <v/>
      </c>
      <c r="M139" s="13">
        <f>IF(B139="","",MONTH(B139))</f>
        <v/>
      </c>
      <c r="N139" s="9" t="n"/>
      <c r="O139" s="9" t="n"/>
      <c r="P139" s="9" t="n"/>
      <c r="Q139" s="9" t="n"/>
    </row>
    <row r="140">
      <c r="A140" s="9" t="n"/>
      <c r="B140" s="70" t="n"/>
      <c r="C140" s="9" t="n"/>
      <c r="D140" s="9" t="n"/>
      <c r="E140" s="9" t="n"/>
      <c r="F140" s="9" t="n"/>
      <c r="G140" s="9" t="n"/>
      <c r="H140" s="71" t="n"/>
      <c r="I140" s="9" t="n"/>
      <c r="J140" s="89">
        <f>IF(H140="","",IF(I140="Sí",ROUND(H140*Configuracion!$B$11,0),0))</f>
        <v/>
      </c>
      <c r="K140" s="89">
        <f>IF(H140="","",H140+J140)</f>
        <v/>
      </c>
      <c r="L140" s="13">
        <f>IF(B140="","",YEAR(B140))</f>
        <v/>
      </c>
      <c r="M140" s="13">
        <f>IF(B140="","",MONTH(B140))</f>
        <v/>
      </c>
      <c r="N140" s="9" t="n"/>
      <c r="O140" s="9" t="n"/>
      <c r="P140" s="9" t="n"/>
      <c r="Q140" s="9" t="n"/>
    </row>
    <row r="141">
      <c r="A141" s="9" t="n"/>
      <c r="B141" s="70" t="n"/>
      <c r="C141" s="9" t="n"/>
      <c r="D141" s="9" t="n"/>
      <c r="E141" s="9" t="n"/>
      <c r="F141" s="9" t="n"/>
      <c r="G141" s="9" t="n"/>
      <c r="H141" s="71" t="n"/>
      <c r="I141" s="9" t="n"/>
      <c r="J141" s="89">
        <f>IF(H141="","",IF(I141="Sí",ROUND(H141*Configuracion!$B$11,0),0))</f>
        <v/>
      </c>
      <c r="K141" s="89">
        <f>IF(H141="","",H141+J141)</f>
        <v/>
      </c>
      <c r="L141" s="13">
        <f>IF(B141="","",YEAR(B141))</f>
        <v/>
      </c>
      <c r="M141" s="13">
        <f>IF(B141="","",MONTH(B141))</f>
        <v/>
      </c>
      <c r="N141" s="9" t="n"/>
      <c r="O141" s="9" t="n"/>
      <c r="P141" s="9" t="n"/>
      <c r="Q141" s="9" t="n"/>
    </row>
    <row r="142">
      <c r="A142" s="9" t="n"/>
      <c r="B142" s="70" t="n"/>
      <c r="C142" s="9" t="n"/>
      <c r="D142" s="9" t="n"/>
      <c r="E142" s="9" t="n"/>
      <c r="F142" s="9" t="n"/>
      <c r="G142" s="9" t="n"/>
      <c r="H142" s="71" t="n"/>
      <c r="I142" s="9" t="n"/>
      <c r="J142" s="89">
        <f>IF(H142="","",IF(I142="Sí",ROUND(H142*Configuracion!$B$11,0),0))</f>
        <v/>
      </c>
      <c r="K142" s="89">
        <f>IF(H142="","",H142+J142)</f>
        <v/>
      </c>
      <c r="L142" s="13">
        <f>IF(B142="","",YEAR(B142))</f>
        <v/>
      </c>
      <c r="M142" s="13">
        <f>IF(B142="","",MONTH(B142))</f>
        <v/>
      </c>
      <c r="N142" s="9" t="n"/>
      <c r="O142" s="9" t="n"/>
      <c r="P142" s="9" t="n"/>
      <c r="Q142" s="9" t="n"/>
    </row>
    <row r="143">
      <c r="A143" s="9" t="n"/>
      <c r="B143" s="70" t="n"/>
      <c r="C143" s="9" t="n"/>
      <c r="D143" s="9" t="n"/>
      <c r="E143" s="9" t="n"/>
      <c r="F143" s="9" t="n"/>
      <c r="G143" s="9" t="n"/>
      <c r="H143" s="71" t="n"/>
      <c r="I143" s="9" t="n"/>
      <c r="J143" s="89">
        <f>IF(H143="","",IF(I143="Sí",ROUND(H143*Configuracion!$B$11,0),0))</f>
        <v/>
      </c>
      <c r="K143" s="89">
        <f>IF(H143="","",H143+J143)</f>
        <v/>
      </c>
      <c r="L143" s="13">
        <f>IF(B143="","",YEAR(B143))</f>
        <v/>
      </c>
      <c r="M143" s="13">
        <f>IF(B143="","",MONTH(B143))</f>
        <v/>
      </c>
      <c r="N143" s="9" t="n"/>
      <c r="O143" s="9" t="n"/>
      <c r="P143" s="9" t="n"/>
      <c r="Q143" s="9" t="n"/>
    </row>
    <row r="144">
      <c r="A144" s="9" t="n"/>
      <c r="B144" s="70" t="n"/>
      <c r="C144" s="9" t="n"/>
      <c r="D144" s="9" t="n"/>
      <c r="E144" s="9" t="n"/>
      <c r="F144" s="9" t="n"/>
      <c r="G144" s="9" t="n"/>
      <c r="H144" s="71" t="n"/>
      <c r="I144" s="9" t="n"/>
      <c r="J144" s="89">
        <f>IF(H144="","",IF(I144="Sí",ROUND(H144*Configuracion!$B$11,0),0))</f>
        <v/>
      </c>
      <c r="K144" s="89">
        <f>IF(H144="","",H144+J144)</f>
        <v/>
      </c>
      <c r="L144" s="13">
        <f>IF(B144="","",YEAR(B144))</f>
        <v/>
      </c>
      <c r="M144" s="13">
        <f>IF(B144="","",MONTH(B144))</f>
        <v/>
      </c>
      <c r="N144" s="9" t="n"/>
      <c r="O144" s="9" t="n"/>
      <c r="P144" s="9" t="n"/>
      <c r="Q144" s="9" t="n"/>
    </row>
    <row r="145">
      <c r="A145" s="9" t="n"/>
      <c r="B145" s="70" t="n"/>
      <c r="C145" s="9" t="n"/>
      <c r="D145" s="9" t="n"/>
      <c r="E145" s="9" t="n"/>
      <c r="F145" s="9" t="n"/>
      <c r="G145" s="9" t="n"/>
      <c r="H145" s="71" t="n"/>
      <c r="I145" s="9" t="n"/>
      <c r="J145" s="89">
        <f>IF(H145="","",IF(I145="Sí",ROUND(H145*Configuracion!$B$11,0),0))</f>
        <v/>
      </c>
      <c r="K145" s="89">
        <f>IF(H145="","",H145+J145)</f>
        <v/>
      </c>
      <c r="L145" s="13">
        <f>IF(B145="","",YEAR(B145))</f>
        <v/>
      </c>
      <c r="M145" s="13">
        <f>IF(B145="","",MONTH(B145))</f>
        <v/>
      </c>
      <c r="N145" s="9" t="n"/>
      <c r="O145" s="9" t="n"/>
      <c r="P145" s="9" t="n"/>
      <c r="Q145" s="9" t="n"/>
    </row>
    <row r="146">
      <c r="A146" s="9" t="n"/>
      <c r="B146" s="70" t="n"/>
      <c r="C146" s="9" t="n"/>
      <c r="D146" s="9" t="n"/>
      <c r="E146" s="9" t="n"/>
      <c r="F146" s="9" t="n"/>
      <c r="G146" s="9" t="n"/>
      <c r="H146" s="71" t="n"/>
      <c r="I146" s="9" t="n"/>
      <c r="J146" s="89">
        <f>IF(H146="","",IF(I146="Sí",ROUND(H146*Configuracion!$B$11,0),0))</f>
        <v/>
      </c>
      <c r="K146" s="89">
        <f>IF(H146="","",H146+J146)</f>
        <v/>
      </c>
      <c r="L146" s="13">
        <f>IF(B146="","",YEAR(B146))</f>
        <v/>
      </c>
      <c r="M146" s="13">
        <f>IF(B146="","",MONTH(B146))</f>
        <v/>
      </c>
      <c r="N146" s="9" t="n"/>
      <c r="O146" s="9" t="n"/>
      <c r="P146" s="9" t="n"/>
      <c r="Q146" s="9" t="n"/>
    </row>
    <row r="147">
      <c r="A147" s="9" t="n"/>
      <c r="B147" s="70" t="n"/>
      <c r="C147" s="9" t="n"/>
      <c r="D147" s="9" t="n"/>
      <c r="E147" s="9" t="n"/>
      <c r="F147" s="9" t="n"/>
      <c r="G147" s="9" t="n"/>
      <c r="H147" s="71" t="n"/>
      <c r="I147" s="9" t="n"/>
      <c r="J147" s="89">
        <f>IF(H147="","",IF(I147="Sí",ROUND(H147*Configuracion!$B$11,0),0))</f>
        <v/>
      </c>
      <c r="K147" s="89">
        <f>IF(H147="","",H147+J147)</f>
        <v/>
      </c>
      <c r="L147" s="13">
        <f>IF(B147="","",YEAR(B147))</f>
        <v/>
      </c>
      <c r="M147" s="13">
        <f>IF(B147="","",MONTH(B147))</f>
        <v/>
      </c>
      <c r="N147" s="9" t="n"/>
      <c r="O147" s="9" t="n"/>
      <c r="P147" s="9" t="n"/>
      <c r="Q147" s="9" t="n"/>
    </row>
    <row r="148">
      <c r="A148" s="9" t="n"/>
      <c r="B148" s="70" t="n"/>
      <c r="C148" s="9" t="n"/>
      <c r="D148" s="9" t="n"/>
      <c r="E148" s="9" t="n"/>
      <c r="F148" s="9" t="n"/>
      <c r="G148" s="9" t="n"/>
      <c r="H148" s="71" t="n"/>
      <c r="I148" s="9" t="n"/>
      <c r="J148" s="89">
        <f>IF(H148="","",IF(I148="Sí",ROUND(H148*Configuracion!$B$11,0),0))</f>
        <v/>
      </c>
      <c r="K148" s="89">
        <f>IF(H148="","",H148+J148)</f>
        <v/>
      </c>
      <c r="L148" s="13">
        <f>IF(B148="","",YEAR(B148))</f>
        <v/>
      </c>
      <c r="M148" s="13">
        <f>IF(B148="","",MONTH(B148))</f>
        <v/>
      </c>
      <c r="N148" s="9" t="n"/>
      <c r="O148" s="9" t="n"/>
      <c r="P148" s="9" t="n"/>
      <c r="Q148" s="9" t="n"/>
    </row>
    <row r="149">
      <c r="A149" s="9" t="n"/>
      <c r="B149" s="70" t="n"/>
      <c r="C149" s="9" t="n"/>
      <c r="D149" s="9" t="n"/>
      <c r="E149" s="9" t="n"/>
      <c r="F149" s="9" t="n"/>
      <c r="G149" s="9" t="n"/>
      <c r="H149" s="71" t="n"/>
      <c r="I149" s="9" t="n"/>
      <c r="J149" s="89">
        <f>IF(H149="","",IF(I149="Sí",ROUND(H149*Configuracion!$B$11,0),0))</f>
        <v/>
      </c>
      <c r="K149" s="89">
        <f>IF(H149="","",H149+J149)</f>
        <v/>
      </c>
      <c r="L149" s="13">
        <f>IF(B149="","",YEAR(B149))</f>
        <v/>
      </c>
      <c r="M149" s="13">
        <f>IF(B149="","",MONTH(B149))</f>
        <v/>
      </c>
      <c r="N149" s="9" t="n"/>
      <c r="O149" s="9" t="n"/>
      <c r="P149" s="9" t="n"/>
      <c r="Q149" s="9" t="n"/>
    </row>
    <row r="150">
      <c r="A150" s="9" t="n"/>
      <c r="B150" s="70" t="n"/>
      <c r="C150" s="9" t="n"/>
      <c r="D150" s="9" t="n"/>
      <c r="E150" s="9" t="n"/>
      <c r="F150" s="9" t="n"/>
      <c r="G150" s="9" t="n"/>
      <c r="H150" s="71" t="n"/>
      <c r="I150" s="9" t="n"/>
      <c r="J150" s="89">
        <f>IF(H150="","",IF(I150="Sí",ROUND(H150*Configuracion!$B$11,0),0))</f>
        <v/>
      </c>
      <c r="K150" s="89">
        <f>IF(H150="","",H150+J150)</f>
        <v/>
      </c>
      <c r="L150" s="13">
        <f>IF(B150="","",YEAR(B150))</f>
        <v/>
      </c>
      <c r="M150" s="13">
        <f>IF(B150="","",MONTH(B150))</f>
        <v/>
      </c>
      <c r="N150" s="9" t="n"/>
      <c r="O150" s="9" t="n"/>
      <c r="P150" s="9" t="n"/>
      <c r="Q150" s="9" t="n"/>
    </row>
    <row r="151">
      <c r="A151" s="9" t="n"/>
      <c r="B151" s="70" t="n"/>
      <c r="C151" s="9" t="n"/>
      <c r="D151" s="9" t="n"/>
      <c r="E151" s="9" t="n"/>
      <c r="F151" s="9" t="n"/>
      <c r="G151" s="9" t="n"/>
      <c r="H151" s="71" t="n"/>
      <c r="I151" s="9" t="n"/>
      <c r="J151" s="89">
        <f>IF(H151="","",IF(I151="Sí",ROUND(H151*Configuracion!$B$11,0),0))</f>
        <v/>
      </c>
      <c r="K151" s="89">
        <f>IF(H151="","",H151+J151)</f>
        <v/>
      </c>
      <c r="L151" s="13">
        <f>IF(B151="","",YEAR(B151))</f>
        <v/>
      </c>
      <c r="M151" s="13">
        <f>IF(B151="","",MONTH(B151))</f>
        <v/>
      </c>
      <c r="N151" s="9" t="n"/>
      <c r="O151" s="9" t="n"/>
      <c r="P151" s="9" t="n"/>
      <c r="Q151" s="9" t="n"/>
    </row>
    <row r="152">
      <c r="A152" s="9" t="n"/>
      <c r="B152" s="70" t="n"/>
      <c r="C152" s="9" t="n"/>
      <c r="D152" s="9" t="n"/>
      <c r="E152" s="9" t="n"/>
      <c r="F152" s="9" t="n"/>
      <c r="G152" s="9" t="n"/>
      <c r="H152" s="71" t="n"/>
      <c r="I152" s="9" t="n"/>
      <c r="J152" s="89">
        <f>IF(H152="","",IF(I152="Sí",ROUND(H152*Configuracion!$B$11,0),0))</f>
        <v/>
      </c>
      <c r="K152" s="89">
        <f>IF(H152="","",H152+J152)</f>
        <v/>
      </c>
      <c r="L152" s="13">
        <f>IF(B152="","",YEAR(B152))</f>
        <v/>
      </c>
      <c r="M152" s="13">
        <f>IF(B152="","",MONTH(B152))</f>
        <v/>
      </c>
      <c r="N152" s="9" t="n"/>
      <c r="O152" s="9" t="n"/>
      <c r="P152" s="9" t="n"/>
      <c r="Q152" s="9" t="n"/>
    </row>
    <row r="153">
      <c r="A153" s="9" t="n"/>
      <c r="B153" s="70" t="n"/>
      <c r="C153" s="9" t="n"/>
      <c r="D153" s="9" t="n"/>
      <c r="E153" s="9" t="n"/>
      <c r="F153" s="9" t="n"/>
      <c r="G153" s="9" t="n"/>
      <c r="H153" s="71" t="n"/>
      <c r="I153" s="9" t="n"/>
      <c r="J153" s="89">
        <f>IF(H153="","",IF(I153="Sí",ROUND(H153*Configuracion!$B$11,0),0))</f>
        <v/>
      </c>
      <c r="K153" s="89">
        <f>IF(H153="","",H153+J153)</f>
        <v/>
      </c>
      <c r="L153" s="13">
        <f>IF(B153="","",YEAR(B153))</f>
        <v/>
      </c>
      <c r="M153" s="13">
        <f>IF(B153="","",MONTH(B153))</f>
        <v/>
      </c>
      <c r="N153" s="9" t="n"/>
      <c r="O153" s="9" t="n"/>
      <c r="P153" s="9" t="n"/>
      <c r="Q153" s="9" t="n"/>
    </row>
    <row r="154">
      <c r="A154" s="9" t="n"/>
      <c r="B154" s="70" t="n"/>
      <c r="C154" s="9" t="n"/>
      <c r="D154" s="9" t="n"/>
      <c r="E154" s="9" t="n"/>
      <c r="F154" s="9" t="n"/>
      <c r="G154" s="9" t="n"/>
      <c r="H154" s="71" t="n"/>
      <c r="I154" s="9" t="n"/>
      <c r="J154" s="89">
        <f>IF(H154="","",IF(I154="Sí",ROUND(H154*Configuracion!$B$11,0),0))</f>
        <v/>
      </c>
      <c r="K154" s="89">
        <f>IF(H154="","",H154+J154)</f>
        <v/>
      </c>
      <c r="L154" s="13">
        <f>IF(B154="","",YEAR(B154))</f>
        <v/>
      </c>
      <c r="M154" s="13">
        <f>IF(B154="","",MONTH(B154))</f>
        <v/>
      </c>
      <c r="N154" s="9" t="n"/>
      <c r="O154" s="9" t="n"/>
      <c r="P154" s="9" t="n"/>
      <c r="Q154" s="9" t="n"/>
    </row>
    <row r="155">
      <c r="A155" s="9" t="n"/>
      <c r="B155" s="70" t="n"/>
      <c r="C155" s="9" t="n"/>
      <c r="D155" s="9" t="n"/>
      <c r="E155" s="9" t="n"/>
      <c r="F155" s="9" t="n"/>
      <c r="G155" s="9" t="n"/>
      <c r="H155" s="71" t="n"/>
      <c r="I155" s="9" t="n"/>
      <c r="J155" s="89">
        <f>IF(H155="","",IF(I155="Sí",ROUND(H155*Configuracion!$B$11,0),0))</f>
        <v/>
      </c>
      <c r="K155" s="89">
        <f>IF(H155="","",H155+J155)</f>
        <v/>
      </c>
      <c r="L155" s="13">
        <f>IF(B155="","",YEAR(B155))</f>
        <v/>
      </c>
      <c r="M155" s="13">
        <f>IF(B155="","",MONTH(B155))</f>
        <v/>
      </c>
      <c r="N155" s="9" t="n"/>
      <c r="O155" s="9" t="n"/>
      <c r="P155" s="9" t="n"/>
      <c r="Q155" s="9" t="n"/>
    </row>
    <row r="156">
      <c r="A156" s="9" t="n"/>
      <c r="B156" s="70" t="n"/>
      <c r="C156" s="9" t="n"/>
      <c r="D156" s="9" t="n"/>
      <c r="E156" s="9" t="n"/>
      <c r="F156" s="9" t="n"/>
      <c r="G156" s="9" t="n"/>
      <c r="H156" s="71" t="n"/>
      <c r="I156" s="9" t="n"/>
      <c r="J156" s="89">
        <f>IF(H156="","",IF(I156="Sí",ROUND(H156*Configuracion!$B$11,0),0))</f>
        <v/>
      </c>
      <c r="K156" s="89">
        <f>IF(H156="","",H156+J156)</f>
        <v/>
      </c>
      <c r="L156" s="13">
        <f>IF(B156="","",YEAR(B156))</f>
        <v/>
      </c>
      <c r="M156" s="13">
        <f>IF(B156="","",MONTH(B156))</f>
        <v/>
      </c>
      <c r="N156" s="9" t="n"/>
      <c r="O156" s="9" t="n"/>
      <c r="P156" s="9" t="n"/>
      <c r="Q156" s="9" t="n"/>
    </row>
    <row r="157">
      <c r="A157" s="9" t="n"/>
      <c r="B157" s="70" t="n"/>
      <c r="C157" s="9" t="n"/>
      <c r="D157" s="9" t="n"/>
      <c r="E157" s="9" t="n"/>
      <c r="F157" s="9" t="n"/>
      <c r="G157" s="9" t="n"/>
      <c r="H157" s="71" t="n"/>
      <c r="I157" s="9" t="n"/>
      <c r="J157" s="89">
        <f>IF(H157="","",IF(I157="Sí",ROUND(H157*Configuracion!$B$11,0),0))</f>
        <v/>
      </c>
      <c r="K157" s="89">
        <f>IF(H157="","",H157+J157)</f>
        <v/>
      </c>
      <c r="L157" s="13">
        <f>IF(B157="","",YEAR(B157))</f>
        <v/>
      </c>
      <c r="M157" s="13">
        <f>IF(B157="","",MONTH(B157))</f>
        <v/>
      </c>
      <c r="N157" s="9" t="n"/>
      <c r="O157" s="9" t="n"/>
      <c r="P157" s="9" t="n"/>
      <c r="Q157" s="9" t="n"/>
    </row>
    <row r="158">
      <c r="A158" s="9" t="n"/>
      <c r="B158" s="70" t="n"/>
      <c r="C158" s="9" t="n"/>
      <c r="D158" s="9" t="n"/>
      <c r="E158" s="9" t="n"/>
      <c r="F158" s="9" t="n"/>
      <c r="G158" s="9" t="n"/>
      <c r="H158" s="71" t="n"/>
      <c r="I158" s="9" t="n"/>
      <c r="J158" s="89">
        <f>IF(H158="","",IF(I158="Sí",ROUND(H158*Configuracion!$B$11,0),0))</f>
        <v/>
      </c>
      <c r="K158" s="89">
        <f>IF(H158="","",H158+J158)</f>
        <v/>
      </c>
      <c r="L158" s="13">
        <f>IF(B158="","",YEAR(B158))</f>
        <v/>
      </c>
      <c r="M158" s="13">
        <f>IF(B158="","",MONTH(B158))</f>
        <v/>
      </c>
      <c r="N158" s="9" t="n"/>
      <c r="O158" s="9" t="n"/>
      <c r="P158" s="9" t="n"/>
      <c r="Q158" s="9" t="n"/>
    </row>
    <row r="159">
      <c r="A159" s="9" t="n"/>
      <c r="B159" s="70" t="n"/>
      <c r="C159" s="9" t="n"/>
      <c r="D159" s="9" t="n"/>
      <c r="E159" s="9" t="n"/>
      <c r="F159" s="9" t="n"/>
      <c r="G159" s="9" t="n"/>
      <c r="H159" s="71" t="n"/>
      <c r="I159" s="9" t="n"/>
      <c r="J159" s="89">
        <f>IF(H159="","",IF(I159="Sí",ROUND(H159*Configuracion!$B$11,0),0))</f>
        <v/>
      </c>
      <c r="K159" s="89">
        <f>IF(H159="","",H159+J159)</f>
        <v/>
      </c>
      <c r="L159" s="13">
        <f>IF(B159="","",YEAR(B159))</f>
        <v/>
      </c>
      <c r="M159" s="13">
        <f>IF(B159="","",MONTH(B159))</f>
        <v/>
      </c>
      <c r="N159" s="9" t="n"/>
      <c r="O159" s="9" t="n"/>
      <c r="P159" s="9" t="n"/>
      <c r="Q159" s="9" t="n"/>
    </row>
    <row r="160">
      <c r="A160" s="9" t="n"/>
      <c r="B160" s="70" t="n"/>
      <c r="C160" s="9" t="n"/>
      <c r="D160" s="9" t="n"/>
      <c r="E160" s="9" t="n"/>
      <c r="F160" s="9" t="n"/>
      <c r="G160" s="9" t="n"/>
      <c r="H160" s="71" t="n"/>
      <c r="I160" s="9" t="n"/>
      <c r="J160" s="89">
        <f>IF(H160="","",IF(I160="Sí",ROUND(H160*Configuracion!$B$11,0),0))</f>
        <v/>
      </c>
      <c r="K160" s="89">
        <f>IF(H160="","",H160+J160)</f>
        <v/>
      </c>
      <c r="L160" s="13">
        <f>IF(B160="","",YEAR(B160))</f>
        <v/>
      </c>
      <c r="M160" s="13">
        <f>IF(B160="","",MONTH(B160))</f>
        <v/>
      </c>
      <c r="N160" s="9" t="n"/>
      <c r="O160" s="9" t="n"/>
      <c r="P160" s="9" t="n"/>
      <c r="Q160" s="9" t="n"/>
    </row>
    <row r="161">
      <c r="A161" s="9" t="n"/>
      <c r="B161" s="70" t="n"/>
      <c r="C161" s="9" t="n"/>
      <c r="D161" s="9" t="n"/>
      <c r="E161" s="9" t="n"/>
      <c r="F161" s="9" t="n"/>
      <c r="G161" s="9" t="n"/>
      <c r="H161" s="71" t="n"/>
      <c r="I161" s="9" t="n"/>
      <c r="J161" s="89">
        <f>IF(H161="","",IF(I161="Sí",ROUND(H161*Configuracion!$B$11,0),0))</f>
        <v/>
      </c>
      <c r="K161" s="89">
        <f>IF(H161="","",H161+J161)</f>
        <v/>
      </c>
      <c r="L161" s="13">
        <f>IF(B161="","",YEAR(B161))</f>
        <v/>
      </c>
      <c r="M161" s="13">
        <f>IF(B161="","",MONTH(B161))</f>
        <v/>
      </c>
      <c r="N161" s="9" t="n"/>
      <c r="O161" s="9" t="n"/>
      <c r="P161" s="9" t="n"/>
      <c r="Q161" s="9" t="n"/>
    </row>
    <row r="162">
      <c r="A162" s="9" t="n"/>
      <c r="B162" s="70" t="n"/>
      <c r="C162" s="9" t="n"/>
      <c r="D162" s="9" t="n"/>
      <c r="E162" s="9" t="n"/>
      <c r="F162" s="9" t="n"/>
      <c r="G162" s="9" t="n"/>
      <c r="H162" s="71" t="n"/>
      <c r="I162" s="9" t="n"/>
      <c r="J162" s="89">
        <f>IF(H162="","",IF(I162="Sí",ROUND(H162*Configuracion!$B$11,0),0))</f>
        <v/>
      </c>
      <c r="K162" s="89">
        <f>IF(H162="","",H162+J162)</f>
        <v/>
      </c>
      <c r="L162" s="13">
        <f>IF(B162="","",YEAR(B162))</f>
        <v/>
      </c>
      <c r="M162" s="13">
        <f>IF(B162="","",MONTH(B162))</f>
        <v/>
      </c>
      <c r="N162" s="9" t="n"/>
      <c r="O162" s="9" t="n"/>
      <c r="P162" s="9" t="n"/>
      <c r="Q162" s="9" t="n"/>
    </row>
    <row r="163">
      <c r="A163" s="9" t="n"/>
      <c r="B163" s="70" t="n"/>
      <c r="C163" s="9" t="n"/>
      <c r="D163" s="9" t="n"/>
      <c r="E163" s="9" t="n"/>
      <c r="F163" s="9" t="n"/>
      <c r="G163" s="9" t="n"/>
      <c r="H163" s="71" t="n"/>
      <c r="I163" s="9" t="n"/>
      <c r="J163" s="89">
        <f>IF(H163="","",IF(I163="Sí",ROUND(H163*Configuracion!$B$11,0),0))</f>
        <v/>
      </c>
      <c r="K163" s="89">
        <f>IF(H163="","",H163+J163)</f>
        <v/>
      </c>
      <c r="L163" s="13">
        <f>IF(B163="","",YEAR(B163))</f>
        <v/>
      </c>
      <c r="M163" s="13">
        <f>IF(B163="","",MONTH(B163))</f>
        <v/>
      </c>
      <c r="N163" s="9" t="n"/>
      <c r="O163" s="9" t="n"/>
      <c r="P163" s="9" t="n"/>
      <c r="Q163" s="9" t="n"/>
    </row>
    <row r="164">
      <c r="A164" s="9" t="n"/>
      <c r="B164" s="70" t="n"/>
      <c r="C164" s="9" t="n"/>
      <c r="D164" s="9" t="n"/>
      <c r="E164" s="9" t="n"/>
      <c r="F164" s="9" t="n"/>
      <c r="G164" s="9" t="n"/>
      <c r="H164" s="71" t="n"/>
      <c r="I164" s="9" t="n"/>
      <c r="J164" s="89">
        <f>IF(H164="","",IF(I164="Sí",ROUND(H164*Configuracion!$B$11,0),0))</f>
        <v/>
      </c>
      <c r="K164" s="89">
        <f>IF(H164="","",H164+J164)</f>
        <v/>
      </c>
      <c r="L164" s="13">
        <f>IF(B164="","",YEAR(B164))</f>
        <v/>
      </c>
      <c r="M164" s="13">
        <f>IF(B164="","",MONTH(B164))</f>
        <v/>
      </c>
      <c r="N164" s="9" t="n"/>
      <c r="O164" s="9" t="n"/>
      <c r="P164" s="9" t="n"/>
      <c r="Q164" s="9" t="n"/>
    </row>
    <row r="165">
      <c r="A165" s="9" t="n"/>
      <c r="B165" s="70" t="n"/>
      <c r="C165" s="9" t="n"/>
      <c r="D165" s="9" t="n"/>
      <c r="E165" s="9" t="n"/>
      <c r="F165" s="9" t="n"/>
      <c r="G165" s="9" t="n"/>
      <c r="H165" s="71" t="n"/>
      <c r="I165" s="9" t="n"/>
      <c r="J165" s="89">
        <f>IF(H165="","",IF(I165="Sí",ROUND(H165*Configuracion!$B$11,0),0))</f>
        <v/>
      </c>
      <c r="K165" s="89">
        <f>IF(H165="","",H165+J165)</f>
        <v/>
      </c>
      <c r="L165" s="13">
        <f>IF(B165="","",YEAR(B165))</f>
        <v/>
      </c>
      <c r="M165" s="13">
        <f>IF(B165="","",MONTH(B165))</f>
        <v/>
      </c>
      <c r="N165" s="9" t="n"/>
      <c r="O165" s="9" t="n"/>
      <c r="P165" s="9" t="n"/>
      <c r="Q165" s="9" t="n"/>
    </row>
    <row r="166">
      <c r="A166" s="9" t="n"/>
      <c r="B166" s="70" t="n"/>
      <c r="C166" s="9" t="n"/>
      <c r="D166" s="9" t="n"/>
      <c r="E166" s="9" t="n"/>
      <c r="F166" s="9" t="n"/>
      <c r="G166" s="9" t="n"/>
      <c r="H166" s="71" t="n"/>
      <c r="I166" s="9" t="n"/>
      <c r="J166" s="89">
        <f>IF(H166="","",IF(I166="Sí",ROUND(H166*Configuracion!$B$11,0),0))</f>
        <v/>
      </c>
      <c r="K166" s="89">
        <f>IF(H166="","",H166+J166)</f>
        <v/>
      </c>
      <c r="L166" s="13">
        <f>IF(B166="","",YEAR(B166))</f>
        <v/>
      </c>
      <c r="M166" s="13">
        <f>IF(B166="","",MONTH(B166))</f>
        <v/>
      </c>
      <c r="N166" s="9" t="n"/>
      <c r="O166" s="9" t="n"/>
      <c r="P166" s="9" t="n"/>
      <c r="Q166" s="9" t="n"/>
    </row>
    <row r="167">
      <c r="A167" s="9" t="n"/>
      <c r="B167" s="70" t="n"/>
      <c r="C167" s="9" t="n"/>
      <c r="D167" s="9" t="n"/>
      <c r="E167" s="9" t="n"/>
      <c r="F167" s="9" t="n"/>
      <c r="G167" s="9" t="n"/>
      <c r="H167" s="71" t="n"/>
      <c r="I167" s="9" t="n"/>
      <c r="J167" s="89">
        <f>IF(H167="","",IF(I167="Sí",ROUND(H167*Configuracion!$B$11,0),0))</f>
        <v/>
      </c>
      <c r="K167" s="89">
        <f>IF(H167="","",H167+J167)</f>
        <v/>
      </c>
      <c r="L167" s="13">
        <f>IF(B167="","",YEAR(B167))</f>
        <v/>
      </c>
      <c r="M167" s="13">
        <f>IF(B167="","",MONTH(B167))</f>
        <v/>
      </c>
      <c r="N167" s="9" t="n"/>
      <c r="O167" s="9" t="n"/>
      <c r="P167" s="9" t="n"/>
      <c r="Q167" s="9" t="n"/>
    </row>
    <row r="168">
      <c r="A168" s="9" t="n"/>
      <c r="B168" s="70" t="n"/>
      <c r="C168" s="9" t="n"/>
      <c r="D168" s="9" t="n"/>
      <c r="E168" s="9" t="n"/>
      <c r="F168" s="9" t="n"/>
      <c r="G168" s="9" t="n"/>
      <c r="H168" s="71" t="n"/>
      <c r="I168" s="9" t="n"/>
      <c r="J168" s="89">
        <f>IF(H168="","",IF(I168="Sí",ROUND(H168*Configuracion!$B$11,0),0))</f>
        <v/>
      </c>
      <c r="K168" s="89">
        <f>IF(H168="","",H168+J168)</f>
        <v/>
      </c>
      <c r="L168" s="13">
        <f>IF(B168="","",YEAR(B168))</f>
        <v/>
      </c>
      <c r="M168" s="13">
        <f>IF(B168="","",MONTH(B168))</f>
        <v/>
      </c>
      <c r="N168" s="9" t="n"/>
      <c r="O168" s="9" t="n"/>
      <c r="P168" s="9" t="n"/>
      <c r="Q168" s="9" t="n"/>
    </row>
    <row r="169">
      <c r="A169" s="9" t="n"/>
      <c r="B169" s="70" t="n"/>
      <c r="C169" s="9" t="n"/>
      <c r="D169" s="9" t="n"/>
      <c r="E169" s="9" t="n"/>
      <c r="F169" s="9" t="n"/>
      <c r="G169" s="9" t="n"/>
      <c r="H169" s="71" t="n"/>
      <c r="I169" s="9" t="n"/>
      <c r="J169" s="89">
        <f>IF(H169="","",IF(I169="Sí",ROUND(H169*Configuracion!$B$11,0),0))</f>
        <v/>
      </c>
      <c r="K169" s="89">
        <f>IF(H169="","",H169+J169)</f>
        <v/>
      </c>
      <c r="L169" s="13">
        <f>IF(B169="","",YEAR(B169))</f>
        <v/>
      </c>
      <c r="M169" s="13">
        <f>IF(B169="","",MONTH(B169))</f>
        <v/>
      </c>
      <c r="N169" s="9" t="n"/>
      <c r="O169" s="9" t="n"/>
      <c r="P169" s="9" t="n"/>
      <c r="Q169" s="9" t="n"/>
    </row>
    <row r="170">
      <c r="A170" s="9" t="n"/>
      <c r="B170" s="70" t="n"/>
      <c r="C170" s="9" t="n"/>
      <c r="D170" s="9" t="n"/>
      <c r="E170" s="9" t="n"/>
      <c r="F170" s="9" t="n"/>
      <c r="G170" s="9" t="n"/>
      <c r="H170" s="71" t="n"/>
      <c r="I170" s="9" t="n"/>
      <c r="J170" s="89">
        <f>IF(H170="","",IF(I170="Sí",ROUND(H170*Configuracion!$B$11,0),0))</f>
        <v/>
      </c>
      <c r="K170" s="89">
        <f>IF(H170="","",H170+J170)</f>
        <v/>
      </c>
      <c r="L170" s="13">
        <f>IF(B170="","",YEAR(B170))</f>
        <v/>
      </c>
      <c r="M170" s="13">
        <f>IF(B170="","",MONTH(B170))</f>
        <v/>
      </c>
      <c r="N170" s="9" t="n"/>
      <c r="O170" s="9" t="n"/>
      <c r="P170" s="9" t="n"/>
      <c r="Q170" s="9" t="n"/>
    </row>
    <row r="171">
      <c r="A171" s="9" t="n"/>
      <c r="B171" s="70" t="n"/>
      <c r="C171" s="9" t="n"/>
      <c r="D171" s="9" t="n"/>
      <c r="E171" s="9" t="n"/>
      <c r="F171" s="9" t="n"/>
      <c r="G171" s="9" t="n"/>
      <c r="H171" s="71" t="n"/>
      <c r="I171" s="9" t="n"/>
      <c r="J171" s="89">
        <f>IF(H171="","",IF(I171="Sí",ROUND(H171*Configuracion!$B$11,0),0))</f>
        <v/>
      </c>
      <c r="K171" s="89">
        <f>IF(H171="","",H171+J171)</f>
        <v/>
      </c>
      <c r="L171" s="13">
        <f>IF(B171="","",YEAR(B171))</f>
        <v/>
      </c>
      <c r="M171" s="13">
        <f>IF(B171="","",MONTH(B171))</f>
        <v/>
      </c>
      <c r="N171" s="9" t="n"/>
      <c r="O171" s="9" t="n"/>
      <c r="P171" s="9" t="n"/>
      <c r="Q171" s="9" t="n"/>
    </row>
    <row r="172">
      <c r="A172" s="9" t="n"/>
      <c r="B172" s="70" t="n"/>
      <c r="C172" s="9" t="n"/>
      <c r="D172" s="9" t="n"/>
      <c r="E172" s="9" t="n"/>
      <c r="F172" s="9" t="n"/>
      <c r="G172" s="9" t="n"/>
      <c r="H172" s="71" t="n"/>
      <c r="I172" s="9" t="n"/>
      <c r="J172" s="89">
        <f>IF(H172="","",IF(I172="Sí",ROUND(H172*Configuracion!$B$11,0),0))</f>
        <v/>
      </c>
      <c r="K172" s="89">
        <f>IF(H172="","",H172+J172)</f>
        <v/>
      </c>
      <c r="L172" s="13">
        <f>IF(B172="","",YEAR(B172))</f>
        <v/>
      </c>
      <c r="M172" s="13">
        <f>IF(B172="","",MONTH(B172))</f>
        <v/>
      </c>
      <c r="N172" s="9" t="n"/>
      <c r="O172" s="9" t="n"/>
      <c r="P172" s="9" t="n"/>
      <c r="Q172" s="9" t="n"/>
    </row>
    <row r="173">
      <c r="A173" s="9" t="n"/>
      <c r="B173" s="70" t="n"/>
      <c r="C173" s="9" t="n"/>
      <c r="D173" s="9" t="n"/>
      <c r="E173" s="9" t="n"/>
      <c r="F173" s="9" t="n"/>
      <c r="G173" s="9" t="n"/>
      <c r="H173" s="71" t="n"/>
      <c r="I173" s="9" t="n"/>
      <c r="J173" s="89">
        <f>IF(H173="","",IF(I173="Sí",ROUND(H173*Configuracion!$B$11,0),0))</f>
        <v/>
      </c>
      <c r="K173" s="89">
        <f>IF(H173="","",H173+J173)</f>
        <v/>
      </c>
      <c r="L173" s="13">
        <f>IF(B173="","",YEAR(B173))</f>
        <v/>
      </c>
      <c r="M173" s="13">
        <f>IF(B173="","",MONTH(B173))</f>
        <v/>
      </c>
      <c r="N173" s="9" t="n"/>
      <c r="O173" s="9" t="n"/>
      <c r="P173" s="9" t="n"/>
      <c r="Q173" s="9" t="n"/>
    </row>
    <row r="174">
      <c r="A174" s="9" t="n"/>
      <c r="B174" s="70" t="n"/>
      <c r="C174" s="9" t="n"/>
      <c r="D174" s="9" t="n"/>
      <c r="E174" s="9" t="n"/>
      <c r="F174" s="9" t="n"/>
      <c r="G174" s="9" t="n"/>
      <c r="H174" s="71" t="n"/>
      <c r="I174" s="9" t="n"/>
      <c r="J174" s="89">
        <f>IF(H174="","",IF(I174="Sí",ROUND(H174*Configuracion!$B$11,0),0))</f>
        <v/>
      </c>
      <c r="K174" s="89">
        <f>IF(H174="","",H174+J174)</f>
        <v/>
      </c>
      <c r="L174" s="13">
        <f>IF(B174="","",YEAR(B174))</f>
        <v/>
      </c>
      <c r="M174" s="13">
        <f>IF(B174="","",MONTH(B174))</f>
        <v/>
      </c>
      <c r="N174" s="9" t="n"/>
      <c r="O174" s="9" t="n"/>
      <c r="P174" s="9" t="n"/>
      <c r="Q174" s="9" t="n"/>
    </row>
    <row r="175">
      <c r="A175" s="9" t="n"/>
      <c r="B175" s="70" t="n"/>
      <c r="C175" s="9" t="n"/>
      <c r="D175" s="9" t="n"/>
      <c r="E175" s="9" t="n"/>
      <c r="F175" s="9" t="n"/>
      <c r="G175" s="9" t="n"/>
      <c r="H175" s="71" t="n"/>
      <c r="I175" s="9" t="n"/>
      <c r="J175" s="89">
        <f>IF(H175="","",IF(I175="Sí",ROUND(H175*Configuracion!$B$11,0),0))</f>
        <v/>
      </c>
      <c r="K175" s="89">
        <f>IF(H175="","",H175+J175)</f>
        <v/>
      </c>
      <c r="L175" s="13">
        <f>IF(B175="","",YEAR(B175))</f>
        <v/>
      </c>
      <c r="M175" s="13">
        <f>IF(B175="","",MONTH(B175))</f>
        <v/>
      </c>
      <c r="N175" s="9" t="n"/>
      <c r="O175" s="9" t="n"/>
      <c r="P175" s="9" t="n"/>
      <c r="Q175" s="9" t="n"/>
    </row>
    <row r="176">
      <c r="A176" s="9" t="n"/>
      <c r="B176" s="70" t="n"/>
      <c r="C176" s="9" t="n"/>
      <c r="D176" s="9" t="n"/>
      <c r="E176" s="9" t="n"/>
      <c r="F176" s="9" t="n"/>
      <c r="G176" s="9" t="n"/>
      <c r="H176" s="71" t="n"/>
      <c r="I176" s="9" t="n"/>
      <c r="J176" s="89">
        <f>IF(H176="","",IF(I176="Sí",ROUND(H176*Configuracion!$B$11,0),0))</f>
        <v/>
      </c>
      <c r="K176" s="89">
        <f>IF(H176="","",H176+J176)</f>
        <v/>
      </c>
      <c r="L176" s="13">
        <f>IF(B176="","",YEAR(B176))</f>
        <v/>
      </c>
      <c r="M176" s="13">
        <f>IF(B176="","",MONTH(B176))</f>
        <v/>
      </c>
      <c r="N176" s="9" t="n"/>
      <c r="O176" s="9" t="n"/>
      <c r="P176" s="9" t="n"/>
      <c r="Q176" s="9" t="n"/>
    </row>
    <row r="177">
      <c r="A177" s="9" t="n"/>
      <c r="B177" s="70" t="n"/>
      <c r="C177" s="9" t="n"/>
      <c r="D177" s="9" t="n"/>
      <c r="E177" s="9" t="n"/>
      <c r="F177" s="9" t="n"/>
      <c r="G177" s="9" t="n"/>
      <c r="H177" s="71" t="n"/>
      <c r="I177" s="9" t="n"/>
      <c r="J177" s="89">
        <f>IF(H177="","",IF(I177="Sí",ROUND(H177*Configuracion!$B$11,0),0))</f>
        <v/>
      </c>
      <c r="K177" s="89">
        <f>IF(H177="","",H177+J177)</f>
        <v/>
      </c>
      <c r="L177" s="13">
        <f>IF(B177="","",YEAR(B177))</f>
        <v/>
      </c>
      <c r="M177" s="13">
        <f>IF(B177="","",MONTH(B177))</f>
        <v/>
      </c>
      <c r="N177" s="9" t="n"/>
      <c r="O177" s="9" t="n"/>
      <c r="P177" s="9" t="n"/>
      <c r="Q177" s="9" t="n"/>
    </row>
    <row r="178">
      <c r="A178" s="9" t="n"/>
      <c r="B178" s="70" t="n"/>
      <c r="C178" s="9" t="n"/>
      <c r="D178" s="9" t="n"/>
      <c r="E178" s="9" t="n"/>
      <c r="F178" s="9" t="n"/>
      <c r="G178" s="9" t="n"/>
      <c r="H178" s="71" t="n"/>
      <c r="I178" s="9" t="n"/>
      <c r="J178" s="89">
        <f>IF(H178="","",IF(I178="Sí",ROUND(H178*Configuracion!$B$11,0),0))</f>
        <v/>
      </c>
      <c r="K178" s="89">
        <f>IF(H178="","",H178+J178)</f>
        <v/>
      </c>
      <c r="L178" s="13">
        <f>IF(B178="","",YEAR(B178))</f>
        <v/>
      </c>
      <c r="M178" s="13">
        <f>IF(B178="","",MONTH(B178))</f>
        <v/>
      </c>
      <c r="N178" s="9" t="n"/>
      <c r="O178" s="9" t="n"/>
      <c r="P178" s="9" t="n"/>
      <c r="Q178" s="9" t="n"/>
    </row>
    <row r="179">
      <c r="A179" s="9" t="n"/>
      <c r="B179" s="70" t="n"/>
      <c r="C179" s="9" t="n"/>
      <c r="D179" s="9" t="n"/>
      <c r="E179" s="9" t="n"/>
      <c r="F179" s="9" t="n"/>
      <c r="G179" s="9" t="n"/>
      <c r="H179" s="71" t="n"/>
      <c r="I179" s="9" t="n"/>
      <c r="J179" s="89">
        <f>IF(H179="","",IF(I179="Sí",ROUND(H179*Configuracion!$B$11,0),0))</f>
        <v/>
      </c>
      <c r="K179" s="89">
        <f>IF(H179="","",H179+J179)</f>
        <v/>
      </c>
      <c r="L179" s="13">
        <f>IF(B179="","",YEAR(B179))</f>
        <v/>
      </c>
      <c r="M179" s="13">
        <f>IF(B179="","",MONTH(B179))</f>
        <v/>
      </c>
      <c r="N179" s="9" t="n"/>
      <c r="O179" s="9" t="n"/>
      <c r="P179" s="9" t="n"/>
      <c r="Q179" s="9" t="n"/>
    </row>
    <row r="180">
      <c r="A180" s="9" t="n"/>
      <c r="B180" s="70" t="n"/>
      <c r="C180" s="9" t="n"/>
      <c r="D180" s="9" t="n"/>
      <c r="E180" s="9" t="n"/>
      <c r="F180" s="9" t="n"/>
      <c r="G180" s="9" t="n"/>
      <c r="H180" s="71" t="n"/>
      <c r="I180" s="9" t="n"/>
      <c r="J180" s="89">
        <f>IF(H180="","",IF(I180="Sí",ROUND(H180*Configuracion!$B$11,0),0))</f>
        <v/>
      </c>
      <c r="K180" s="89">
        <f>IF(H180="","",H180+J180)</f>
        <v/>
      </c>
      <c r="L180" s="13">
        <f>IF(B180="","",YEAR(B180))</f>
        <v/>
      </c>
      <c r="M180" s="13">
        <f>IF(B180="","",MONTH(B180))</f>
        <v/>
      </c>
      <c r="N180" s="9" t="n"/>
      <c r="O180" s="9" t="n"/>
      <c r="P180" s="9" t="n"/>
      <c r="Q180" s="9" t="n"/>
    </row>
    <row r="181">
      <c r="A181" s="9" t="n"/>
      <c r="B181" s="70" t="n"/>
      <c r="C181" s="9" t="n"/>
      <c r="D181" s="9" t="n"/>
      <c r="E181" s="9" t="n"/>
      <c r="F181" s="9" t="n"/>
      <c r="G181" s="9" t="n"/>
      <c r="H181" s="71" t="n"/>
      <c r="I181" s="9" t="n"/>
      <c r="J181" s="89">
        <f>IF(H181="","",IF(I181="Sí",ROUND(H181*Configuracion!$B$11,0),0))</f>
        <v/>
      </c>
      <c r="K181" s="89">
        <f>IF(H181="","",H181+J181)</f>
        <v/>
      </c>
      <c r="L181" s="13">
        <f>IF(B181="","",YEAR(B181))</f>
        <v/>
      </c>
      <c r="M181" s="13">
        <f>IF(B181="","",MONTH(B181))</f>
        <v/>
      </c>
      <c r="N181" s="9" t="n"/>
      <c r="O181" s="9" t="n"/>
      <c r="P181" s="9" t="n"/>
      <c r="Q181" s="9" t="n"/>
    </row>
    <row r="182">
      <c r="A182" s="9" t="n"/>
      <c r="B182" s="70" t="n"/>
      <c r="C182" s="9" t="n"/>
      <c r="D182" s="9" t="n"/>
      <c r="E182" s="9" t="n"/>
      <c r="F182" s="9" t="n"/>
      <c r="G182" s="9" t="n"/>
      <c r="H182" s="71" t="n"/>
      <c r="I182" s="9" t="n"/>
      <c r="J182" s="89">
        <f>IF(H182="","",IF(I182="Sí",ROUND(H182*Configuracion!$B$11,0),0))</f>
        <v/>
      </c>
      <c r="K182" s="89">
        <f>IF(H182="","",H182+J182)</f>
        <v/>
      </c>
      <c r="L182" s="13">
        <f>IF(B182="","",YEAR(B182))</f>
        <v/>
      </c>
      <c r="M182" s="13">
        <f>IF(B182="","",MONTH(B182))</f>
        <v/>
      </c>
      <c r="N182" s="9" t="n"/>
      <c r="O182" s="9" t="n"/>
      <c r="P182" s="9" t="n"/>
      <c r="Q182" s="9" t="n"/>
    </row>
    <row r="183">
      <c r="A183" s="9" t="n"/>
      <c r="B183" s="70" t="n"/>
      <c r="C183" s="9" t="n"/>
      <c r="D183" s="9" t="n"/>
      <c r="E183" s="9" t="n"/>
      <c r="F183" s="9" t="n"/>
      <c r="G183" s="9" t="n"/>
      <c r="H183" s="71" t="n"/>
      <c r="I183" s="9" t="n"/>
      <c r="J183" s="89">
        <f>IF(H183="","",IF(I183="Sí",ROUND(H183*Configuracion!$B$11,0),0))</f>
        <v/>
      </c>
      <c r="K183" s="89">
        <f>IF(H183="","",H183+J183)</f>
        <v/>
      </c>
      <c r="L183" s="13">
        <f>IF(B183="","",YEAR(B183))</f>
        <v/>
      </c>
      <c r="M183" s="13">
        <f>IF(B183="","",MONTH(B183))</f>
        <v/>
      </c>
      <c r="N183" s="9" t="n"/>
      <c r="O183" s="9" t="n"/>
      <c r="P183" s="9" t="n"/>
      <c r="Q183" s="9" t="n"/>
    </row>
    <row r="184">
      <c r="A184" s="9" t="n"/>
      <c r="B184" s="70" t="n"/>
      <c r="C184" s="9" t="n"/>
      <c r="D184" s="9" t="n"/>
      <c r="E184" s="9" t="n"/>
      <c r="F184" s="9" t="n"/>
      <c r="G184" s="9" t="n"/>
      <c r="H184" s="71" t="n"/>
      <c r="I184" s="9" t="n"/>
      <c r="J184" s="89">
        <f>IF(H184="","",IF(I184="Sí",ROUND(H184*Configuracion!$B$11,0),0))</f>
        <v/>
      </c>
      <c r="K184" s="89">
        <f>IF(H184="","",H184+J184)</f>
        <v/>
      </c>
      <c r="L184" s="13">
        <f>IF(B184="","",YEAR(B184))</f>
        <v/>
      </c>
      <c r="M184" s="13">
        <f>IF(B184="","",MONTH(B184))</f>
        <v/>
      </c>
      <c r="N184" s="9" t="n"/>
      <c r="O184" s="9" t="n"/>
      <c r="P184" s="9" t="n"/>
      <c r="Q184" s="9" t="n"/>
    </row>
    <row r="185">
      <c r="A185" s="9" t="n"/>
      <c r="B185" s="70" t="n"/>
      <c r="C185" s="9" t="n"/>
      <c r="D185" s="9" t="n"/>
      <c r="E185" s="9" t="n"/>
      <c r="F185" s="9" t="n"/>
      <c r="G185" s="9" t="n"/>
      <c r="H185" s="71" t="n"/>
      <c r="I185" s="9" t="n"/>
      <c r="J185" s="89">
        <f>IF(H185="","",IF(I185="Sí",ROUND(H185*Configuracion!$B$11,0),0))</f>
        <v/>
      </c>
      <c r="K185" s="89">
        <f>IF(H185="","",H185+J185)</f>
        <v/>
      </c>
      <c r="L185" s="13">
        <f>IF(B185="","",YEAR(B185))</f>
        <v/>
      </c>
      <c r="M185" s="13">
        <f>IF(B185="","",MONTH(B185))</f>
        <v/>
      </c>
      <c r="N185" s="9" t="n"/>
      <c r="O185" s="9" t="n"/>
      <c r="P185" s="9" t="n"/>
      <c r="Q185" s="9" t="n"/>
    </row>
    <row r="186">
      <c r="A186" s="9" t="n"/>
      <c r="B186" s="70" t="n"/>
      <c r="C186" s="9" t="n"/>
      <c r="D186" s="9" t="n"/>
      <c r="E186" s="9" t="n"/>
      <c r="F186" s="9" t="n"/>
      <c r="G186" s="9" t="n"/>
      <c r="H186" s="71" t="n"/>
      <c r="I186" s="9" t="n"/>
      <c r="J186" s="89">
        <f>IF(H186="","",IF(I186="Sí",ROUND(H186*Configuracion!$B$11,0),0))</f>
        <v/>
      </c>
      <c r="K186" s="89">
        <f>IF(H186="","",H186+J186)</f>
        <v/>
      </c>
      <c r="L186" s="13">
        <f>IF(B186="","",YEAR(B186))</f>
        <v/>
      </c>
      <c r="M186" s="13">
        <f>IF(B186="","",MONTH(B186))</f>
        <v/>
      </c>
      <c r="N186" s="9" t="n"/>
      <c r="O186" s="9" t="n"/>
      <c r="P186" s="9" t="n"/>
      <c r="Q186" s="9" t="n"/>
    </row>
    <row r="187">
      <c r="A187" s="9" t="n"/>
      <c r="B187" s="70" t="n"/>
      <c r="C187" s="9" t="n"/>
      <c r="D187" s="9" t="n"/>
      <c r="E187" s="9" t="n"/>
      <c r="F187" s="9" t="n"/>
      <c r="G187" s="9" t="n"/>
      <c r="H187" s="71" t="n"/>
      <c r="I187" s="9" t="n"/>
      <c r="J187" s="89">
        <f>IF(H187="","",IF(I187="Sí",ROUND(H187*Configuracion!$B$11,0),0))</f>
        <v/>
      </c>
      <c r="K187" s="89">
        <f>IF(H187="","",H187+J187)</f>
        <v/>
      </c>
      <c r="L187" s="13">
        <f>IF(B187="","",YEAR(B187))</f>
        <v/>
      </c>
      <c r="M187" s="13">
        <f>IF(B187="","",MONTH(B187))</f>
        <v/>
      </c>
      <c r="N187" s="9" t="n"/>
      <c r="O187" s="9" t="n"/>
      <c r="P187" s="9" t="n"/>
      <c r="Q187" s="9" t="n"/>
    </row>
    <row r="188">
      <c r="A188" s="9" t="n"/>
      <c r="B188" s="70" t="n"/>
      <c r="C188" s="9" t="n"/>
      <c r="D188" s="9" t="n"/>
      <c r="E188" s="9" t="n"/>
      <c r="F188" s="9" t="n"/>
      <c r="G188" s="9" t="n"/>
      <c r="H188" s="71" t="n"/>
      <c r="I188" s="9" t="n"/>
      <c r="J188" s="89">
        <f>IF(H188="","",IF(I188="Sí",ROUND(H188*Configuracion!$B$11,0),0))</f>
        <v/>
      </c>
      <c r="K188" s="89">
        <f>IF(H188="","",H188+J188)</f>
        <v/>
      </c>
      <c r="L188" s="13">
        <f>IF(B188="","",YEAR(B188))</f>
        <v/>
      </c>
      <c r="M188" s="13">
        <f>IF(B188="","",MONTH(B188))</f>
        <v/>
      </c>
      <c r="N188" s="9" t="n"/>
      <c r="O188" s="9" t="n"/>
      <c r="P188" s="9" t="n"/>
      <c r="Q188" s="9" t="n"/>
    </row>
    <row r="189">
      <c r="A189" s="9" t="n"/>
      <c r="B189" s="70" t="n"/>
      <c r="C189" s="9" t="n"/>
      <c r="D189" s="9" t="n"/>
      <c r="E189" s="9" t="n"/>
      <c r="F189" s="9" t="n"/>
      <c r="G189" s="9" t="n"/>
      <c r="H189" s="71" t="n"/>
      <c r="I189" s="9" t="n"/>
      <c r="J189" s="89">
        <f>IF(H189="","",IF(I189="Sí",ROUND(H189*Configuracion!$B$11,0),0))</f>
        <v/>
      </c>
      <c r="K189" s="89">
        <f>IF(H189="","",H189+J189)</f>
        <v/>
      </c>
      <c r="L189" s="13">
        <f>IF(B189="","",YEAR(B189))</f>
        <v/>
      </c>
      <c r="M189" s="13">
        <f>IF(B189="","",MONTH(B189))</f>
        <v/>
      </c>
      <c r="N189" s="9" t="n"/>
      <c r="O189" s="9" t="n"/>
      <c r="P189" s="9" t="n"/>
      <c r="Q189" s="9" t="n"/>
    </row>
    <row r="190">
      <c r="A190" s="9" t="n"/>
      <c r="B190" s="70" t="n"/>
      <c r="C190" s="9" t="n"/>
      <c r="D190" s="9" t="n"/>
      <c r="E190" s="9" t="n"/>
      <c r="F190" s="9" t="n"/>
      <c r="G190" s="9" t="n"/>
      <c r="H190" s="71" t="n"/>
      <c r="I190" s="9" t="n"/>
      <c r="J190" s="89">
        <f>IF(H190="","",IF(I190="Sí",ROUND(H190*Configuracion!$B$11,0),0))</f>
        <v/>
      </c>
      <c r="K190" s="89">
        <f>IF(H190="","",H190+J190)</f>
        <v/>
      </c>
      <c r="L190" s="13">
        <f>IF(B190="","",YEAR(B190))</f>
        <v/>
      </c>
      <c r="M190" s="13">
        <f>IF(B190="","",MONTH(B190))</f>
        <v/>
      </c>
      <c r="N190" s="9" t="n"/>
      <c r="O190" s="9" t="n"/>
      <c r="P190" s="9" t="n"/>
      <c r="Q190" s="9" t="n"/>
    </row>
    <row r="191">
      <c r="A191" s="9" t="n"/>
      <c r="B191" s="70" t="n"/>
      <c r="C191" s="9" t="n"/>
      <c r="D191" s="9" t="n"/>
      <c r="E191" s="9" t="n"/>
      <c r="F191" s="9" t="n"/>
      <c r="G191" s="9" t="n"/>
      <c r="H191" s="71" t="n"/>
      <c r="I191" s="9" t="n"/>
      <c r="J191" s="89">
        <f>IF(H191="","",IF(I191="Sí",ROUND(H191*Configuracion!$B$11,0),0))</f>
        <v/>
      </c>
      <c r="K191" s="89">
        <f>IF(H191="","",H191+J191)</f>
        <v/>
      </c>
      <c r="L191" s="13">
        <f>IF(B191="","",YEAR(B191))</f>
        <v/>
      </c>
      <c r="M191" s="13">
        <f>IF(B191="","",MONTH(B191))</f>
        <v/>
      </c>
      <c r="N191" s="9" t="n"/>
      <c r="O191" s="9" t="n"/>
      <c r="P191" s="9" t="n"/>
      <c r="Q191" s="9" t="n"/>
    </row>
    <row r="192">
      <c r="A192" s="9" t="n"/>
      <c r="B192" s="70" t="n"/>
      <c r="C192" s="9" t="n"/>
      <c r="D192" s="9" t="n"/>
      <c r="E192" s="9" t="n"/>
      <c r="F192" s="9" t="n"/>
      <c r="G192" s="9" t="n"/>
      <c r="H192" s="71" t="n"/>
      <c r="I192" s="9" t="n"/>
      <c r="J192" s="89">
        <f>IF(H192="","",IF(I192="Sí",ROUND(H192*Configuracion!$B$11,0),0))</f>
        <v/>
      </c>
      <c r="K192" s="89">
        <f>IF(H192="","",H192+J192)</f>
        <v/>
      </c>
      <c r="L192" s="13">
        <f>IF(B192="","",YEAR(B192))</f>
        <v/>
      </c>
      <c r="M192" s="13">
        <f>IF(B192="","",MONTH(B192))</f>
        <v/>
      </c>
      <c r="N192" s="9" t="n"/>
      <c r="O192" s="9" t="n"/>
      <c r="P192" s="9" t="n"/>
      <c r="Q192" s="9" t="n"/>
    </row>
    <row r="193">
      <c r="A193" s="9" t="n"/>
      <c r="B193" s="70" t="n"/>
      <c r="C193" s="9" t="n"/>
      <c r="D193" s="9" t="n"/>
      <c r="E193" s="9" t="n"/>
      <c r="F193" s="9" t="n"/>
      <c r="G193" s="9" t="n"/>
      <c r="H193" s="71" t="n"/>
      <c r="I193" s="9" t="n"/>
      <c r="J193" s="89">
        <f>IF(H193="","",IF(I193="Sí",ROUND(H193*Configuracion!$B$11,0),0))</f>
        <v/>
      </c>
      <c r="K193" s="89">
        <f>IF(H193="","",H193+J193)</f>
        <v/>
      </c>
      <c r="L193" s="13">
        <f>IF(B193="","",YEAR(B193))</f>
        <v/>
      </c>
      <c r="M193" s="13">
        <f>IF(B193="","",MONTH(B193))</f>
        <v/>
      </c>
      <c r="N193" s="9" t="n"/>
      <c r="O193" s="9" t="n"/>
      <c r="P193" s="9" t="n"/>
      <c r="Q193" s="9" t="n"/>
    </row>
    <row r="194">
      <c r="A194" s="9" t="n"/>
      <c r="B194" s="70" t="n"/>
      <c r="C194" s="9" t="n"/>
      <c r="D194" s="9" t="n"/>
      <c r="E194" s="9" t="n"/>
      <c r="F194" s="9" t="n"/>
      <c r="G194" s="9" t="n"/>
      <c r="H194" s="71" t="n"/>
      <c r="I194" s="9" t="n"/>
      <c r="J194" s="89">
        <f>IF(H194="","",IF(I194="Sí",ROUND(H194*Configuracion!$B$11,0),0))</f>
        <v/>
      </c>
      <c r="K194" s="89">
        <f>IF(H194="","",H194+J194)</f>
        <v/>
      </c>
      <c r="L194" s="13">
        <f>IF(B194="","",YEAR(B194))</f>
        <v/>
      </c>
      <c r="M194" s="13">
        <f>IF(B194="","",MONTH(B194))</f>
        <v/>
      </c>
      <c r="N194" s="9" t="n"/>
      <c r="O194" s="9" t="n"/>
      <c r="P194" s="9" t="n"/>
      <c r="Q194" s="9" t="n"/>
    </row>
    <row r="195">
      <c r="A195" s="9" t="n"/>
      <c r="B195" s="70" t="n"/>
      <c r="C195" s="9" t="n"/>
      <c r="D195" s="9" t="n"/>
      <c r="E195" s="9" t="n"/>
      <c r="F195" s="9" t="n"/>
      <c r="G195" s="9" t="n"/>
      <c r="H195" s="71" t="n"/>
      <c r="I195" s="9" t="n"/>
      <c r="J195" s="89">
        <f>IF(H195="","",IF(I195="Sí",ROUND(H195*Configuracion!$B$11,0),0))</f>
        <v/>
      </c>
      <c r="K195" s="89">
        <f>IF(H195="","",H195+J195)</f>
        <v/>
      </c>
      <c r="L195" s="13">
        <f>IF(B195="","",YEAR(B195))</f>
        <v/>
      </c>
      <c r="M195" s="13">
        <f>IF(B195="","",MONTH(B195))</f>
        <v/>
      </c>
      <c r="N195" s="9" t="n"/>
      <c r="O195" s="9" t="n"/>
      <c r="P195" s="9" t="n"/>
      <c r="Q195" s="9" t="n"/>
    </row>
    <row r="196">
      <c r="A196" s="9" t="n"/>
      <c r="B196" s="70" t="n"/>
      <c r="C196" s="9" t="n"/>
      <c r="D196" s="9" t="n"/>
      <c r="E196" s="9" t="n"/>
      <c r="F196" s="9" t="n"/>
      <c r="G196" s="9" t="n"/>
      <c r="H196" s="71" t="n"/>
      <c r="I196" s="9" t="n"/>
      <c r="J196" s="89">
        <f>IF(H196="","",IF(I196="Sí",ROUND(H196*Configuracion!$B$11,0),0))</f>
        <v/>
      </c>
      <c r="K196" s="89">
        <f>IF(H196="","",H196+J196)</f>
        <v/>
      </c>
      <c r="L196" s="13">
        <f>IF(B196="","",YEAR(B196))</f>
        <v/>
      </c>
      <c r="M196" s="13">
        <f>IF(B196="","",MONTH(B196))</f>
        <v/>
      </c>
      <c r="N196" s="9" t="n"/>
      <c r="O196" s="9" t="n"/>
      <c r="P196" s="9" t="n"/>
      <c r="Q196" s="9" t="n"/>
    </row>
    <row r="197">
      <c r="A197" s="9" t="n"/>
      <c r="B197" s="70" t="n"/>
      <c r="C197" s="9" t="n"/>
      <c r="D197" s="9" t="n"/>
      <c r="E197" s="9" t="n"/>
      <c r="F197" s="9" t="n"/>
      <c r="G197" s="9" t="n"/>
      <c r="H197" s="71" t="n"/>
      <c r="I197" s="9" t="n"/>
      <c r="J197" s="89">
        <f>IF(H197="","",IF(I197="Sí",ROUND(H197*Configuracion!$B$11,0),0))</f>
        <v/>
      </c>
      <c r="K197" s="89">
        <f>IF(H197="","",H197+J197)</f>
        <v/>
      </c>
      <c r="L197" s="13">
        <f>IF(B197="","",YEAR(B197))</f>
        <v/>
      </c>
      <c r="M197" s="13">
        <f>IF(B197="","",MONTH(B197))</f>
        <v/>
      </c>
      <c r="N197" s="9" t="n"/>
      <c r="O197" s="9" t="n"/>
      <c r="P197" s="9" t="n"/>
      <c r="Q197" s="9" t="n"/>
    </row>
    <row r="198">
      <c r="A198" s="9" t="n"/>
      <c r="B198" s="70" t="n"/>
      <c r="C198" s="9" t="n"/>
      <c r="D198" s="9" t="n"/>
      <c r="E198" s="9" t="n"/>
      <c r="F198" s="9" t="n"/>
      <c r="G198" s="9" t="n"/>
      <c r="H198" s="71" t="n"/>
      <c r="I198" s="9" t="n"/>
      <c r="J198" s="89">
        <f>IF(H198="","",IF(I198="Sí",ROUND(H198*Configuracion!$B$11,0),0))</f>
        <v/>
      </c>
      <c r="K198" s="89">
        <f>IF(H198="","",H198+J198)</f>
        <v/>
      </c>
      <c r="L198" s="13">
        <f>IF(B198="","",YEAR(B198))</f>
        <v/>
      </c>
      <c r="M198" s="13">
        <f>IF(B198="","",MONTH(B198))</f>
        <v/>
      </c>
      <c r="N198" s="9" t="n"/>
      <c r="O198" s="9" t="n"/>
      <c r="P198" s="9" t="n"/>
      <c r="Q198" s="9" t="n"/>
    </row>
    <row r="199">
      <c r="A199" s="9" t="n"/>
      <c r="B199" s="70" t="n"/>
      <c r="C199" s="9" t="n"/>
      <c r="D199" s="9" t="n"/>
      <c r="E199" s="9" t="n"/>
      <c r="F199" s="9" t="n"/>
      <c r="G199" s="9" t="n"/>
      <c r="H199" s="71" t="n"/>
      <c r="I199" s="9" t="n"/>
      <c r="J199" s="89">
        <f>IF(H199="","",IF(I199="Sí",ROUND(H199*Configuracion!$B$11,0),0))</f>
        <v/>
      </c>
      <c r="K199" s="89">
        <f>IF(H199="","",H199+J199)</f>
        <v/>
      </c>
      <c r="L199" s="13">
        <f>IF(B199="","",YEAR(B199))</f>
        <v/>
      </c>
      <c r="M199" s="13">
        <f>IF(B199="","",MONTH(B199))</f>
        <v/>
      </c>
      <c r="N199" s="9" t="n"/>
      <c r="O199" s="9" t="n"/>
      <c r="P199" s="9" t="n"/>
      <c r="Q199" s="9" t="n"/>
    </row>
    <row r="200">
      <c r="A200" s="9" t="n"/>
      <c r="B200" s="70" t="n"/>
      <c r="C200" s="9" t="n"/>
      <c r="D200" s="9" t="n"/>
      <c r="E200" s="9" t="n"/>
      <c r="F200" s="9" t="n"/>
      <c r="G200" s="9" t="n"/>
      <c r="H200" s="71" t="n"/>
      <c r="I200" s="9" t="n"/>
      <c r="J200" s="89">
        <f>IF(H200="","",IF(I200="Sí",ROUND(H200*Configuracion!$B$11,0),0))</f>
        <v/>
      </c>
      <c r="K200" s="89">
        <f>IF(H200="","",H200+J200)</f>
        <v/>
      </c>
      <c r="L200" s="13">
        <f>IF(B200="","",YEAR(B200))</f>
        <v/>
      </c>
      <c r="M200" s="13">
        <f>IF(B200="","",MONTH(B200))</f>
        <v/>
      </c>
      <c r="N200" s="9" t="n"/>
      <c r="O200" s="9" t="n"/>
      <c r="P200" s="9" t="n"/>
      <c r="Q200" s="9" t="n"/>
    </row>
    <row r="201">
      <c r="A201" s="9" t="n"/>
      <c r="B201" s="70" t="n"/>
      <c r="C201" s="9" t="n"/>
      <c r="D201" s="9" t="n"/>
      <c r="E201" s="9" t="n"/>
      <c r="F201" s="9" t="n"/>
      <c r="G201" s="9" t="n"/>
      <c r="H201" s="71" t="n"/>
      <c r="I201" s="9" t="n"/>
      <c r="J201" s="89">
        <f>IF(H201="","",IF(I201="Sí",ROUND(H201*Configuracion!$B$11,0),0))</f>
        <v/>
      </c>
      <c r="K201" s="89">
        <f>IF(H201="","",H201+J201)</f>
        <v/>
      </c>
      <c r="L201" s="13">
        <f>IF(B201="","",YEAR(B201))</f>
        <v/>
      </c>
      <c r="M201" s="13">
        <f>IF(B201="","",MONTH(B201))</f>
        <v/>
      </c>
      <c r="N201" s="9" t="n"/>
      <c r="O201" s="9" t="n"/>
      <c r="P201" s="9" t="n"/>
      <c r="Q201" s="9" t="n"/>
    </row>
    <row r="202">
      <c r="A202" s="9" t="n"/>
      <c r="B202" s="70" t="n"/>
      <c r="C202" s="9" t="n"/>
      <c r="D202" s="9" t="n"/>
      <c r="E202" s="9" t="n"/>
      <c r="F202" s="9" t="n"/>
      <c r="G202" s="9" t="n"/>
      <c r="H202" s="71" t="n"/>
      <c r="I202" s="9" t="n"/>
      <c r="J202" s="89">
        <f>IF(H202="","",IF(I202="Sí",ROUND(H202*Configuracion!$B$11,0),0))</f>
        <v/>
      </c>
      <c r="K202" s="89">
        <f>IF(H202="","",H202+J202)</f>
        <v/>
      </c>
      <c r="L202" s="13">
        <f>IF(B202="","",YEAR(B202))</f>
        <v/>
      </c>
      <c r="M202" s="13">
        <f>IF(B202="","",MONTH(B202))</f>
        <v/>
      </c>
      <c r="N202" s="9" t="n"/>
      <c r="O202" s="9" t="n"/>
      <c r="P202" s="9" t="n"/>
      <c r="Q202" s="9" t="n"/>
    </row>
    <row r="203">
      <c r="A203" s="9" t="n"/>
      <c r="B203" s="70" t="n"/>
      <c r="C203" s="9" t="n"/>
      <c r="D203" s="9" t="n"/>
      <c r="E203" s="9" t="n"/>
      <c r="F203" s="9" t="n"/>
      <c r="G203" s="9" t="n"/>
      <c r="H203" s="71" t="n"/>
      <c r="I203" s="9" t="n"/>
      <c r="J203" s="89">
        <f>IF(H203="","",IF(I203="Sí",ROUND(H203*Configuracion!$B$11,0),0))</f>
        <v/>
      </c>
      <c r="K203" s="89">
        <f>IF(H203="","",H203+J203)</f>
        <v/>
      </c>
      <c r="L203" s="13">
        <f>IF(B203="","",YEAR(B203))</f>
        <v/>
      </c>
      <c r="M203" s="13">
        <f>IF(B203="","",MONTH(B203))</f>
        <v/>
      </c>
      <c r="N203" s="9" t="n"/>
      <c r="O203" s="9" t="n"/>
      <c r="P203" s="9" t="n"/>
      <c r="Q203" s="9" t="n"/>
    </row>
    <row r="204">
      <c r="A204" s="9" t="n"/>
      <c r="B204" s="70" t="n"/>
      <c r="C204" s="9" t="n"/>
      <c r="D204" s="9" t="n"/>
      <c r="E204" s="9" t="n"/>
      <c r="F204" s="9" t="n"/>
      <c r="G204" s="9" t="n"/>
      <c r="H204" s="71" t="n"/>
      <c r="I204" s="9" t="n"/>
      <c r="J204" s="89">
        <f>IF(H204="","",IF(I204="Sí",ROUND(H204*Configuracion!$B$11,0),0))</f>
        <v/>
      </c>
      <c r="K204" s="89">
        <f>IF(H204="","",H204+J204)</f>
        <v/>
      </c>
      <c r="L204" s="13">
        <f>IF(B204="","",YEAR(B204))</f>
        <v/>
      </c>
      <c r="M204" s="13">
        <f>IF(B204="","",MONTH(B204))</f>
        <v/>
      </c>
      <c r="N204" s="9" t="n"/>
      <c r="O204" s="9" t="n"/>
      <c r="P204" s="9" t="n"/>
      <c r="Q204" s="9" t="n"/>
    </row>
    <row r="205">
      <c r="A205" s="9" t="n"/>
      <c r="B205" s="70" t="n"/>
      <c r="C205" s="9" t="n"/>
      <c r="D205" s="9" t="n"/>
      <c r="E205" s="9" t="n"/>
      <c r="F205" s="9" t="n"/>
      <c r="G205" s="9" t="n"/>
      <c r="H205" s="71" t="n"/>
      <c r="I205" s="9" t="n"/>
      <c r="J205" s="89">
        <f>IF(H205="","",IF(I205="Sí",ROUND(H205*Configuracion!$B$11,0),0))</f>
        <v/>
      </c>
      <c r="K205" s="89">
        <f>IF(H205="","",H205+J205)</f>
        <v/>
      </c>
      <c r="L205" s="13">
        <f>IF(B205="","",YEAR(B205))</f>
        <v/>
      </c>
      <c r="M205" s="13">
        <f>IF(B205="","",MONTH(B205))</f>
        <v/>
      </c>
      <c r="N205" s="9" t="n"/>
      <c r="O205" s="9" t="n"/>
      <c r="P205" s="9" t="n"/>
      <c r="Q205" s="9" t="n"/>
    </row>
    <row r="206">
      <c r="A206" s="9" t="n"/>
      <c r="B206" s="70" t="n"/>
      <c r="C206" s="9" t="n"/>
      <c r="D206" s="9" t="n"/>
      <c r="E206" s="9" t="n"/>
      <c r="F206" s="9" t="n"/>
      <c r="G206" s="9" t="n"/>
      <c r="H206" s="71" t="n"/>
      <c r="I206" s="9" t="n"/>
      <c r="J206" s="89">
        <f>IF(H206="","",IF(I206="Sí",ROUND(H206*Configuracion!$B$11,0),0))</f>
        <v/>
      </c>
      <c r="K206" s="89">
        <f>IF(H206="","",H206+J206)</f>
        <v/>
      </c>
      <c r="L206" s="13">
        <f>IF(B206="","",YEAR(B206))</f>
        <v/>
      </c>
      <c r="M206" s="13">
        <f>IF(B206="","",MONTH(B206))</f>
        <v/>
      </c>
      <c r="N206" s="9" t="n"/>
      <c r="O206" s="9" t="n"/>
      <c r="P206" s="9" t="n"/>
      <c r="Q206" s="9" t="n"/>
    </row>
    <row r="207">
      <c r="A207" s="9" t="n"/>
      <c r="B207" s="70" t="n"/>
      <c r="C207" s="9" t="n"/>
      <c r="D207" s="9" t="n"/>
      <c r="E207" s="9" t="n"/>
      <c r="F207" s="9" t="n"/>
      <c r="G207" s="9" t="n"/>
      <c r="H207" s="71" t="n"/>
      <c r="I207" s="9" t="n"/>
      <c r="J207" s="89">
        <f>IF(H207="","",IF(I207="Sí",ROUND(H207*Configuracion!$B$11,0),0))</f>
        <v/>
      </c>
      <c r="K207" s="89">
        <f>IF(H207="","",H207+J207)</f>
        <v/>
      </c>
      <c r="L207" s="13">
        <f>IF(B207="","",YEAR(B207))</f>
        <v/>
      </c>
      <c r="M207" s="13">
        <f>IF(B207="","",MONTH(B207))</f>
        <v/>
      </c>
      <c r="N207" s="9" t="n"/>
      <c r="O207" s="9" t="n"/>
      <c r="P207" s="9" t="n"/>
      <c r="Q207" s="9" t="n"/>
    </row>
    <row r="208">
      <c r="A208" s="9" t="n"/>
      <c r="B208" s="70" t="n"/>
      <c r="C208" s="9" t="n"/>
      <c r="D208" s="9" t="n"/>
      <c r="E208" s="9" t="n"/>
      <c r="F208" s="9" t="n"/>
      <c r="G208" s="9" t="n"/>
      <c r="H208" s="71" t="n"/>
      <c r="I208" s="9" t="n"/>
      <c r="J208" s="89">
        <f>IF(H208="","",IF(I208="Sí",ROUND(H208*Configuracion!$B$11,0),0))</f>
        <v/>
      </c>
      <c r="K208" s="89">
        <f>IF(H208="","",H208+J208)</f>
        <v/>
      </c>
      <c r="L208" s="13">
        <f>IF(B208="","",YEAR(B208))</f>
        <v/>
      </c>
      <c r="M208" s="13">
        <f>IF(B208="","",MONTH(B208))</f>
        <v/>
      </c>
      <c r="N208" s="9" t="n"/>
      <c r="O208" s="9" t="n"/>
      <c r="P208" s="9" t="n"/>
      <c r="Q208" s="9" t="n"/>
    </row>
    <row r="209">
      <c r="A209" s="9" t="n"/>
      <c r="B209" s="70" t="n"/>
      <c r="C209" s="9" t="n"/>
      <c r="D209" s="9" t="n"/>
      <c r="E209" s="9" t="n"/>
      <c r="F209" s="9" t="n"/>
      <c r="G209" s="9" t="n"/>
      <c r="H209" s="71" t="n"/>
      <c r="I209" s="9" t="n"/>
      <c r="J209" s="89">
        <f>IF(H209="","",IF(I209="Sí",ROUND(H209*Configuracion!$B$11,0),0))</f>
        <v/>
      </c>
      <c r="K209" s="89">
        <f>IF(H209="","",H209+J209)</f>
        <v/>
      </c>
      <c r="L209" s="13">
        <f>IF(B209="","",YEAR(B209))</f>
        <v/>
      </c>
      <c r="M209" s="13">
        <f>IF(B209="","",MONTH(B209))</f>
        <v/>
      </c>
      <c r="N209" s="9" t="n"/>
      <c r="O209" s="9" t="n"/>
      <c r="P209" s="9" t="n"/>
      <c r="Q209" s="9" t="n"/>
    </row>
    <row r="210">
      <c r="A210" s="9" t="n"/>
      <c r="B210" s="70" t="n"/>
      <c r="C210" s="9" t="n"/>
      <c r="D210" s="9" t="n"/>
      <c r="E210" s="9" t="n"/>
      <c r="F210" s="9" t="n"/>
      <c r="G210" s="9" t="n"/>
      <c r="H210" s="71" t="n"/>
      <c r="I210" s="9" t="n"/>
      <c r="J210" s="89">
        <f>IF(H210="","",IF(I210="Sí",ROUND(H210*Configuracion!$B$11,0),0))</f>
        <v/>
      </c>
      <c r="K210" s="89">
        <f>IF(H210="","",H210+J210)</f>
        <v/>
      </c>
      <c r="L210" s="13">
        <f>IF(B210="","",YEAR(B210))</f>
        <v/>
      </c>
      <c r="M210" s="13">
        <f>IF(B210="","",MONTH(B210))</f>
        <v/>
      </c>
      <c r="N210" s="9" t="n"/>
      <c r="O210" s="9" t="n"/>
      <c r="P210" s="9" t="n"/>
      <c r="Q210" s="9" t="n"/>
    </row>
    <row r="211">
      <c r="A211" s="9" t="n"/>
      <c r="B211" s="70" t="n"/>
      <c r="C211" s="9" t="n"/>
      <c r="D211" s="9" t="n"/>
      <c r="E211" s="9" t="n"/>
      <c r="F211" s="9" t="n"/>
      <c r="G211" s="9" t="n"/>
      <c r="H211" s="71" t="n"/>
      <c r="I211" s="9" t="n"/>
      <c r="J211" s="89">
        <f>IF(H211="","",IF(I211="Sí",ROUND(H211*Configuracion!$B$11,0),0))</f>
        <v/>
      </c>
      <c r="K211" s="89">
        <f>IF(H211="","",H211+J211)</f>
        <v/>
      </c>
      <c r="L211" s="13">
        <f>IF(B211="","",YEAR(B211))</f>
        <v/>
      </c>
      <c r="M211" s="13">
        <f>IF(B211="","",MONTH(B211))</f>
        <v/>
      </c>
      <c r="N211" s="9" t="n"/>
      <c r="O211" s="9" t="n"/>
      <c r="P211" s="9" t="n"/>
      <c r="Q211" s="9" t="n"/>
    </row>
    <row r="212">
      <c r="A212" s="9" t="n"/>
      <c r="B212" s="70" t="n"/>
      <c r="C212" s="9" t="n"/>
      <c r="D212" s="9" t="n"/>
      <c r="E212" s="9" t="n"/>
      <c r="F212" s="9" t="n"/>
      <c r="G212" s="9" t="n"/>
      <c r="H212" s="71" t="n"/>
      <c r="I212" s="9" t="n"/>
      <c r="J212" s="89">
        <f>IF(H212="","",IF(I212="Sí",ROUND(H212*Configuracion!$B$11,0),0))</f>
        <v/>
      </c>
      <c r="K212" s="89">
        <f>IF(H212="","",H212+J212)</f>
        <v/>
      </c>
      <c r="L212" s="13">
        <f>IF(B212="","",YEAR(B212))</f>
        <v/>
      </c>
      <c r="M212" s="13">
        <f>IF(B212="","",MONTH(B212))</f>
        <v/>
      </c>
      <c r="N212" s="9" t="n"/>
      <c r="O212" s="9" t="n"/>
      <c r="P212" s="9" t="n"/>
      <c r="Q212" s="9" t="n"/>
    </row>
    <row r="213">
      <c r="A213" s="9" t="n"/>
      <c r="B213" s="70" t="n"/>
      <c r="C213" s="9" t="n"/>
      <c r="D213" s="9" t="n"/>
      <c r="E213" s="9" t="n"/>
      <c r="F213" s="9" t="n"/>
      <c r="G213" s="9" t="n"/>
      <c r="H213" s="71" t="n"/>
      <c r="I213" s="9" t="n"/>
      <c r="J213" s="89">
        <f>IF(H213="","",IF(I213="Sí",ROUND(H213*Configuracion!$B$11,0),0))</f>
        <v/>
      </c>
      <c r="K213" s="89">
        <f>IF(H213="","",H213+J213)</f>
        <v/>
      </c>
      <c r="L213" s="13">
        <f>IF(B213="","",YEAR(B213))</f>
        <v/>
      </c>
      <c r="M213" s="13">
        <f>IF(B213="","",MONTH(B213))</f>
        <v/>
      </c>
      <c r="N213" s="9" t="n"/>
      <c r="O213" s="9" t="n"/>
      <c r="P213" s="9" t="n"/>
      <c r="Q213" s="9" t="n"/>
    </row>
    <row r="214">
      <c r="A214" s="9" t="n"/>
      <c r="B214" s="70" t="n"/>
      <c r="C214" s="9" t="n"/>
      <c r="D214" s="9" t="n"/>
      <c r="E214" s="9" t="n"/>
      <c r="F214" s="9" t="n"/>
      <c r="G214" s="9" t="n"/>
      <c r="H214" s="71" t="n"/>
      <c r="I214" s="9" t="n"/>
      <c r="J214" s="89">
        <f>IF(H214="","",IF(I214="Sí",ROUND(H214*Configuracion!$B$11,0),0))</f>
        <v/>
      </c>
      <c r="K214" s="89">
        <f>IF(H214="","",H214+J214)</f>
        <v/>
      </c>
      <c r="L214" s="13">
        <f>IF(B214="","",YEAR(B214))</f>
        <v/>
      </c>
      <c r="M214" s="13">
        <f>IF(B214="","",MONTH(B214))</f>
        <v/>
      </c>
      <c r="N214" s="9" t="n"/>
      <c r="O214" s="9" t="n"/>
      <c r="P214" s="9" t="n"/>
      <c r="Q214" s="9" t="n"/>
    </row>
    <row r="215">
      <c r="A215" s="9" t="n"/>
      <c r="B215" s="70" t="n"/>
      <c r="C215" s="9" t="n"/>
      <c r="D215" s="9" t="n"/>
      <c r="E215" s="9" t="n"/>
      <c r="F215" s="9" t="n"/>
      <c r="G215" s="9" t="n"/>
      <c r="H215" s="71" t="n"/>
      <c r="I215" s="9" t="n"/>
      <c r="J215" s="89">
        <f>IF(H215="","",IF(I215="Sí",ROUND(H215*Configuracion!$B$11,0),0))</f>
        <v/>
      </c>
      <c r="K215" s="89">
        <f>IF(H215="","",H215+J215)</f>
        <v/>
      </c>
      <c r="L215" s="13">
        <f>IF(B215="","",YEAR(B215))</f>
        <v/>
      </c>
      <c r="M215" s="13">
        <f>IF(B215="","",MONTH(B215))</f>
        <v/>
      </c>
      <c r="N215" s="9" t="n"/>
      <c r="O215" s="9" t="n"/>
      <c r="P215" s="9" t="n"/>
      <c r="Q215" s="9" t="n"/>
    </row>
    <row r="216">
      <c r="A216" s="9" t="n"/>
      <c r="B216" s="70" t="n"/>
      <c r="C216" s="9" t="n"/>
      <c r="D216" s="9" t="n"/>
      <c r="E216" s="9" t="n"/>
      <c r="F216" s="9" t="n"/>
      <c r="G216" s="9" t="n"/>
      <c r="H216" s="71" t="n"/>
      <c r="I216" s="9" t="n"/>
      <c r="J216" s="89">
        <f>IF(H216="","",IF(I216="Sí",ROUND(H216*Configuracion!$B$11,0),0))</f>
        <v/>
      </c>
      <c r="K216" s="89">
        <f>IF(H216="","",H216+J216)</f>
        <v/>
      </c>
      <c r="L216" s="13">
        <f>IF(B216="","",YEAR(B216))</f>
        <v/>
      </c>
      <c r="M216" s="13">
        <f>IF(B216="","",MONTH(B216))</f>
        <v/>
      </c>
      <c r="N216" s="9" t="n"/>
      <c r="O216" s="9" t="n"/>
      <c r="P216" s="9" t="n"/>
      <c r="Q216" s="9" t="n"/>
    </row>
    <row r="217">
      <c r="A217" s="9" t="n"/>
      <c r="B217" s="70" t="n"/>
      <c r="C217" s="9" t="n"/>
      <c r="D217" s="9" t="n"/>
      <c r="E217" s="9" t="n"/>
      <c r="F217" s="9" t="n"/>
      <c r="G217" s="9" t="n"/>
      <c r="H217" s="71" t="n"/>
      <c r="I217" s="9" t="n"/>
      <c r="J217" s="89">
        <f>IF(H217="","",IF(I217="Sí",ROUND(H217*Configuracion!$B$11,0),0))</f>
        <v/>
      </c>
      <c r="K217" s="89">
        <f>IF(H217="","",H217+J217)</f>
        <v/>
      </c>
      <c r="L217" s="13">
        <f>IF(B217="","",YEAR(B217))</f>
        <v/>
      </c>
      <c r="M217" s="13">
        <f>IF(B217="","",MONTH(B217))</f>
        <v/>
      </c>
      <c r="N217" s="9" t="n"/>
      <c r="O217" s="9" t="n"/>
      <c r="P217" s="9" t="n"/>
      <c r="Q217" s="9" t="n"/>
    </row>
    <row r="218">
      <c r="A218" s="9" t="n"/>
      <c r="B218" s="70" t="n"/>
      <c r="C218" s="9" t="n"/>
      <c r="D218" s="9" t="n"/>
      <c r="E218" s="9" t="n"/>
      <c r="F218" s="9" t="n"/>
      <c r="G218" s="9" t="n"/>
      <c r="H218" s="71" t="n"/>
      <c r="I218" s="9" t="n"/>
      <c r="J218" s="89">
        <f>IF(H218="","",IF(I218="Sí",ROUND(H218*Configuracion!$B$11,0),0))</f>
        <v/>
      </c>
      <c r="K218" s="89">
        <f>IF(H218="","",H218+J218)</f>
        <v/>
      </c>
      <c r="L218" s="13">
        <f>IF(B218="","",YEAR(B218))</f>
        <v/>
      </c>
      <c r="M218" s="13">
        <f>IF(B218="","",MONTH(B218))</f>
        <v/>
      </c>
      <c r="N218" s="9" t="n"/>
      <c r="O218" s="9" t="n"/>
      <c r="P218" s="9" t="n"/>
      <c r="Q218" s="9" t="n"/>
    </row>
    <row r="219">
      <c r="A219" s="9" t="n"/>
      <c r="B219" s="70" t="n"/>
      <c r="C219" s="9" t="n"/>
      <c r="D219" s="9" t="n"/>
      <c r="E219" s="9" t="n"/>
      <c r="F219" s="9" t="n"/>
      <c r="G219" s="9" t="n"/>
      <c r="H219" s="71" t="n"/>
      <c r="I219" s="9" t="n"/>
      <c r="J219" s="89">
        <f>IF(H219="","",IF(I219="Sí",ROUND(H219*Configuracion!$B$11,0),0))</f>
        <v/>
      </c>
      <c r="K219" s="89">
        <f>IF(H219="","",H219+J219)</f>
        <v/>
      </c>
      <c r="L219" s="13">
        <f>IF(B219="","",YEAR(B219))</f>
        <v/>
      </c>
      <c r="M219" s="13">
        <f>IF(B219="","",MONTH(B219))</f>
        <v/>
      </c>
      <c r="N219" s="9" t="n"/>
      <c r="O219" s="9" t="n"/>
      <c r="P219" s="9" t="n"/>
      <c r="Q219" s="9" t="n"/>
    </row>
    <row r="220">
      <c r="A220" s="9" t="n"/>
      <c r="B220" s="70" t="n"/>
      <c r="C220" s="9" t="n"/>
      <c r="D220" s="9" t="n"/>
      <c r="E220" s="9" t="n"/>
      <c r="F220" s="9" t="n"/>
      <c r="G220" s="9" t="n"/>
      <c r="H220" s="71" t="n"/>
      <c r="I220" s="9" t="n"/>
      <c r="J220" s="89">
        <f>IF(H220="","",IF(I220="Sí",ROUND(H220*Configuracion!$B$11,0),0))</f>
        <v/>
      </c>
      <c r="K220" s="89">
        <f>IF(H220="","",H220+J220)</f>
        <v/>
      </c>
      <c r="L220" s="13">
        <f>IF(B220="","",YEAR(B220))</f>
        <v/>
      </c>
      <c r="M220" s="13">
        <f>IF(B220="","",MONTH(B220))</f>
        <v/>
      </c>
      <c r="N220" s="9" t="n"/>
      <c r="O220" s="9" t="n"/>
      <c r="P220" s="9" t="n"/>
      <c r="Q220" s="9" t="n"/>
    </row>
    <row r="221">
      <c r="A221" s="9" t="n"/>
      <c r="B221" s="70" t="n"/>
      <c r="C221" s="9" t="n"/>
      <c r="D221" s="9" t="n"/>
      <c r="E221" s="9" t="n"/>
      <c r="F221" s="9" t="n"/>
      <c r="G221" s="9" t="n"/>
      <c r="H221" s="71" t="n"/>
      <c r="I221" s="9" t="n"/>
      <c r="J221" s="89">
        <f>IF(H221="","",IF(I221="Sí",ROUND(H221*Configuracion!$B$11,0),0))</f>
        <v/>
      </c>
      <c r="K221" s="89">
        <f>IF(H221="","",H221+J221)</f>
        <v/>
      </c>
      <c r="L221" s="13">
        <f>IF(B221="","",YEAR(B221))</f>
        <v/>
      </c>
      <c r="M221" s="13">
        <f>IF(B221="","",MONTH(B221))</f>
        <v/>
      </c>
      <c r="N221" s="9" t="n"/>
      <c r="O221" s="9" t="n"/>
      <c r="P221" s="9" t="n"/>
      <c r="Q221" s="9" t="n"/>
    </row>
    <row r="222">
      <c r="A222" s="9" t="n"/>
      <c r="B222" s="70" t="n"/>
      <c r="C222" s="9" t="n"/>
      <c r="D222" s="9" t="n"/>
      <c r="E222" s="9" t="n"/>
      <c r="F222" s="9" t="n"/>
      <c r="G222" s="9" t="n"/>
      <c r="H222" s="71" t="n"/>
      <c r="I222" s="9" t="n"/>
      <c r="J222" s="89">
        <f>IF(H222="","",IF(I222="Sí",ROUND(H222*Configuracion!$B$11,0),0))</f>
        <v/>
      </c>
      <c r="K222" s="89">
        <f>IF(H222="","",H222+J222)</f>
        <v/>
      </c>
      <c r="L222" s="13">
        <f>IF(B222="","",YEAR(B222))</f>
        <v/>
      </c>
      <c r="M222" s="13">
        <f>IF(B222="","",MONTH(B222))</f>
        <v/>
      </c>
      <c r="N222" s="9" t="n"/>
      <c r="O222" s="9" t="n"/>
      <c r="P222" s="9" t="n"/>
      <c r="Q222" s="9" t="n"/>
    </row>
    <row r="223">
      <c r="A223" s="9" t="n"/>
      <c r="B223" s="70" t="n"/>
      <c r="C223" s="9" t="n"/>
      <c r="D223" s="9" t="n"/>
      <c r="E223" s="9" t="n"/>
      <c r="F223" s="9" t="n"/>
      <c r="G223" s="9" t="n"/>
      <c r="H223" s="71" t="n"/>
      <c r="I223" s="9" t="n"/>
      <c r="J223" s="89">
        <f>IF(H223="","",IF(I223="Sí",ROUND(H223*Configuracion!$B$11,0),0))</f>
        <v/>
      </c>
      <c r="K223" s="89">
        <f>IF(H223="","",H223+J223)</f>
        <v/>
      </c>
      <c r="L223" s="13">
        <f>IF(B223="","",YEAR(B223))</f>
        <v/>
      </c>
      <c r="M223" s="13">
        <f>IF(B223="","",MONTH(B223))</f>
        <v/>
      </c>
      <c r="N223" s="9" t="n"/>
      <c r="O223" s="9" t="n"/>
      <c r="P223" s="9" t="n"/>
      <c r="Q223" s="9" t="n"/>
    </row>
    <row r="224">
      <c r="A224" s="9" t="n"/>
      <c r="B224" s="70" t="n"/>
      <c r="C224" s="9" t="n"/>
      <c r="D224" s="9" t="n"/>
      <c r="E224" s="9" t="n"/>
      <c r="F224" s="9" t="n"/>
      <c r="G224" s="9" t="n"/>
      <c r="H224" s="71" t="n"/>
      <c r="I224" s="9" t="n"/>
      <c r="J224" s="89">
        <f>IF(H224="","",IF(I224="Sí",ROUND(H224*Configuracion!$B$11,0),0))</f>
        <v/>
      </c>
      <c r="K224" s="89">
        <f>IF(H224="","",H224+J224)</f>
        <v/>
      </c>
      <c r="L224" s="13">
        <f>IF(B224="","",YEAR(B224))</f>
        <v/>
      </c>
      <c r="M224" s="13">
        <f>IF(B224="","",MONTH(B224))</f>
        <v/>
      </c>
      <c r="N224" s="9" t="n"/>
      <c r="O224" s="9" t="n"/>
      <c r="P224" s="9" t="n"/>
      <c r="Q224" s="9" t="n"/>
    </row>
    <row r="225">
      <c r="A225" s="9" t="n"/>
      <c r="B225" s="70" t="n"/>
      <c r="C225" s="9" t="n"/>
      <c r="D225" s="9" t="n"/>
      <c r="E225" s="9" t="n"/>
      <c r="F225" s="9" t="n"/>
      <c r="G225" s="9" t="n"/>
      <c r="H225" s="71" t="n"/>
      <c r="I225" s="9" t="n"/>
      <c r="J225" s="89">
        <f>IF(H225="","",IF(I225="Sí",ROUND(H225*Configuracion!$B$11,0),0))</f>
        <v/>
      </c>
      <c r="K225" s="89">
        <f>IF(H225="","",H225+J225)</f>
        <v/>
      </c>
      <c r="L225" s="13">
        <f>IF(B225="","",YEAR(B225))</f>
        <v/>
      </c>
      <c r="M225" s="13">
        <f>IF(B225="","",MONTH(B225))</f>
        <v/>
      </c>
      <c r="N225" s="9" t="n"/>
      <c r="O225" s="9" t="n"/>
      <c r="P225" s="9" t="n"/>
      <c r="Q225" s="9" t="n"/>
    </row>
    <row r="226">
      <c r="A226" s="9" t="n"/>
      <c r="B226" s="70" t="n"/>
      <c r="C226" s="9" t="n"/>
      <c r="D226" s="9" t="n"/>
      <c r="E226" s="9" t="n"/>
      <c r="F226" s="9" t="n"/>
      <c r="G226" s="9" t="n"/>
      <c r="H226" s="71" t="n"/>
      <c r="I226" s="9" t="n"/>
      <c r="J226" s="89">
        <f>IF(H226="","",IF(I226="Sí",ROUND(H226*Configuracion!$B$11,0),0))</f>
        <v/>
      </c>
      <c r="K226" s="89">
        <f>IF(H226="","",H226+J226)</f>
        <v/>
      </c>
      <c r="L226" s="13">
        <f>IF(B226="","",YEAR(B226))</f>
        <v/>
      </c>
      <c r="M226" s="13">
        <f>IF(B226="","",MONTH(B226))</f>
        <v/>
      </c>
      <c r="N226" s="9" t="n"/>
      <c r="O226" s="9" t="n"/>
      <c r="P226" s="9" t="n"/>
      <c r="Q226" s="9" t="n"/>
    </row>
    <row r="227">
      <c r="A227" s="9" t="n"/>
      <c r="B227" s="70" t="n"/>
      <c r="C227" s="9" t="n"/>
      <c r="D227" s="9" t="n"/>
      <c r="E227" s="9" t="n"/>
      <c r="F227" s="9" t="n"/>
      <c r="G227" s="9" t="n"/>
      <c r="H227" s="71" t="n"/>
      <c r="I227" s="9" t="n"/>
      <c r="J227" s="89">
        <f>IF(H227="","",IF(I227="Sí",ROUND(H227*Configuracion!$B$11,0),0))</f>
        <v/>
      </c>
      <c r="K227" s="89">
        <f>IF(H227="","",H227+J227)</f>
        <v/>
      </c>
      <c r="L227" s="13">
        <f>IF(B227="","",YEAR(B227))</f>
        <v/>
      </c>
      <c r="M227" s="13">
        <f>IF(B227="","",MONTH(B227))</f>
        <v/>
      </c>
      <c r="N227" s="9" t="n"/>
      <c r="O227" s="9" t="n"/>
      <c r="P227" s="9" t="n"/>
      <c r="Q227" s="9" t="n"/>
    </row>
    <row r="228">
      <c r="A228" s="9" t="n"/>
      <c r="B228" s="70" t="n"/>
      <c r="C228" s="9" t="n"/>
      <c r="D228" s="9" t="n"/>
      <c r="E228" s="9" t="n"/>
      <c r="F228" s="9" t="n"/>
      <c r="G228" s="9" t="n"/>
      <c r="H228" s="71" t="n"/>
      <c r="I228" s="9" t="n"/>
      <c r="J228" s="89">
        <f>IF(H228="","",IF(I228="Sí",ROUND(H228*Configuracion!$B$11,0),0))</f>
        <v/>
      </c>
      <c r="K228" s="89">
        <f>IF(H228="","",H228+J228)</f>
        <v/>
      </c>
      <c r="L228" s="13">
        <f>IF(B228="","",YEAR(B228))</f>
        <v/>
      </c>
      <c r="M228" s="13">
        <f>IF(B228="","",MONTH(B228))</f>
        <v/>
      </c>
      <c r="N228" s="9" t="n"/>
      <c r="O228" s="9" t="n"/>
      <c r="P228" s="9" t="n"/>
      <c r="Q228" s="9" t="n"/>
    </row>
    <row r="229">
      <c r="A229" s="9" t="n"/>
      <c r="B229" s="70" t="n"/>
      <c r="C229" s="9" t="n"/>
      <c r="D229" s="9" t="n"/>
      <c r="E229" s="9" t="n"/>
      <c r="F229" s="9" t="n"/>
      <c r="G229" s="9" t="n"/>
      <c r="H229" s="71" t="n"/>
      <c r="I229" s="9" t="n"/>
      <c r="J229" s="89">
        <f>IF(H229="","",IF(I229="Sí",ROUND(H229*Configuracion!$B$11,0),0))</f>
        <v/>
      </c>
      <c r="K229" s="89">
        <f>IF(H229="","",H229+J229)</f>
        <v/>
      </c>
      <c r="L229" s="13">
        <f>IF(B229="","",YEAR(B229))</f>
        <v/>
      </c>
      <c r="M229" s="13">
        <f>IF(B229="","",MONTH(B229))</f>
        <v/>
      </c>
      <c r="N229" s="9" t="n"/>
      <c r="O229" s="9" t="n"/>
      <c r="P229" s="9" t="n"/>
      <c r="Q229" s="9" t="n"/>
    </row>
    <row r="230">
      <c r="A230" s="9" t="n"/>
      <c r="B230" s="70" t="n"/>
      <c r="C230" s="9" t="n"/>
      <c r="D230" s="9" t="n"/>
      <c r="E230" s="9" t="n"/>
      <c r="F230" s="9" t="n"/>
      <c r="G230" s="9" t="n"/>
      <c r="H230" s="71" t="n"/>
      <c r="I230" s="9" t="n"/>
      <c r="J230" s="89">
        <f>IF(H230="","",IF(I230="Sí",ROUND(H230*Configuracion!$B$11,0),0))</f>
        <v/>
      </c>
      <c r="K230" s="89">
        <f>IF(H230="","",H230+J230)</f>
        <v/>
      </c>
      <c r="L230" s="13">
        <f>IF(B230="","",YEAR(B230))</f>
        <v/>
      </c>
      <c r="M230" s="13">
        <f>IF(B230="","",MONTH(B230))</f>
        <v/>
      </c>
      <c r="N230" s="9" t="n"/>
      <c r="O230" s="9" t="n"/>
      <c r="P230" s="9" t="n"/>
      <c r="Q230" s="9" t="n"/>
    </row>
    <row r="231">
      <c r="A231" s="9" t="n"/>
      <c r="B231" s="70" t="n"/>
      <c r="C231" s="9" t="n"/>
      <c r="D231" s="9" t="n"/>
      <c r="E231" s="9" t="n"/>
      <c r="F231" s="9" t="n"/>
      <c r="G231" s="9" t="n"/>
      <c r="H231" s="71" t="n"/>
      <c r="I231" s="9" t="n"/>
      <c r="J231" s="89">
        <f>IF(H231="","",IF(I231="Sí",ROUND(H231*Configuracion!$B$11,0),0))</f>
        <v/>
      </c>
      <c r="K231" s="89">
        <f>IF(H231="","",H231+J231)</f>
        <v/>
      </c>
      <c r="L231" s="13">
        <f>IF(B231="","",YEAR(B231))</f>
        <v/>
      </c>
      <c r="M231" s="13">
        <f>IF(B231="","",MONTH(B231))</f>
        <v/>
      </c>
      <c r="N231" s="9" t="n"/>
      <c r="O231" s="9" t="n"/>
      <c r="P231" s="9" t="n"/>
      <c r="Q231" s="9" t="n"/>
    </row>
    <row r="232">
      <c r="A232" s="9" t="n"/>
      <c r="B232" s="70" t="n"/>
      <c r="C232" s="9" t="n"/>
      <c r="D232" s="9" t="n"/>
      <c r="E232" s="9" t="n"/>
      <c r="F232" s="9" t="n"/>
      <c r="G232" s="9" t="n"/>
      <c r="H232" s="71" t="n"/>
      <c r="I232" s="9" t="n"/>
      <c r="J232" s="89">
        <f>IF(H232="","",IF(I232="Sí",ROUND(H232*Configuracion!$B$11,0),0))</f>
        <v/>
      </c>
      <c r="K232" s="89">
        <f>IF(H232="","",H232+J232)</f>
        <v/>
      </c>
      <c r="L232" s="13">
        <f>IF(B232="","",YEAR(B232))</f>
        <v/>
      </c>
      <c r="M232" s="13">
        <f>IF(B232="","",MONTH(B232))</f>
        <v/>
      </c>
      <c r="N232" s="9" t="n"/>
      <c r="O232" s="9" t="n"/>
      <c r="P232" s="9" t="n"/>
      <c r="Q232" s="9" t="n"/>
    </row>
    <row r="233">
      <c r="A233" s="9" t="n"/>
      <c r="B233" s="70" t="n"/>
      <c r="C233" s="9" t="n"/>
      <c r="D233" s="9" t="n"/>
      <c r="E233" s="9" t="n"/>
      <c r="F233" s="9" t="n"/>
      <c r="G233" s="9" t="n"/>
      <c r="H233" s="71" t="n"/>
      <c r="I233" s="9" t="n"/>
      <c r="J233" s="89">
        <f>IF(H233="","",IF(I233="Sí",ROUND(H233*Configuracion!$B$11,0),0))</f>
        <v/>
      </c>
      <c r="K233" s="89">
        <f>IF(H233="","",H233+J233)</f>
        <v/>
      </c>
      <c r="L233" s="13">
        <f>IF(B233="","",YEAR(B233))</f>
        <v/>
      </c>
      <c r="M233" s="13">
        <f>IF(B233="","",MONTH(B233))</f>
        <v/>
      </c>
      <c r="N233" s="9" t="n"/>
      <c r="O233" s="9" t="n"/>
      <c r="P233" s="9" t="n"/>
      <c r="Q233" s="9" t="n"/>
    </row>
    <row r="234">
      <c r="A234" s="9" t="n"/>
      <c r="B234" s="70" t="n"/>
      <c r="C234" s="9" t="n"/>
      <c r="D234" s="9" t="n"/>
      <c r="E234" s="9" t="n"/>
      <c r="F234" s="9" t="n"/>
      <c r="G234" s="9" t="n"/>
      <c r="H234" s="71" t="n"/>
      <c r="I234" s="9" t="n"/>
      <c r="J234" s="89">
        <f>IF(H234="","",IF(I234="Sí",ROUND(H234*Configuracion!$B$11,0),0))</f>
        <v/>
      </c>
      <c r="K234" s="89">
        <f>IF(H234="","",H234+J234)</f>
        <v/>
      </c>
      <c r="L234" s="13">
        <f>IF(B234="","",YEAR(B234))</f>
        <v/>
      </c>
      <c r="M234" s="13">
        <f>IF(B234="","",MONTH(B234))</f>
        <v/>
      </c>
      <c r="N234" s="9" t="n"/>
      <c r="O234" s="9" t="n"/>
      <c r="P234" s="9" t="n"/>
      <c r="Q234" s="9" t="n"/>
    </row>
    <row r="235">
      <c r="A235" s="9" t="n"/>
      <c r="B235" s="70" t="n"/>
      <c r="C235" s="9" t="n"/>
      <c r="D235" s="9" t="n"/>
      <c r="E235" s="9" t="n"/>
      <c r="F235" s="9" t="n"/>
      <c r="G235" s="9" t="n"/>
      <c r="H235" s="71" t="n"/>
      <c r="I235" s="9" t="n"/>
      <c r="J235" s="89">
        <f>IF(H235="","",IF(I235="Sí",ROUND(H235*Configuracion!$B$11,0),0))</f>
        <v/>
      </c>
      <c r="K235" s="89">
        <f>IF(H235="","",H235+J235)</f>
        <v/>
      </c>
      <c r="L235" s="13">
        <f>IF(B235="","",YEAR(B235))</f>
        <v/>
      </c>
      <c r="M235" s="13">
        <f>IF(B235="","",MONTH(B235))</f>
        <v/>
      </c>
      <c r="N235" s="9" t="n"/>
      <c r="O235" s="9" t="n"/>
      <c r="P235" s="9" t="n"/>
      <c r="Q235" s="9" t="n"/>
    </row>
    <row r="236">
      <c r="A236" s="9" t="n"/>
      <c r="B236" s="70" t="n"/>
      <c r="C236" s="9" t="n"/>
      <c r="D236" s="9" t="n"/>
      <c r="E236" s="9" t="n"/>
      <c r="F236" s="9" t="n"/>
      <c r="G236" s="9" t="n"/>
      <c r="H236" s="71" t="n"/>
      <c r="I236" s="9" t="n"/>
      <c r="J236" s="89">
        <f>IF(H236="","",IF(I236="Sí",ROUND(H236*Configuracion!$B$11,0),0))</f>
        <v/>
      </c>
      <c r="K236" s="89">
        <f>IF(H236="","",H236+J236)</f>
        <v/>
      </c>
      <c r="L236" s="13">
        <f>IF(B236="","",YEAR(B236))</f>
        <v/>
      </c>
      <c r="M236" s="13">
        <f>IF(B236="","",MONTH(B236))</f>
        <v/>
      </c>
      <c r="N236" s="9" t="n"/>
      <c r="O236" s="9" t="n"/>
      <c r="P236" s="9" t="n"/>
      <c r="Q236" s="9" t="n"/>
    </row>
    <row r="237">
      <c r="A237" s="9" t="n"/>
      <c r="B237" s="70" t="n"/>
      <c r="C237" s="9" t="n"/>
      <c r="D237" s="9" t="n"/>
      <c r="E237" s="9" t="n"/>
      <c r="F237" s="9" t="n"/>
      <c r="G237" s="9" t="n"/>
      <c r="H237" s="71" t="n"/>
      <c r="I237" s="9" t="n"/>
      <c r="J237" s="89">
        <f>IF(H237="","",IF(I237="Sí",ROUND(H237*Configuracion!$B$11,0),0))</f>
        <v/>
      </c>
      <c r="K237" s="89">
        <f>IF(H237="","",H237+J237)</f>
        <v/>
      </c>
      <c r="L237" s="13">
        <f>IF(B237="","",YEAR(B237))</f>
        <v/>
      </c>
      <c r="M237" s="13">
        <f>IF(B237="","",MONTH(B237))</f>
        <v/>
      </c>
      <c r="N237" s="9" t="n"/>
      <c r="O237" s="9" t="n"/>
      <c r="P237" s="9" t="n"/>
      <c r="Q237" s="9" t="n"/>
    </row>
    <row r="238">
      <c r="A238" s="9" t="n"/>
      <c r="B238" s="70" t="n"/>
      <c r="C238" s="9" t="n"/>
      <c r="D238" s="9" t="n"/>
      <c r="E238" s="9" t="n"/>
      <c r="F238" s="9" t="n"/>
      <c r="G238" s="9" t="n"/>
      <c r="H238" s="71" t="n"/>
      <c r="I238" s="9" t="n"/>
      <c r="J238" s="89">
        <f>IF(H238="","",IF(I238="Sí",ROUND(H238*Configuracion!$B$11,0),0))</f>
        <v/>
      </c>
      <c r="K238" s="89">
        <f>IF(H238="","",H238+J238)</f>
        <v/>
      </c>
      <c r="L238" s="13">
        <f>IF(B238="","",YEAR(B238))</f>
        <v/>
      </c>
      <c r="M238" s="13">
        <f>IF(B238="","",MONTH(B238))</f>
        <v/>
      </c>
      <c r="N238" s="9" t="n"/>
      <c r="O238" s="9" t="n"/>
      <c r="P238" s="9" t="n"/>
      <c r="Q238" s="9" t="n"/>
    </row>
    <row r="239">
      <c r="A239" s="9" t="n"/>
      <c r="B239" s="70" t="n"/>
      <c r="C239" s="9" t="n"/>
      <c r="D239" s="9" t="n"/>
      <c r="E239" s="9" t="n"/>
      <c r="F239" s="9" t="n"/>
      <c r="G239" s="9" t="n"/>
      <c r="H239" s="71" t="n"/>
      <c r="I239" s="9" t="n"/>
      <c r="J239" s="89">
        <f>IF(H239="","",IF(I239="Sí",ROUND(H239*Configuracion!$B$11,0),0))</f>
        <v/>
      </c>
      <c r="K239" s="89">
        <f>IF(H239="","",H239+J239)</f>
        <v/>
      </c>
      <c r="L239" s="13">
        <f>IF(B239="","",YEAR(B239))</f>
        <v/>
      </c>
      <c r="M239" s="13">
        <f>IF(B239="","",MONTH(B239))</f>
        <v/>
      </c>
      <c r="N239" s="9" t="n"/>
      <c r="O239" s="9" t="n"/>
      <c r="P239" s="9" t="n"/>
      <c r="Q239" s="9" t="n"/>
    </row>
    <row r="240">
      <c r="A240" s="9" t="n"/>
      <c r="B240" s="70" t="n"/>
      <c r="C240" s="9" t="n"/>
      <c r="D240" s="9" t="n"/>
      <c r="E240" s="9" t="n"/>
      <c r="F240" s="9" t="n"/>
      <c r="G240" s="9" t="n"/>
      <c r="H240" s="71" t="n"/>
      <c r="I240" s="9" t="n"/>
      <c r="J240" s="89">
        <f>IF(H240="","",IF(I240="Sí",ROUND(H240*Configuracion!$B$11,0),0))</f>
        <v/>
      </c>
      <c r="K240" s="89">
        <f>IF(H240="","",H240+J240)</f>
        <v/>
      </c>
      <c r="L240" s="13">
        <f>IF(B240="","",YEAR(B240))</f>
        <v/>
      </c>
      <c r="M240" s="13">
        <f>IF(B240="","",MONTH(B240))</f>
        <v/>
      </c>
      <c r="N240" s="9" t="n"/>
      <c r="O240" s="9" t="n"/>
      <c r="P240" s="9" t="n"/>
      <c r="Q240" s="9" t="n"/>
    </row>
    <row r="241">
      <c r="A241" s="9" t="n"/>
      <c r="B241" s="70" t="n"/>
      <c r="C241" s="9" t="n"/>
      <c r="D241" s="9" t="n"/>
      <c r="E241" s="9" t="n"/>
      <c r="F241" s="9" t="n"/>
      <c r="G241" s="9" t="n"/>
      <c r="H241" s="71" t="n"/>
      <c r="I241" s="9" t="n"/>
      <c r="J241" s="89">
        <f>IF(H241="","",IF(I241="Sí",ROUND(H241*Configuracion!$B$11,0),0))</f>
        <v/>
      </c>
      <c r="K241" s="89">
        <f>IF(H241="","",H241+J241)</f>
        <v/>
      </c>
      <c r="L241" s="13">
        <f>IF(B241="","",YEAR(B241))</f>
        <v/>
      </c>
      <c r="M241" s="13">
        <f>IF(B241="","",MONTH(B241))</f>
        <v/>
      </c>
      <c r="N241" s="9" t="n"/>
      <c r="O241" s="9" t="n"/>
      <c r="P241" s="9" t="n"/>
      <c r="Q241" s="9" t="n"/>
    </row>
    <row r="242">
      <c r="A242" s="9" t="n"/>
      <c r="B242" s="70" t="n"/>
      <c r="C242" s="9" t="n"/>
      <c r="D242" s="9" t="n"/>
      <c r="E242" s="9" t="n"/>
      <c r="F242" s="9" t="n"/>
      <c r="G242" s="9" t="n"/>
      <c r="H242" s="71" t="n"/>
      <c r="I242" s="9" t="n"/>
      <c r="J242" s="89">
        <f>IF(H242="","",IF(I242="Sí",ROUND(H242*Configuracion!$B$11,0),0))</f>
        <v/>
      </c>
      <c r="K242" s="89">
        <f>IF(H242="","",H242+J242)</f>
        <v/>
      </c>
      <c r="L242" s="13">
        <f>IF(B242="","",YEAR(B242))</f>
        <v/>
      </c>
      <c r="M242" s="13">
        <f>IF(B242="","",MONTH(B242))</f>
        <v/>
      </c>
      <c r="N242" s="9" t="n"/>
      <c r="O242" s="9" t="n"/>
      <c r="P242" s="9" t="n"/>
      <c r="Q242" s="9" t="n"/>
    </row>
    <row r="243">
      <c r="A243" s="9" t="n"/>
      <c r="B243" s="70" t="n"/>
      <c r="C243" s="9" t="n"/>
      <c r="D243" s="9" t="n"/>
      <c r="E243" s="9" t="n"/>
      <c r="F243" s="9" t="n"/>
      <c r="G243" s="9" t="n"/>
      <c r="H243" s="71" t="n"/>
      <c r="I243" s="9" t="n"/>
      <c r="J243" s="89">
        <f>IF(H243="","",IF(I243="Sí",ROUND(H243*Configuracion!$B$11,0),0))</f>
        <v/>
      </c>
      <c r="K243" s="89">
        <f>IF(H243="","",H243+J243)</f>
        <v/>
      </c>
      <c r="L243" s="13">
        <f>IF(B243="","",YEAR(B243))</f>
        <v/>
      </c>
      <c r="M243" s="13">
        <f>IF(B243="","",MONTH(B243))</f>
        <v/>
      </c>
      <c r="N243" s="9" t="n"/>
      <c r="O243" s="9" t="n"/>
      <c r="P243" s="9" t="n"/>
      <c r="Q243" s="9" t="n"/>
    </row>
    <row r="244">
      <c r="A244" s="9" t="n"/>
      <c r="B244" s="70" t="n"/>
      <c r="C244" s="9" t="n"/>
      <c r="D244" s="9" t="n"/>
      <c r="E244" s="9" t="n"/>
      <c r="F244" s="9" t="n"/>
      <c r="G244" s="9" t="n"/>
      <c r="H244" s="71" t="n"/>
      <c r="I244" s="9" t="n"/>
      <c r="J244" s="89">
        <f>IF(H244="","",IF(I244="Sí",ROUND(H244*Configuracion!$B$11,0),0))</f>
        <v/>
      </c>
      <c r="K244" s="89">
        <f>IF(H244="","",H244+J244)</f>
        <v/>
      </c>
      <c r="L244" s="13">
        <f>IF(B244="","",YEAR(B244))</f>
        <v/>
      </c>
      <c r="M244" s="13">
        <f>IF(B244="","",MONTH(B244))</f>
        <v/>
      </c>
      <c r="N244" s="9" t="n"/>
      <c r="O244" s="9" t="n"/>
      <c r="P244" s="9" t="n"/>
      <c r="Q244" s="9" t="n"/>
    </row>
    <row r="245">
      <c r="A245" s="9" t="n"/>
      <c r="B245" s="70" t="n"/>
      <c r="C245" s="9" t="n"/>
      <c r="D245" s="9" t="n"/>
      <c r="E245" s="9" t="n"/>
      <c r="F245" s="9" t="n"/>
      <c r="G245" s="9" t="n"/>
      <c r="H245" s="71" t="n"/>
      <c r="I245" s="9" t="n"/>
      <c r="J245" s="89">
        <f>IF(H245="","",IF(I245="Sí",ROUND(H245*Configuracion!$B$11,0),0))</f>
        <v/>
      </c>
      <c r="K245" s="89">
        <f>IF(H245="","",H245+J245)</f>
        <v/>
      </c>
      <c r="L245" s="13">
        <f>IF(B245="","",YEAR(B245))</f>
        <v/>
      </c>
      <c r="M245" s="13">
        <f>IF(B245="","",MONTH(B245))</f>
        <v/>
      </c>
      <c r="N245" s="9" t="n"/>
      <c r="O245" s="9" t="n"/>
      <c r="P245" s="9" t="n"/>
      <c r="Q245" s="9" t="n"/>
    </row>
    <row r="246">
      <c r="A246" s="9" t="n"/>
      <c r="B246" s="70" t="n"/>
      <c r="C246" s="9" t="n"/>
      <c r="D246" s="9" t="n"/>
      <c r="E246" s="9" t="n"/>
      <c r="F246" s="9" t="n"/>
      <c r="G246" s="9" t="n"/>
      <c r="H246" s="71" t="n"/>
      <c r="I246" s="9" t="n"/>
      <c r="J246" s="89">
        <f>IF(H246="","",IF(I246="Sí",ROUND(H246*Configuracion!$B$11,0),0))</f>
        <v/>
      </c>
      <c r="K246" s="89">
        <f>IF(H246="","",H246+J246)</f>
        <v/>
      </c>
      <c r="L246" s="13">
        <f>IF(B246="","",YEAR(B246))</f>
        <v/>
      </c>
      <c r="M246" s="13">
        <f>IF(B246="","",MONTH(B246))</f>
        <v/>
      </c>
      <c r="N246" s="9" t="n"/>
      <c r="O246" s="9" t="n"/>
      <c r="P246" s="9" t="n"/>
      <c r="Q246" s="9" t="n"/>
    </row>
    <row r="247">
      <c r="A247" s="9" t="n"/>
      <c r="B247" s="70" t="n"/>
      <c r="C247" s="9" t="n"/>
      <c r="D247" s="9" t="n"/>
      <c r="E247" s="9" t="n"/>
      <c r="F247" s="9" t="n"/>
      <c r="G247" s="9" t="n"/>
      <c r="H247" s="71" t="n"/>
      <c r="I247" s="9" t="n"/>
      <c r="J247" s="89">
        <f>IF(H247="","",IF(I247="Sí",ROUND(H247*Configuracion!$B$11,0),0))</f>
        <v/>
      </c>
      <c r="K247" s="89">
        <f>IF(H247="","",H247+J247)</f>
        <v/>
      </c>
      <c r="L247" s="13">
        <f>IF(B247="","",YEAR(B247))</f>
        <v/>
      </c>
      <c r="M247" s="13">
        <f>IF(B247="","",MONTH(B247))</f>
        <v/>
      </c>
      <c r="N247" s="9" t="n"/>
      <c r="O247" s="9" t="n"/>
      <c r="P247" s="9" t="n"/>
      <c r="Q247" s="9" t="n"/>
    </row>
    <row r="248">
      <c r="A248" s="9" t="n"/>
      <c r="B248" s="70" t="n"/>
      <c r="C248" s="9" t="n"/>
      <c r="D248" s="9" t="n"/>
      <c r="E248" s="9" t="n"/>
      <c r="F248" s="9" t="n"/>
      <c r="G248" s="9" t="n"/>
      <c r="H248" s="71" t="n"/>
      <c r="I248" s="9" t="n"/>
      <c r="J248" s="89">
        <f>IF(H248="","",IF(I248="Sí",ROUND(H248*Configuracion!$B$11,0),0))</f>
        <v/>
      </c>
      <c r="K248" s="89">
        <f>IF(H248="","",H248+J248)</f>
        <v/>
      </c>
      <c r="L248" s="13">
        <f>IF(B248="","",YEAR(B248))</f>
        <v/>
      </c>
      <c r="M248" s="13">
        <f>IF(B248="","",MONTH(B248))</f>
        <v/>
      </c>
      <c r="N248" s="9" t="n"/>
      <c r="O248" s="9" t="n"/>
      <c r="P248" s="9" t="n"/>
      <c r="Q248" s="9" t="n"/>
    </row>
    <row r="249">
      <c r="A249" s="9" t="n"/>
      <c r="B249" s="70" t="n"/>
      <c r="C249" s="9" t="n"/>
      <c r="D249" s="9" t="n"/>
      <c r="E249" s="9" t="n"/>
      <c r="F249" s="9" t="n"/>
      <c r="G249" s="9" t="n"/>
      <c r="H249" s="71" t="n"/>
      <c r="I249" s="9" t="n"/>
      <c r="J249" s="89">
        <f>IF(H249="","",IF(I249="Sí",ROUND(H249*Configuracion!$B$11,0),0))</f>
        <v/>
      </c>
      <c r="K249" s="89">
        <f>IF(H249="","",H249+J249)</f>
        <v/>
      </c>
      <c r="L249" s="13">
        <f>IF(B249="","",YEAR(B249))</f>
        <v/>
      </c>
      <c r="M249" s="13">
        <f>IF(B249="","",MONTH(B249))</f>
        <v/>
      </c>
      <c r="N249" s="9" t="n"/>
      <c r="O249" s="9" t="n"/>
      <c r="P249" s="9" t="n"/>
      <c r="Q249" s="9" t="n"/>
    </row>
    <row r="250">
      <c r="A250" s="9" t="n"/>
      <c r="B250" s="70" t="n"/>
      <c r="C250" s="9" t="n"/>
      <c r="D250" s="9" t="n"/>
      <c r="E250" s="9" t="n"/>
      <c r="F250" s="9" t="n"/>
      <c r="G250" s="9" t="n"/>
      <c r="H250" s="71" t="n"/>
      <c r="I250" s="9" t="n"/>
      <c r="J250" s="89">
        <f>IF(H250="","",IF(I250="Sí",ROUND(H250*Configuracion!$B$11,0),0))</f>
        <v/>
      </c>
      <c r="K250" s="89">
        <f>IF(H250="","",H250+J250)</f>
        <v/>
      </c>
      <c r="L250" s="13">
        <f>IF(B250="","",YEAR(B250))</f>
        <v/>
      </c>
      <c r="M250" s="13">
        <f>IF(B250="","",MONTH(B250))</f>
        <v/>
      </c>
      <c r="N250" s="9" t="n"/>
      <c r="O250" s="9" t="n"/>
      <c r="P250" s="9" t="n"/>
      <c r="Q250" s="9" t="n"/>
    </row>
    <row r="251">
      <c r="A251" s="9" t="n"/>
      <c r="B251" s="70" t="n"/>
      <c r="C251" s="9" t="n"/>
      <c r="D251" s="9" t="n"/>
      <c r="E251" s="9" t="n"/>
      <c r="F251" s="9" t="n"/>
      <c r="G251" s="9" t="n"/>
      <c r="H251" s="71" t="n"/>
      <c r="I251" s="9" t="n"/>
      <c r="J251" s="89">
        <f>IF(H251="","",IF(I251="Sí",ROUND(H251*Configuracion!$B$11,0),0))</f>
        <v/>
      </c>
      <c r="K251" s="89">
        <f>IF(H251="","",H251+J251)</f>
        <v/>
      </c>
      <c r="L251" s="13">
        <f>IF(B251="","",YEAR(B251))</f>
        <v/>
      </c>
      <c r="M251" s="13">
        <f>IF(B251="","",MONTH(B251))</f>
        <v/>
      </c>
      <c r="N251" s="9" t="n"/>
      <c r="O251" s="9" t="n"/>
      <c r="P251" s="9" t="n"/>
      <c r="Q251" s="9" t="n"/>
    </row>
    <row r="252">
      <c r="A252" s="9" t="n"/>
      <c r="B252" s="70" t="n"/>
      <c r="C252" s="9" t="n"/>
      <c r="D252" s="9" t="n"/>
      <c r="E252" s="9" t="n"/>
      <c r="F252" s="9" t="n"/>
      <c r="G252" s="9" t="n"/>
      <c r="H252" s="71" t="n"/>
      <c r="I252" s="9" t="n"/>
      <c r="J252" s="89">
        <f>IF(H252="","",IF(I252="Sí",ROUND(H252*Configuracion!$B$11,0),0))</f>
        <v/>
      </c>
      <c r="K252" s="89">
        <f>IF(H252="","",H252+J252)</f>
        <v/>
      </c>
      <c r="L252" s="13">
        <f>IF(B252="","",YEAR(B252))</f>
        <v/>
      </c>
      <c r="M252" s="13">
        <f>IF(B252="","",MONTH(B252))</f>
        <v/>
      </c>
      <c r="N252" s="9" t="n"/>
      <c r="O252" s="9" t="n"/>
      <c r="P252" s="9" t="n"/>
      <c r="Q252" s="9" t="n"/>
    </row>
    <row r="253">
      <c r="A253" s="9" t="n"/>
      <c r="B253" s="70" t="n"/>
      <c r="C253" s="9" t="n"/>
      <c r="D253" s="9" t="n"/>
      <c r="E253" s="9" t="n"/>
      <c r="F253" s="9" t="n"/>
      <c r="G253" s="9" t="n"/>
      <c r="H253" s="71" t="n"/>
      <c r="I253" s="9" t="n"/>
      <c r="J253" s="89">
        <f>IF(H253="","",IF(I253="Sí",ROUND(H253*Configuracion!$B$11,0),0))</f>
        <v/>
      </c>
      <c r="K253" s="89">
        <f>IF(H253="","",H253+J253)</f>
        <v/>
      </c>
      <c r="L253" s="13">
        <f>IF(B253="","",YEAR(B253))</f>
        <v/>
      </c>
      <c r="M253" s="13">
        <f>IF(B253="","",MONTH(B253))</f>
        <v/>
      </c>
      <c r="N253" s="9" t="n"/>
      <c r="O253" s="9" t="n"/>
      <c r="P253" s="9" t="n"/>
      <c r="Q253" s="9" t="n"/>
    </row>
    <row r="254">
      <c r="A254" s="9" t="n"/>
      <c r="B254" s="70" t="n"/>
      <c r="C254" s="9" t="n"/>
      <c r="D254" s="9" t="n"/>
      <c r="E254" s="9" t="n"/>
      <c r="F254" s="9" t="n"/>
      <c r="G254" s="9" t="n"/>
      <c r="H254" s="71" t="n"/>
      <c r="I254" s="9" t="n"/>
      <c r="J254" s="89">
        <f>IF(H254="","",IF(I254="Sí",ROUND(H254*Configuracion!$B$11,0),0))</f>
        <v/>
      </c>
      <c r="K254" s="89">
        <f>IF(H254="","",H254+J254)</f>
        <v/>
      </c>
      <c r="L254" s="13">
        <f>IF(B254="","",YEAR(B254))</f>
        <v/>
      </c>
      <c r="M254" s="13">
        <f>IF(B254="","",MONTH(B254))</f>
        <v/>
      </c>
      <c r="N254" s="9" t="n"/>
      <c r="O254" s="9" t="n"/>
      <c r="P254" s="9" t="n"/>
      <c r="Q254" s="9" t="n"/>
    </row>
    <row r="255">
      <c r="A255" s="9" t="n"/>
      <c r="B255" s="70" t="n"/>
      <c r="C255" s="9" t="n"/>
      <c r="D255" s="9" t="n"/>
      <c r="E255" s="9" t="n"/>
      <c r="F255" s="9" t="n"/>
      <c r="G255" s="9" t="n"/>
      <c r="H255" s="71" t="n"/>
      <c r="I255" s="9" t="n"/>
      <c r="J255" s="89">
        <f>IF(H255="","",IF(I255="Sí",ROUND(H255*Configuracion!$B$11,0),0))</f>
        <v/>
      </c>
      <c r="K255" s="89">
        <f>IF(H255="","",H255+J255)</f>
        <v/>
      </c>
      <c r="L255" s="13">
        <f>IF(B255="","",YEAR(B255))</f>
        <v/>
      </c>
      <c r="M255" s="13">
        <f>IF(B255="","",MONTH(B255))</f>
        <v/>
      </c>
      <c r="N255" s="9" t="n"/>
      <c r="O255" s="9" t="n"/>
      <c r="P255" s="9" t="n"/>
      <c r="Q255" s="9" t="n"/>
    </row>
    <row r="256">
      <c r="A256" s="9" t="n"/>
      <c r="B256" s="70" t="n"/>
      <c r="C256" s="9" t="n"/>
      <c r="D256" s="9" t="n"/>
      <c r="E256" s="9" t="n"/>
      <c r="F256" s="9" t="n"/>
      <c r="G256" s="9" t="n"/>
      <c r="H256" s="71" t="n"/>
      <c r="I256" s="9" t="n"/>
      <c r="J256" s="89">
        <f>IF(H256="","",IF(I256="Sí",ROUND(H256*Configuracion!$B$11,0),0))</f>
        <v/>
      </c>
      <c r="K256" s="89">
        <f>IF(H256="","",H256+J256)</f>
        <v/>
      </c>
      <c r="L256" s="13">
        <f>IF(B256="","",YEAR(B256))</f>
        <v/>
      </c>
      <c r="M256" s="13">
        <f>IF(B256="","",MONTH(B256))</f>
        <v/>
      </c>
      <c r="N256" s="9" t="n"/>
      <c r="O256" s="9" t="n"/>
      <c r="P256" s="9" t="n"/>
      <c r="Q256" s="9" t="n"/>
    </row>
    <row r="257">
      <c r="A257" s="9" t="n"/>
      <c r="B257" s="70" t="n"/>
      <c r="C257" s="9" t="n"/>
      <c r="D257" s="9" t="n"/>
      <c r="E257" s="9" t="n"/>
      <c r="F257" s="9" t="n"/>
      <c r="G257" s="9" t="n"/>
      <c r="H257" s="71" t="n"/>
      <c r="I257" s="9" t="n"/>
      <c r="J257" s="89">
        <f>IF(H257="","",IF(I257="Sí",ROUND(H257*Configuracion!$B$11,0),0))</f>
        <v/>
      </c>
      <c r="K257" s="89">
        <f>IF(H257="","",H257+J257)</f>
        <v/>
      </c>
      <c r="L257" s="13">
        <f>IF(B257="","",YEAR(B257))</f>
        <v/>
      </c>
      <c r="M257" s="13">
        <f>IF(B257="","",MONTH(B257))</f>
        <v/>
      </c>
      <c r="N257" s="9" t="n"/>
      <c r="O257" s="9" t="n"/>
      <c r="P257" s="9" t="n"/>
      <c r="Q257" s="9" t="n"/>
    </row>
    <row r="258">
      <c r="A258" s="9" t="n"/>
      <c r="B258" s="70" t="n"/>
      <c r="C258" s="9" t="n"/>
      <c r="D258" s="9" t="n"/>
      <c r="E258" s="9" t="n"/>
      <c r="F258" s="9" t="n"/>
      <c r="G258" s="9" t="n"/>
      <c r="H258" s="71" t="n"/>
      <c r="I258" s="9" t="n"/>
      <c r="J258" s="89">
        <f>IF(H258="","",IF(I258="Sí",ROUND(H258*Configuracion!$B$11,0),0))</f>
        <v/>
      </c>
      <c r="K258" s="89">
        <f>IF(H258="","",H258+J258)</f>
        <v/>
      </c>
      <c r="L258" s="13">
        <f>IF(B258="","",YEAR(B258))</f>
        <v/>
      </c>
      <c r="M258" s="13">
        <f>IF(B258="","",MONTH(B258))</f>
        <v/>
      </c>
      <c r="N258" s="9" t="n"/>
      <c r="O258" s="9" t="n"/>
      <c r="P258" s="9" t="n"/>
      <c r="Q258" s="9" t="n"/>
    </row>
    <row r="259">
      <c r="A259" s="9" t="n"/>
      <c r="B259" s="70" t="n"/>
      <c r="C259" s="9" t="n"/>
      <c r="D259" s="9" t="n"/>
      <c r="E259" s="9" t="n"/>
      <c r="F259" s="9" t="n"/>
      <c r="G259" s="9" t="n"/>
      <c r="H259" s="71" t="n"/>
      <c r="I259" s="9" t="n"/>
      <c r="J259" s="89">
        <f>IF(H259="","",IF(I259="Sí",ROUND(H259*Configuracion!$B$11,0),0))</f>
        <v/>
      </c>
      <c r="K259" s="89">
        <f>IF(H259="","",H259+J259)</f>
        <v/>
      </c>
      <c r="L259" s="13">
        <f>IF(B259="","",YEAR(B259))</f>
        <v/>
      </c>
      <c r="M259" s="13">
        <f>IF(B259="","",MONTH(B259))</f>
        <v/>
      </c>
      <c r="N259" s="9" t="n"/>
      <c r="O259" s="9" t="n"/>
      <c r="P259" s="9" t="n"/>
      <c r="Q259" s="9" t="n"/>
    </row>
    <row r="260">
      <c r="A260" s="9" t="n"/>
      <c r="B260" s="70" t="n"/>
      <c r="C260" s="9" t="n"/>
      <c r="D260" s="9" t="n"/>
      <c r="E260" s="9" t="n"/>
      <c r="F260" s="9" t="n"/>
      <c r="G260" s="9" t="n"/>
      <c r="H260" s="71" t="n"/>
      <c r="I260" s="9" t="n"/>
      <c r="J260" s="89">
        <f>IF(H260="","",IF(I260="Sí",ROUND(H260*Configuracion!$B$11,0),0))</f>
        <v/>
      </c>
      <c r="K260" s="89">
        <f>IF(H260="","",H260+J260)</f>
        <v/>
      </c>
      <c r="L260" s="13">
        <f>IF(B260="","",YEAR(B260))</f>
        <v/>
      </c>
      <c r="M260" s="13">
        <f>IF(B260="","",MONTH(B260))</f>
        <v/>
      </c>
      <c r="N260" s="9" t="n"/>
      <c r="O260" s="9" t="n"/>
      <c r="P260" s="9" t="n"/>
      <c r="Q260" s="9" t="n"/>
    </row>
    <row r="261">
      <c r="A261" s="9" t="n"/>
      <c r="B261" s="70" t="n"/>
      <c r="C261" s="9" t="n"/>
      <c r="D261" s="9" t="n"/>
      <c r="E261" s="9" t="n"/>
      <c r="F261" s="9" t="n"/>
      <c r="G261" s="9" t="n"/>
      <c r="H261" s="71" t="n"/>
      <c r="I261" s="9" t="n"/>
      <c r="J261" s="89">
        <f>IF(H261="","",IF(I261="Sí",ROUND(H261*Configuracion!$B$11,0),0))</f>
        <v/>
      </c>
      <c r="K261" s="89">
        <f>IF(H261="","",H261+J261)</f>
        <v/>
      </c>
      <c r="L261" s="13">
        <f>IF(B261="","",YEAR(B261))</f>
        <v/>
      </c>
      <c r="M261" s="13">
        <f>IF(B261="","",MONTH(B261))</f>
        <v/>
      </c>
      <c r="N261" s="9" t="n"/>
      <c r="O261" s="9" t="n"/>
      <c r="P261" s="9" t="n"/>
      <c r="Q261" s="9" t="n"/>
    </row>
    <row r="262">
      <c r="A262" s="9" t="n"/>
      <c r="B262" s="70" t="n"/>
      <c r="C262" s="9" t="n"/>
      <c r="D262" s="9" t="n"/>
      <c r="E262" s="9" t="n"/>
      <c r="F262" s="9" t="n"/>
      <c r="G262" s="9" t="n"/>
      <c r="H262" s="71" t="n"/>
      <c r="I262" s="9" t="n"/>
      <c r="J262" s="89">
        <f>IF(H262="","",IF(I262="Sí",ROUND(H262*Configuracion!$B$11,0),0))</f>
        <v/>
      </c>
      <c r="K262" s="89">
        <f>IF(H262="","",H262+J262)</f>
        <v/>
      </c>
      <c r="L262" s="13">
        <f>IF(B262="","",YEAR(B262))</f>
        <v/>
      </c>
      <c r="M262" s="13">
        <f>IF(B262="","",MONTH(B262))</f>
        <v/>
      </c>
      <c r="N262" s="9" t="n"/>
      <c r="O262" s="9" t="n"/>
      <c r="P262" s="9" t="n"/>
      <c r="Q262" s="9" t="n"/>
    </row>
    <row r="263">
      <c r="A263" s="9" t="n"/>
      <c r="B263" s="70" t="n"/>
      <c r="C263" s="9" t="n"/>
      <c r="D263" s="9" t="n"/>
      <c r="E263" s="9" t="n"/>
      <c r="F263" s="9" t="n"/>
      <c r="G263" s="9" t="n"/>
      <c r="H263" s="71" t="n"/>
      <c r="I263" s="9" t="n"/>
      <c r="J263" s="89">
        <f>IF(H263="","",IF(I263="Sí",ROUND(H263*Configuracion!$B$11,0),0))</f>
        <v/>
      </c>
      <c r="K263" s="89">
        <f>IF(H263="","",H263+J263)</f>
        <v/>
      </c>
      <c r="L263" s="13">
        <f>IF(B263="","",YEAR(B263))</f>
        <v/>
      </c>
      <c r="M263" s="13">
        <f>IF(B263="","",MONTH(B263))</f>
        <v/>
      </c>
      <c r="N263" s="9" t="n"/>
      <c r="O263" s="9" t="n"/>
      <c r="P263" s="9" t="n"/>
      <c r="Q263" s="9" t="n"/>
    </row>
    <row r="264">
      <c r="A264" s="9" t="n"/>
      <c r="B264" s="70" t="n"/>
      <c r="C264" s="9" t="n"/>
      <c r="D264" s="9" t="n"/>
      <c r="E264" s="9" t="n"/>
      <c r="F264" s="9" t="n"/>
      <c r="G264" s="9" t="n"/>
      <c r="H264" s="71" t="n"/>
      <c r="I264" s="9" t="n"/>
      <c r="J264" s="89">
        <f>IF(H264="","",IF(I264="Sí",ROUND(H264*Configuracion!$B$11,0),0))</f>
        <v/>
      </c>
      <c r="K264" s="89">
        <f>IF(H264="","",H264+J264)</f>
        <v/>
      </c>
      <c r="L264" s="13">
        <f>IF(B264="","",YEAR(B264))</f>
        <v/>
      </c>
      <c r="M264" s="13">
        <f>IF(B264="","",MONTH(B264))</f>
        <v/>
      </c>
      <c r="N264" s="9" t="n"/>
      <c r="O264" s="9" t="n"/>
      <c r="P264" s="9" t="n"/>
      <c r="Q264" s="9" t="n"/>
    </row>
    <row r="265">
      <c r="A265" s="9" t="n"/>
      <c r="B265" s="70" t="n"/>
      <c r="C265" s="9" t="n"/>
      <c r="D265" s="9" t="n"/>
      <c r="E265" s="9" t="n"/>
      <c r="F265" s="9" t="n"/>
      <c r="G265" s="9" t="n"/>
      <c r="H265" s="71" t="n"/>
      <c r="I265" s="9" t="n"/>
      <c r="J265" s="89">
        <f>IF(H265="","",IF(I265="Sí",ROUND(H265*Configuracion!$B$11,0),0))</f>
        <v/>
      </c>
      <c r="K265" s="89">
        <f>IF(H265="","",H265+J265)</f>
        <v/>
      </c>
      <c r="L265" s="13">
        <f>IF(B265="","",YEAR(B265))</f>
        <v/>
      </c>
      <c r="M265" s="13">
        <f>IF(B265="","",MONTH(B265))</f>
        <v/>
      </c>
      <c r="N265" s="9" t="n"/>
      <c r="O265" s="9" t="n"/>
      <c r="P265" s="9" t="n"/>
      <c r="Q265" s="9" t="n"/>
    </row>
    <row r="266">
      <c r="A266" s="9" t="n"/>
      <c r="B266" s="70" t="n"/>
      <c r="C266" s="9" t="n"/>
      <c r="D266" s="9" t="n"/>
      <c r="E266" s="9" t="n"/>
      <c r="F266" s="9" t="n"/>
      <c r="G266" s="9" t="n"/>
      <c r="H266" s="71" t="n"/>
      <c r="I266" s="9" t="n"/>
      <c r="J266" s="89">
        <f>IF(H266="","",IF(I266="Sí",ROUND(H266*Configuracion!$B$11,0),0))</f>
        <v/>
      </c>
      <c r="K266" s="89">
        <f>IF(H266="","",H266+J266)</f>
        <v/>
      </c>
      <c r="L266" s="13">
        <f>IF(B266="","",YEAR(B266))</f>
        <v/>
      </c>
      <c r="M266" s="13">
        <f>IF(B266="","",MONTH(B266))</f>
        <v/>
      </c>
      <c r="N266" s="9" t="n"/>
      <c r="O266" s="9" t="n"/>
      <c r="P266" s="9" t="n"/>
      <c r="Q266" s="9" t="n"/>
    </row>
    <row r="267">
      <c r="A267" s="9" t="n"/>
      <c r="B267" s="70" t="n"/>
      <c r="C267" s="9" t="n"/>
      <c r="D267" s="9" t="n"/>
      <c r="E267" s="9" t="n"/>
      <c r="F267" s="9" t="n"/>
      <c r="G267" s="9" t="n"/>
      <c r="H267" s="71" t="n"/>
      <c r="I267" s="9" t="n"/>
      <c r="J267" s="89">
        <f>IF(H267="","",IF(I267="Sí",ROUND(H267*Configuracion!$B$11,0),0))</f>
        <v/>
      </c>
      <c r="K267" s="89">
        <f>IF(H267="","",H267+J267)</f>
        <v/>
      </c>
      <c r="L267" s="13">
        <f>IF(B267="","",YEAR(B267))</f>
        <v/>
      </c>
      <c r="M267" s="13">
        <f>IF(B267="","",MONTH(B267))</f>
        <v/>
      </c>
      <c r="N267" s="9" t="n"/>
      <c r="O267" s="9" t="n"/>
      <c r="P267" s="9" t="n"/>
      <c r="Q267" s="9" t="n"/>
    </row>
    <row r="268">
      <c r="A268" s="9" t="n"/>
      <c r="B268" s="70" t="n"/>
      <c r="C268" s="9" t="n"/>
      <c r="D268" s="9" t="n"/>
      <c r="E268" s="9" t="n"/>
      <c r="F268" s="9" t="n"/>
      <c r="G268" s="9" t="n"/>
      <c r="H268" s="71" t="n"/>
      <c r="I268" s="9" t="n"/>
      <c r="J268" s="89">
        <f>IF(H268="","",IF(I268="Sí",ROUND(H268*Configuracion!$B$11,0),0))</f>
        <v/>
      </c>
      <c r="K268" s="89">
        <f>IF(H268="","",H268+J268)</f>
        <v/>
      </c>
      <c r="L268" s="13">
        <f>IF(B268="","",YEAR(B268))</f>
        <v/>
      </c>
      <c r="M268" s="13">
        <f>IF(B268="","",MONTH(B268))</f>
        <v/>
      </c>
      <c r="N268" s="9" t="n"/>
      <c r="O268" s="9" t="n"/>
      <c r="P268" s="9" t="n"/>
      <c r="Q268" s="9" t="n"/>
    </row>
    <row r="269">
      <c r="A269" s="9" t="n"/>
      <c r="B269" s="70" t="n"/>
      <c r="C269" s="9" t="n"/>
      <c r="D269" s="9" t="n"/>
      <c r="E269" s="9" t="n"/>
      <c r="F269" s="9" t="n"/>
      <c r="G269" s="9" t="n"/>
      <c r="H269" s="71" t="n"/>
      <c r="I269" s="9" t="n"/>
      <c r="J269" s="89">
        <f>IF(H269="","",IF(I269="Sí",ROUND(H269*Configuracion!$B$11,0),0))</f>
        <v/>
      </c>
      <c r="K269" s="89">
        <f>IF(H269="","",H269+J269)</f>
        <v/>
      </c>
      <c r="L269" s="13">
        <f>IF(B269="","",YEAR(B269))</f>
        <v/>
      </c>
      <c r="M269" s="13">
        <f>IF(B269="","",MONTH(B269))</f>
        <v/>
      </c>
      <c r="N269" s="9" t="n"/>
      <c r="O269" s="9" t="n"/>
      <c r="P269" s="9" t="n"/>
      <c r="Q269" s="9" t="n"/>
    </row>
    <row r="270">
      <c r="A270" s="9" t="n"/>
      <c r="B270" s="70" t="n"/>
      <c r="C270" s="9" t="n"/>
      <c r="D270" s="9" t="n"/>
      <c r="E270" s="9" t="n"/>
      <c r="F270" s="9" t="n"/>
      <c r="G270" s="9" t="n"/>
      <c r="H270" s="71" t="n"/>
      <c r="I270" s="9" t="n"/>
      <c r="J270" s="89">
        <f>IF(H270="","",IF(I270="Sí",ROUND(H270*Configuracion!$B$11,0),0))</f>
        <v/>
      </c>
      <c r="K270" s="89">
        <f>IF(H270="","",H270+J270)</f>
        <v/>
      </c>
      <c r="L270" s="13">
        <f>IF(B270="","",YEAR(B270))</f>
        <v/>
      </c>
      <c r="M270" s="13">
        <f>IF(B270="","",MONTH(B270))</f>
        <v/>
      </c>
      <c r="N270" s="9" t="n"/>
      <c r="O270" s="9" t="n"/>
      <c r="P270" s="9" t="n"/>
      <c r="Q270" s="9" t="n"/>
    </row>
    <row r="271">
      <c r="A271" s="9" t="n"/>
      <c r="B271" s="70" t="n"/>
      <c r="C271" s="9" t="n"/>
      <c r="D271" s="9" t="n"/>
      <c r="E271" s="9" t="n"/>
      <c r="F271" s="9" t="n"/>
      <c r="G271" s="9" t="n"/>
      <c r="H271" s="71" t="n"/>
      <c r="I271" s="9" t="n"/>
      <c r="J271" s="89">
        <f>IF(H271="","",IF(I271="Sí",ROUND(H271*Configuracion!$B$11,0),0))</f>
        <v/>
      </c>
      <c r="K271" s="89">
        <f>IF(H271="","",H271+J271)</f>
        <v/>
      </c>
      <c r="L271" s="13">
        <f>IF(B271="","",YEAR(B271))</f>
        <v/>
      </c>
      <c r="M271" s="13">
        <f>IF(B271="","",MONTH(B271))</f>
        <v/>
      </c>
      <c r="N271" s="9" t="n"/>
      <c r="O271" s="9" t="n"/>
      <c r="P271" s="9" t="n"/>
      <c r="Q271" s="9" t="n"/>
    </row>
    <row r="272">
      <c r="A272" s="9" t="n"/>
      <c r="B272" s="70" t="n"/>
      <c r="C272" s="9" t="n"/>
      <c r="D272" s="9" t="n"/>
      <c r="E272" s="9" t="n"/>
      <c r="F272" s="9" t="n"/>
      <c r="G272" s="9" t="n"/>
      <c r="H272" s="71" t="n"/>
      <c r="I272" s="9" t="n"/>
      <c r="J272" s="89">
        <f>IF(H272="","",IF(I272="Sí",ROUND(H272*Configuracion!$B$11,0),0))</f>
        <v/>
      </c>
      <c r="K272" s="89">
        <f>IF(H272="","",H272+J272)</f>
        <v/>
      </c>
      <c r="L272" s="13">
        <f>IF(B272="","",YEAR(B272))</f>
        <v/>
      </c>
      <c r="M272" s="13">
        <f>IF(B272="","",MONTH(B272))</f>
        <v/>
      </c>
      <c r="N272" s="9" t="n"/>
      <c r="O272" s="9" t="n"/>
      <c r="P272" s="9" t="n"/>
      <c r="Q272" s="9" t="n"/>
    </row>
    <row r="273">
      <c r="A273" s="9" t="n"/>
      <c r="B273" s="70" t="n"/>
      <c r="C273" s="9" t="n"/>
      <c r="D273" s="9" t="n"/>
      <c r="E273" s="9" t="n"/>
      <c r="F273" s="9" t="n"/>
      <c r="G273" s="9" t="n"/>
      <c r="H273" s="71" t="n"/>
      <c r="I273" s="9" t="n"/>
      <c r="J273" s="89">
        <f>IF(H273="","",IF(I273="Sí",ROUND(H273*Configuracion!$B$11,0),0))</f>
        <v/>
      </c>
      <c r="K273" s="89">
        <f>IF(H273="","",H273+J273)</f>
        <v/>
      </c>
      <c r="L273" s="13">
        <f>IF(B273="","",YEAR(B273))</f>
        <v/>
      </c>
      <c r="M273" s="13">
        <f>IF(B273="","",MONTH(B273))</f>
        <v/>
      </c>
      <c r="N273" s="9" t="n"/>
      <c r="O273" s="9" t="n"/>
      <c r="P273" s="9" t="n"/>
      <c r="Q273" s="9" t="n"/>
    </row>
    <row r="274">
      <c r="A274" s="9" t="n"/>
      <c r="B274" s="70" t="n"/>
      <c r="C274" s="9" t="n"/>
      <c r="D274" s="9" t="n"/>
      <c r="E274" s="9" t="n"/>
      <c r="F274" s="9" t="n"/>
      <c r="G274" s="9" t="n"/>
      <c r="H274" s="71" t="n"/>
      <c r="I274" s="9" t="n"/>
      <c r="J274" s="89">
        <f>IF(H274="","",IF(I274="Sí",ROUND(H274*Configuracion!$B$11,0),0))</f>
        <v/>
      </c>
      <c r="K274" s="89">
        <f>IF(H274="","",H274+J274)</f>
        <v/>
      </c>
      <c r="L274" s="13">
        <f>IF(B274="","",YEAR(B274))</f>
        <v/>
      </c>
      <c r="M274" s="13">
        <f>IF(B274="","",MONTH(B274))</f>
        <v/>
      </c>
      <c r="N274" s="9" t="n"/>
      <c r="O274" s="9" t="n"/>
      <c r="P274" s="9" t="n"/>
      <c r="Q274" s="9" t="n"/>
    </row>
    <row r="275">
      <c r="A275" s="9" t="n"/>
      <c r="B275" s="70" t="n"/>
      <c r="C275" s="9" t="n"/>
      <c r="D275" s="9" t="n"/>
      <c r="E275" s="9" t="n"/>
      <c r="F275" s="9" t="n"/>
      <c r="G275" s="9" t="n"/>
      <c r="H275" s="71" t="n"/>
      <c r="I275" s="9" t="n"/>
      <c r="J275" s="89">
        <f>IF(H275="","",IF(I275="Sí",ROUND(H275*Configuracion!$B$11,0),0))</f>
        <v/>
      </c>
      <c r="K275" s="89">
        <f>IF(H275="","",H275+J275)</f>
        <v/>
      </c>
      <c r="L275" s="13">
        <f>IF(B275="","",YEAR(B275))</f>
        <v/>
      </c>
      <c r="M275" s="13">
        <f>IF(B275="","",MONTH(B275))</f>
        <v/>
      </c>
      <c r="N275" s="9" t="n"/>
      <c r="O275" s="9" t="n"/>
      <c r="P275" s="9" t="n"/>
      <c r="Q275" s="9" t="n"/>
    </row>
    <row r="276">
      <c r="A276" s="9" t="n"/>
      <c r="B276" s="70" t="n"/>
      <c r="C276" s="9" t="n"/>
      <c r="D276" s="9" t="n"/>
      <c r="E276" s="9" t="n"/>
      <c r="F276" s="9" t="n"/>
      <c r="G276" s="9" t="n"/>
      <c r="H276" s="71" t="n"/>
      <c r="I276" s="9" t="n"/>
      <c r="J276" s="89">
        <f>IF(H276="","",IF(I276="Sí",ROUND(H276*Configuracion!$B$11,0),0))</f>
        <v/>
      </c>
      <c r="K276" s="89">
        <f>IF(H276="","",H276+J276)</f>
        <v/>
      </c>
      <c r="L276" s="13">
        <f>IF(B276="","",YEAR(B276))</f>
        <v/>
      </c>
      <c r="M276" s="13">
        <f>IF(B276="","",MONTH(B276))</f>
        <v/>
      </c>
      <c r="N276" s="9" t="n"/>
      <c r="O276" s="9" t="n"/>
      <c r="P276" s="9" t="n"/>
      <c r="Q276" s="9" t="n"/>
    </row>
    <row r="277">
      <c r="A277" s="9" t="n"/>
      <c r="B277" s="70" t="n"/>
      <c r="C277" s="9" t="n"/>
      <c r="D277" s="9" t="n"/>
      <c r="E277" s="9" t="n"/>
      <c r="F277" s="9" t="n"/>
      <c r="G277" s="9" t="n"/>
      <c r="H277" s="71" t="n"/>
      <c r="I277" s="9" t="n"/>
      <c r="J277" s="89">
        <f>IF(H277="","",IF(I277="Sí",ROUND(H277*Configuracion!$B$11,0),0))</f>
        <v/>
      </c>
      <c r="K277" s="89">
        <f>IF(H277="","",H277+J277)</f>
        <v/>
      </c>
      <c r="L277" s="13">
        <f>IF(B277="","",YEAR(B277))</f>
        <v/>
      </c>
      <c r="M277" s="13">
        <f>IF(B277="","",MONTH(B277))</f>
        <v/>
      </c>
      <c r="N277" s="9" t="n"/>
      <c r="O277" s="9" t="n"/>
      <c r="P277" s="9" t="n"/>
      <c r="Q277" s="9" t="n"/>
    </row>
    <row r="278">
      <c r="A278" s="9" t="n"/>
      <c r="B278" s="70" t="n"/>
      <c r="C278" s="9" t="n"/>
      <c r="D278" s="9" t="n"/>
      <c r="E278" s="9" t="n"/>
      <c r="F278" s="9" t="n"/>
      <c r="G278" s="9" t="n"/>
      <c r="H278" s="71" t="n"/>
      <c r="I278" s="9" t="n"/>
      <c r="J278" s="89">
        <f>IF(H278="","",IF(I278="Sí",ROUND(H278*Configuracion!$B$11,0),0))</f>
        <v/>
      </c>
      <c r="K278" s="89">
        <f>IF(H278="","",H278+J278)</f>
        <v/>
      </c>
      <c r="L278" s="13">
        <f>IF(B278="","",YEAR(B278))</f>
        <v/>
      </c>
      <c r="M278" s="13">
        <f>IF(B278="","",MONTH(B278))</f>
        <v/>
      </c>
      <c r="N278" s="9" t="n"/>
      <c r="O278" s="9" t="n"/>
      <c r="P278" s="9" t="n"/>
      <c r="Q278" s="9" t="n"/>
    </row>
    <row r="279">
      <c r="A279" s="9" t="n"/>
      <c r="B279" s="70" t="n"/>
      <c r="C279" s="9" t="n"/>
      <c r="D279" s="9" t="n"/>
      <c r="E279" s="9" t="n"/>
      <c r="F279" s="9" t="n"/>
      <c r="G279" s="9" t="n"/>
      <c r="H279" s="71" t="n"/>
      <c r="I279" s="9" t="n"/>
      <c r="J279" s="89">
        <f>IF(H279="","",IF(I279="Sí",ROUND(H279*Configuracion!$B$11,0),0))</f>
        <v/>
      </c>
      <c r="K279" s="89">
        <f>IF(H279="","",H279+J279)</f>
        <v/>
      </c>
      <c r="L279" s="13">
        <f>IF(B279="","",YEAR(B279))</f>
        <v/>
      </c>
      <c r="M279" s="13">
        <f>IF(B279="","",MONTH(B279))</f>
        <v/>
      </c>
      <c r="N279" s="9" t="n"/>
      <c r="O279" s="9" t="n"/>
      <c r="P279" s="9" t="n"/>
      <c r="Q279" s="9" t="n"/>
    </row>
    <row r="280">
      <c r="A280" s="9" t="n"/>
      <c r="B280" s="70" t="n"/>
      <c r="C280" s="9" t="n"/>
      <c r="D280" s="9" t="n"/>
      <c r="E280" s="9" t="n"/>
      <c r="F280" s="9" t="n"/>
      <c r="G280" s="9" t="n"/>
      <c r="H280" s="71" t="n"/>
      <c r="I280" s="9" t="n"/>
      <c r="J280" s="89">
        <f>IF(H280="","",IF(I280="Sí",ROUND(H280*Configuracion!$B$11,0),0))</f>
        <v/>
      </c>
      <c r="K280" s="89">
        <f>IF(H280="","",H280+J280)</f>
        <v/>
      </c>
      <c r="L280" s="13">
        <f>IF(B280="","",YEAR(B280))</f>
        <v/>
      </c>
      <c r="M280" s="13">
        <f>IF(B280="","",MONTH(B280))</f>
        <v/>
      </c>
      <c r="N280" s="9" t="n"/>
      <c r="O280" s="9" t="n"/>
      <c r="P280" s="9" t="n"/>
      <c r="Q280" s="9" t="n"/>
    </row>
    <row r="281">
      <c r="A281" s="9" t="n"/>
      <c r="B281" s="70" t="n"/>
      <c r="C281" s="9" t="n"/>
      <c r="D281" s="9" t="n"/>
      <c r="E281" s="9" t="n"/>
      <c r="F281" s="9" t="n"/>
      <c r="G281" s="9" t="n"/>
      <c r="H281" s="71" t="n"/>
      <c r="I281" s="9" t="n"/>
      <c r="J281" s="89">
        <f>IF(H281="","",IF(I281="Sí",ROUND(H281*Configuracion!$B$11,0),0))</f>
        <v/>
      </c>
      <c r="K281" s="89">
        <f>IF(H281="","",H281+J281)</f>
        <v/>
      </c>
      <c r="L281" s="13">
        <f>IF(B281="","",YEAR(B281))</f>
        <v/>
      </c>
      <c r="M281" s="13">
        <f>IF(B281="","",MONTH(B281))</f>
        <v/>
      </c>
      <c r="N281" s="9" t="n"/>
      <c r="O281" s="9" t="n"/>
      <c r="P281" s="9" t="n"/>
      <c r="Q281" s="9" t="n"/>
    </row>
    <row r="282">
      <c r="A282" s="9" t="n"/>
      <c r="B282" s="70" t="n"/>
      <c r="C282" s="9" t="n"/>
      <c r="D282" s="9" t="n"/>
      <c r="E282" s="9" t="n"/>
      <c r="F282" s="9" t="n"/>
      <c r="G282" s="9" t="n"/>
      <c r="H282" s="71" t="n"/>
      <c r="I282" s="9" t="n"/>
      <c r="J282" s="89">
        <f>IF(H282="","",IF(I282="Sí",ROUND(H282*Configuracion!$B$11,0),0))</f>
        <v/>
      </c>
      <c r="K282" s="89">
        <f>IF(H282="","",H282+J282)</f>
        <v/>
      </c>
      <c r="L282" s="13">
        <f>IF(B282="","",YEAR(B282))</f>
        <v/>
      </c>
      <c r="M282" s="13">
        <f>IF(B282="","",MONTH(B282))</f>
        <v/>
      </c>
      <c r="N282" s="9" t="n"/>
      <c r="O282" s="9" t="n"/>
      <c r="P282" s="9" t="n"/>
      <c r="Q282" s="9" t="n"/>
    </row>
    <row r="283">
      <c r="A283" s="9" t="n"/>
      <c r="B283" s="70" t="n"/>
      <c r="C283" s="9" t="n"/>
      <c r="D283" s="9" t="n"/>
      <c r="E283" s="9" t="n"/>
      <c r="F283" s="9" t="n"/>
      <c r="G283" s="9" t="n"/>
      <c r="H283" s="71" t="n"/>
      <c r="I283" s="9" t="n"/>
      <c r="J283" s="89">
        <f>IF(H283="","",IF(I283="Sí",ROUND(H283*Configuracion!$B$11,0),0))</f>
        <v/>
      </c>
      <c r="K283" s="89">
        <f>IF(H283="","",H283+J283)</f>
        <v/>
      </c>
      <c r="L283" s="13">
        <f>IF(B283="","",YEAR(B283))</f>
        <v/>
      </c>
      <c r="M283" s="13">
        <f>IF(B283="","",MONTH(B283))</f>
        <v/>
      </c>
      <c r="N283" s="9" t="n"/>
      <c r="O283" s="9" t="n"/>
      <c r="P283" s="9" t="n"/>
      <c r="Q283" s="9" t="n"/>
    </row>
    <row r="284">
      <c r="A284" s="9" t="n"/>
      <c r="B284" s="70" t="n"/>
      <c r="C284" s="9" t="n"/>
      <c r="D284" s="9" t="n"/>
      <c r="E284" s="9" t="n"/>
      <c r="F284" s="9" t="n"/>
      <c r="G284" s="9" t="n"/>
      <c r="H284" s="71" t="n"/>
      <c r="I284" s="9" t="n"/>
      <c r="J284" s="89">
        <f>IF(H284="","",IF(I284="Sí",ROUND(H284*Configuracion!$B$11,0),0))</f>
        <v/>
      </c>
      <c r="K284" s="89">
        <f>IF(H284="","",H284+J284)</f>
        <v/>
      </c>
      <c r="L284" s="13">
        <f>IF(B284="","",YEAR(B284))</f>
        <v/>
      </c>
      <c r="M284" s="13">
        <f>IF(B284="","",MONTH(B284))</f>
        <v/>
      </c>
      <c r="N284" s="9" t="n"/>
      <c r="O284" s="9" t="n"/>
      <c r="P284" s="9" t="n"/>
      <c r="Q284" s="9" t="n"/>
    </row>
    <row r="285">
      <c r="A285" s="9" t="n"/>
      <c r="B285" s="70" t="n"/>
      <c r="C285" s="9" t="n"/>
      <c r="D285" s="9" t="n"/>
      <c r="E285" s="9" t="n"/>
      <c r="F285" s="9" t="n"/>
      <c r="G285" s="9" t="n"/>
      <c r="H285" s="71" t="n"/>
      <c r="I285" s="9" t="n"/>
      <c r="J285" s="89">
        <f>IF(H285="","",IF(I285="Sí",ROUND(H285*Configuracion!$B$11,0),0))</f>
        <v/>
      </c>
      <c r="K285" s="89">
        <f>IF(H285="","",H285+J285)</f>
        <v/>
      </c>
      <c r="L285" s="13">
        <f>IF(B285="","",YEAR(B285))</f>
        <v/>
      </c>
      <c r="M285" s="13">
        <f>IF(B285="","",MONTH(B285))</f>
        <v/>
      </c>
      <c r="N285" s="9" t="n"/>
      <c r="O285" s="9" t="n"/>
      <c r="P285" s="9" t="n"/>
      <c r="Q285" s="9" t="n"/>
    </row>
    <row r="286">
      <c r="A286" s="9" t="n"/>
      <c r="B286" s="70" t="n"/>
      <c r="C286" s="9" t="n"/>
      <c r="D286" s="9" t="n"/>
      <c r="E286" s="9" t="n"/>
      <c r="F286" s="9" t="n"/>
      <c r="G286" s="9" t="n"/>
      <c r="H286" s="71" t="n"/>
      <c r="I286" s="9" t="n"/>
      <c r="J286" s="89">
        <f>IF(H286="","",IF(I286="Sí",ROUND(H286*Configuracion!$B$11,0),0))</f>
        <v/>
      </c>
      <c r="K286" s="89">
        <f>IF(H286="","",H286+J286)</f>
        <v/>
      </c>
      <c r="L286" s="13">
        <f>IF(B286="","",YEAR(B286))</f>
        <v/>
      </c>
      <c r="M286" s="13">
        <f>IF(B286="","",MONTH(B286))</f>
        <v/>
      </c>
      <c r="N286" s="9" t="n"/>
      <c r="O286" s="9" t="n"/>
      <c r="P286" s="9" t="n"/>
      <c r="Q286" s="9" t="n"/>
    </row>
    <row r="287">
      <c r="A287" s="9" t="n"/>
      <c r="B287" s="70" t="n"/>
      <c r="C287" s="9" t="n"/>
      <c r="D287" s="9" t="n"/>
      <c r="E287" s="9" t="n"/>
      <c r="F287" s="9" t="n"/>
      <c r="G287" s="9" t="n"/>
      <c r="H287" s="71" t="n"/>
      <c r="I287" s="9" t="n"/>
      <c r="J287" s="89">
        <f>IF(H287="","",IF(I287="Sí",ROUND(H287*Configuracion!$B$11,0),0))</f>
        <v/>
      </c>
      <c r="K287" s="89">
        <f>IF(H287="","",H287+J287)</f>
        <v/>
      </c>
      <c r="L287" s="13">
        <f>IF(B287="","",YEAR(B287))</f>
        <v/>
      </c>
      <c r="M287" s="13">
        <f>IF(B287="","",MONTH(B287))</f>
        <v/>
      </c>
      <c r="N287" s="9" t="n"/>
      <c r="O287" s="9" t="n"/>
      <c r="P287" s="9" t="n"/>
      <c r="Q287" s="9" t="n"/>
    </row>
    <row r="288">
      <c r="A288" s="9" t="n"/>
      <c r="B288" s="70" t="n"/>
      <c r="C288" s="9" t="n"/>
      <c r="D288" s="9" t="n"/>
      <c r="E288" s="9" t="n"/>
      <c r="F288" s="9" t="n"/>
      <c r="G288" s="9" t="n"/>
      <c r="H288" s="71" t="n"/>
      <c r="I288" s="9" t="n"/>
      <c r="J288" s="89">
        <f>IF(H288="","",IF(I288="Sí",ROUND(H288*Configuracion!$B$11,0),0))</f>
        <v/>
      </c>
      <c r="K288" s="89">
        <f>IF(H288="","",H288+J288)</f>
        <v/>
      </c>
      <c r="L288" s="13">
        <f>IF(B288="","",YEAR(B288))</f>
        <v/>
      </c>
      <c r="M288" s="13">
        <f>IF(B288="","",MONTH(B288))</f>
        <v/>
      </c>
      <c r="N288" s="9" t="n"/>
      <c r="O288" s="9" t="n"/>
      <c r="P288" s="9" t="n"/>
      <c r="Q288" s="9" t="n"/>
    </row>
    <row r="289">
      <c r="A289" s="9" t="n"/>
      <c r="B289" s="70" t="n"/>
      <c r="C289" s="9" t="n"/>
      <c r="D289" s="9" t="n"/>
      <c r="E289" s="9" t="n"/>
      <c r="F289" s="9" t="n"/>
      <c r="G289" s="9" t="n"/>
      <c r="H289" s="71" t="n"/>
      <c r="I289" s="9" t="n"/>
      <c r="J289" s="89">
        <f>IF(H289="","",IF(I289="Sí",ROUND(H289*Configuracion!$B$11,0),0))</f>
        <v/>
      </c>
      <c r="K289" s="89">
        <f>IF(H289="","",H289+J289)</f>
        <v/>
      </c>
      <c r="L289" s="13">
        <f>IF(B289="","",YEAR(B289))</f>
        <v/>
      </c>
      <c r="M289" s="13">
        <f>IF(B289="","",MONTH(B289))</f>
        <v/>
      </c>
      <c r="N289" s="9" t="n"/>
      <c r="O289" s="9" t="n"/>
      <c r="P289" s="9" t="n"/>
      <c r="Q289" s="9" t="n"/>
    </row>
    <row r="290">
      <c r="A290" s="9" t="n"/>
      <c r="B290" s="70" t="n"/>
      <c r="C290" s="9" t="n"/>
      <c r="D290" s="9" t="n"/>
      <c r="E290" s="9" t="n"/>
      <c r="F290" s="9" t="n"/>
      <c r="G290" s="9" t="n"/>
      <c r="H290" s="71" t="n"/>
      <c r="I290" s="9" t="n"/>
      <c r="J290" s="89">
        <f>IF(H290="","",IF(I290="Sí",ROUND(H290*Configuracion!$B$11,0),0))</f>
        <v/>
      </c>
      <c r="K290" s="89">
        <f>IF(H290="","",H290+J290)</f>
        <v/>
      </c>
      <c r="L290" s="13">
        <f>IF(B290="","",YEAR(B290))</f>
        <v/>
      </c>
      <c r="M290" s="13">
        <f>IF(B290="","",MONTH(B290))</f>
        <v/>
      </c>
      <c r="N290" s="9" t="n"/>
      <c r="O290" s="9" t="n"/>
      <c r="P290" s="9" t="n"/>
      <c r="Q290" s="9" t="n"/>
    </row>
    <row r="291">
      <c r="A291" s="9" t="n"/>
      <c r="B291" s="70" t="n"/>
      <c r="C291" s="9" t="n"/>
      <c r="D291" s="9" t="n"/>
      <c r="E291" s="9" t="n"/>
      <c r="F291" s="9" t="n"/>
      <c r="G291" s="9" t="n"/>
      <c r="H291" s="71" t="n"/>
      <c r="I291" s="9" t="n"/>
      <c r="J291" s="89">
        <f>IF(H291="","",IF(I291="Sí",ROUND(H291*Configuracion!$B$11,0),0))</f>
        <v/>
      </c>
      <c r="K291" s="89">
        <f>IF(H291="","",H291+J291)</f>
        <v/>
      </c>
      <c r="L291" s="13">
        <f>IF(B291="","",YEAR(B291))</f>
        <v/>
      </c>
      <c r="M291" s="13">
        <f>IF(B291="","",MONTH(B291))</f>
        <v/>
      </c>
      <c r="N291" s="9" t="n"/>
      <c r="O291" s="9" t="n"/>
      <c r="P291" s="9" t="n"/>
      <c r="Q291" s="9" t="n"/>
    </row>
    <row r="292">
      <c r="A292" s="9" t="n"/>
      <c r="B292" s="70" t="n"/>
      <c r="C292" s="9" t="n"/>
      <c r="D292" s="9" t="n"/>
      <c r="E292" s="9" t="n"/>
      <c r="F292" s="9" t="n"/>
      <c r="G292" s="9" t="n"/>
      <c r="H292" s="71" t="n"/>
      <c r="I292" s="9" t="n"/>
      <c r="J292" s="89">
        <f>IF(H292="","",IF(I292="Sí",ROUND(H292*Configuracion!$B$11,0),0))</f>
        <v/>
      </c>
      <c r="K292" s="89">
        <f>IF(H292="","",H292+J292)</f>
        <v/>
      </c>
      <c r="L292" s="13">
        <f>IF(B292="","",YEAR(B292))</f>
        <v/>
      </c>
      <c r="M292" s="13">
        <f>IF(B292="","",MONTH(B292))</f>
        <v/>
      </c>
      <c r="N292" s="9" t="n"/>
      <c r="O292" s="9" t="n"/>
      <c r="P292" s="9" t="n"/>
      <c r="Q292" s="9" t="n"/>
    </row>
    <row r="293">
      <c r="A293" s="9" t="n"/>
      <c r="B293" s="70" t="n"/>
      <c r="C293" s="9" t="n"/>
      <c r="D293" s="9" t="n"/>
      <c r="E293" s="9" t="n"/>
      <c r="F293" s="9" t="n"/>
      <c r="G293" s="9" t="n"/>
      <c r="H293" s="71" t="n"/>
      <c r="I293" s="9" t="n"/>
      <c r="J293" s="89">
        <f>IF(H293="","",IF(I293="Sí",ROUND(H293*Configuracion!$B$11,0),0))</f>
        <v/>
      </c>
      <c r="K293" s="89">
        <f>IF(H293="","",H293+J293)</f>
        <v/>
      </c>
      <c r="L293" s="13">
        <f>IF(B293="","",YEAR(B293))</f>
        <v/>
      </c>
      <c r="M293" s="13">
        <f>IF(B293="","",MONTH(B293))</f>
        <v/>
      </c>
      <c r="N293" s="9" t="n"/>
      <c r="O293" s="9" t="n"/>
      <c r="P293" s="9" t="n"/>
      <c r="Q293" s="9" t="n"/>
    </row>
    <row r="294">
      <c r="A294" s="9" t="n"/>
      <c r="B294" s="70" t="n"/>
      <c r="C294" s="9" t="n"/>
      <c r="D294" s="9" t="n"/>
      <c r="E294" s="9" t="n"/>
      <c r="F294" s="9" t="n"/>
      <c r="G294" s="9" t="n"/>
      <c r="H294" s="71" t="n"/>
      <c r="I294" s="9" t="n"/>
      <c r="J294" s="89">
        <f>IF(H294="","",IF(I294="Sí",ROUND(H294*Configuracion!$B$11,0),0))</f>
        <v/>
      </c>
      <c r="K294" s="89">
        <f>IF(H294="","",H294+J294)</f>
        <v/>
      </c>
      <c r="L294" s="13">
        <f>IF(B294="","",YEAR(B294))</f>
        <v/>
      </c>
      <c r="M294" s="13">
        <f>IF(B294="","",MONTH(B294))</f>
        <v/>
      </c>
      <c r="N294" s="9" t="n"/>
      <c r="O294" s="9" t="n"/>
      <c r="P294" s="9" t="n"/>
      <c r="Q294" s="9" t="n"/>
    </row>
    <row r="295">
      <c r="A295" s="9" t="n"/>
      <c r="B295" s="70" t="n"/>
      <c r="C295" s="9" t="n"/>
      <c r="D295" s="9" t="n"/>
      <c r="E295" s="9" t="n"/>
      <c r="F295" s="9" t="n"/>
      <c r="G295" s="9" t="n"/>
      <c r="H295" s="71" t="n"/>
      <c r="I295" s="9" t="n"/>
      <c r="J295" s="89">
        <f>IF(H295="","",IF(I295="Sí",ROUND(H295*Configuracion!$B$11,0),0))</f>
        <v/>
      </c>
      <c r="K295" s="89">
        <f>IF(H295="","",H295+J295)</f>
        <v/>
      </c>
      <c r="L295" s="13">
        <f>IF(B295="","",YEAR(B295))</f>
        <v/>
      </c>
      <c r="M295" s="13">
        <f>IF(B295="","",MONTH(B295))</f>
        <v/>
      </c>
      <c r="N295" s="9" t="n"/>
      <c r="O295" s="9" t="n"/>
      <c r="P295" s="9" t="n"/>
      <c r="Q295" s="9" t="n"/>
    </row>
    <row r="296">
      <c r="A296" s="9" t="n"/>
      <c r="B296" s="70" t="n"/>
      <c r="C296" s="9" t="n"/>
      <c r="D296" s="9" t="n"/>
      <c r="E296" s="9" t="n"/>
      <c r="F296" s="9" t="n"/>
      <c r="G296" s="9" t="n"/>
      <c r="H296" s="71" t="n"/>
      <c r="I296" s="9" t="n"/>
      <c r="J296" s="89">
        <f>IF(H296="","",IF(I296="Sí",ROUND(H296*Configuracion!$B$11,0),0))</f>
        <v/>
      </c>
      <c r="K296" s="89">
        <f>IF(H296="","",H296+J296)</f>
        <v/>
      </c>
      <c r="L296" s="13">
        <f>IF(B296="","",YEAR(B296))</f>
        <v/>
      </c>
      <c r="M296" s="13">
        <f>IF(B296="","",MONTH(B296))</f>
        <v/>
      </c>
      <c r="N296" s="9" t="n"/>
      <c r="O296" s="9" t="n"/>
      <c r="P296" s="9" t="n"/>
      <c r="Q296" s="9" t="n"/>
    </row>
    <row r="297">
      <c r="A297" s="9" t="n"/>
      <c r="B297" s="70" t="n"/>
      <c r="C297" s="9" t="n"/>
      <c r="D297" s="9" t="n"/>
      <c r="E297" s="9" t="n"/>
      <c r="F297" s="9" t="n"/>
      <c r="G297" s="9" t="n"/>
      <c r="H297" s="71" t="n"/>
      <c r="I297" s="9" t="n"/>
      <c r="J297" s="89">
        <f>IF(H297="","",IF(I297="Sí",ROUND(H297*Configuracion!$B$11,0),0))</f>
        <v/>
      </c>
      <c r="K297" s="89">
        <f>IF(H297="","",H297+J297)</f>
        <v/>
      </c>
      <c r="L297" s="13">
        <f>IF(B297="","",YEAR(B297))</f>
        <v/>
      </c>
      <c r="M297" s="13">
        <f>IF(B297="","",MONTH(B297))</f>
        <v/>
      </c>
      <c r="N297" s="9" t="n"/>
      <c r="O297" s="9" t="n"/>
      <c r="P297" s="9" t="n"/>
      <c r="Q297" s="9" t="n"/>
    </row>
    <row r="298">
      <c r="A298" s="9" t="n"/>
      <c r="B298" s="70" t="n"/>
      <c r="C298" s="9" t="n"/>
      <c r="D298" s="9" t="n"/>
      <c r="E298" s="9" t="n"/>
      <c r="F298" s="9" t="n"/>
      <c r="G298" s="9" t="n"/>
      <c r="H298" s="71" t="n"/>
      <c r="I298" s="9" t="n"/>
      <c r="J298" s="89">
        <f>IF(H298="","",IF(I298="Sí",ROUND(H298*Configuracion!$B$11,0),0))</f>
        <v/>
      </c>
      <c r="K298" s="89">
        <f>IF(H298="","",H298+J298)</f>
        <v/>
      </c>
      <c r="L298" s="13">
        <f>IF(B298="","",YEAR(B298))</f>
        <v/>
      </c>
      <c r="M298" s="13">
        <f>IF(B298="","",MONTH(B298))</f>
        <v/>
      </c>
      <c r="N298" s="9" t="n"/>
      <c r="O298" s="9" t="n"/>
      <c r="P298" s="9" t="n"/>
      <c r="Q298" s="9" t="n"/>
    </row>
    <row r="299">
      <c r="A299" s="9" t="n"/>
      <c r="B299" s="70" t="n"/>
      <c r="C299" s="9" t="n"/>
      <c r="D299" s="9" t="n"/>
      <c r="E299" s="9" t="n"/>
      <c r="F299" s="9" t="n"/>
      <c r="G299" s="9" t="n"/>
      <c r="H299" s="71" t="n"/>
      <c r="I299" s="9" t="n"/>
      <c r="J299" s="89">
        <f>IF(H299="","",IF(I299="Sí",ROUND(H299*Configuracion!$B$11,0),0))</f>
        <v/>
      </c>
      <c r="K299" s="89">
        <f>IF(H299="","",H299+J299)</f>
        <v/>
      </c>
      <c r="L299" s="13">
        <f>IF(B299="","",YEAR(B299))</f>
        <v/>
      </c>
      <c r="M299" s="13">
        <f>IF(B299="","",MONTH(B299))</f>
        <v/>
      </c>
      <c r="N299" s="9" t="n"/>
      <c r="O299" s="9" t="n"/>
      <c r="P299" s="9" t="n"/>
      <c r="Q299" s="9" t="n"/>
    </row>
    <row r="300">
      <c r="A300" s="9" t="n"/>
      <c r="B300" s="70" t="n"/>
      <c r="C300" s="9" t="n"/>
      <c r="D300" s="9" t="n"/>
      <c r="E300" s="9" t="n"/>
      <c r="F300" s="9" t="n"/>
      <c r="G300" s="9" t="n"/>
      <c r="H300" s="71" t="n"/>
      <c r="I300" s="9" t="n"/>
      <c r="J300" s="89">
        <f>IF(H300="","",IF(I300="Sí",ROUND(H300*Configuracion!$B$11,0),0))</f>
        <v/>
      </c>
      <c r="K300" s="89">
        <f>IF(H300="","",H300+J300)</f>
        <v/>
      </c>
      <c r="L300" s="13">
        <f>IF(B300="","",YEAR(B300))</f>
        <v/>
      </c>
      <c r="M300" s="13">
        <f>IF(B300="","",MONTH(B300))</f>
        <v/>
      </c>
      <c r="N300" s="9" t="n"/>
      <c r="O300" s="9" t="n"/>
      <c r="P300" s="9" t="n"/>
      <c r="Q300" s="9" t="n"/>
    </row>
    <row r="301">
      <c r="A301" s="9" t="n"/>
      <c r="B301" s="70" t="n"/>
      <c r="C301" s="9" t="n"/>
      <c r="D301" s="9" t="n"/>
      <c r="E301" s="9" t="n"/>
      <c r="F301" s="9" t="n"/>
      <c r="G301" s="9" t="n"/>
      <c r="H301" s="71" t="n"/>
      <c r="I301" s="9" t="n"/>
      <c r="J301" s="89">
        <f>IF(H301="","",IF(I301="Sí",ROUND(H301*Configuracion!$B$11,0),0))</f>
        <v/>
      </c>
      <c r="K301" s="89">
        <f>IF(H301="","",H301+J301)</f>
        <v/>
      </c>
      <c r="L301" s="13">
        <f>IF(B301="","",YEAR(B301))</f>
        <v/>
      </c>
      <c r="M301" s="13">
        <f>IF(B301="","",MONTH(B301))</f>
        <v/>
      </c>
      <c r="N301" s="9" t="n"/>
      <c r="O301" s="9" t="n"/>
      <c r="P301" s="9" t="n"/>
      <c r="Q301" s="9" t="n"/>
    </row>
    <row r="302">
      <c r="A302" s="9" t="n"/>
      <c r="B302" s="70" t="n"/>
      <c r="C302" s="9" t="n"/>
      <c r="D302" s="9" t="n"/>
      <c r="E302" s="9" t="n"/>
      <c r="F302" s="9" t="n"/>
      <c r="G302" s="9" t="n"/>
      <c r="H302" s="71" t="n"/>
      <c r="I302" s="9" t="n"/>
      <c r="J302" s="89">
        <f>IF(H302="","",IF(I302="Sí",ROUND(H302*Configuracion!$B$11,0),0))</f>
        <v/>
      </c>
      <c r="K302" s="89">
        <f>IF(H302="","",H302+J302)</f>
        <v/>
      </c>
      <c r="L302" s="13">
        <f>IF(B302="","",YEAR(B302))</f>
        <v/>
      </c>
      <c r="M302" s="13">
        <f>IF(B302="","",MONTH(B302))</f>
        <v/>
      </c>
      <c r="N302" s="9" t="n"/>
      <c r="O302" s="9" t="n"/>
      <c r="P302" s="9" t="n"/>
      <c r="Q302" s="9" t="n"/>
    </row>
    <row r="303">
      <c r="A303" s="9" t="n"/>
      <c r="B303" s="70" t="n"/>
      <c r="C303" s="9" t="n"/>
      <c r="D303" s="9" t="n"/>
      <c r="E303" s="9" t="n"/>
      <c r="F303" s="9" t="n"/>
      <c r="G303" s="9" t="n"/>
      <c r="H303" s="71" t="n"/>
      <c r="I303" s="9" t="n"/>
      <c r="J303" s="89">
        <f>IF(H303="","",IF(I303="Sí",ROUND(H303*Configuracion!$B$11,0),0))</f>
        <v/>
      </c>
      <c r="K303" s="89">
        <f>IF(H303="","",H303+J303)</f>
        <v/>
      </c>
      <c r="L303" s="13">
        <f>IF(B303="","",YEAR(B303))</f>
        <v/>
      </c>
      <c r="M303" s="13">
        <f>IF(B303="","",MONTH(B303))</f>
        <v/>
      </c>
      <c r="N303" s="9" t="n"/>
      <c r="O303" s="9" t="n"/>
      <c r="P303" s="9" t="n"/>
      <c r="Q303" s="9" t="n"/>
    </row>
    <row r="304">
      <c r="A304" s="9" t="n"/>
      <c r="B304" s="70" t="n"/>
      <c r="C304" s="9" t="n"/>
      <c r="D304" s="9" t="n"/>
      <c r="E304" s="9" t="n"/>
      <c r="F304" s="9" t="n"/>
      <c r="G304" s="9" t="n"/>
      <c r="H304" s="71" t="n"/>
      <c r="I304" s="9" t="n"/>
      <c r="J304" s="89">
        <f>IF(H304="","",IF(I304="Sí",ROUND(H304*Configuracion!$B$11,0),0))</f>
        <v/>
      </c>
      <c r="K304" s="89">
        <f>IF(H304="","",H304+J304)</f>
        <v/>
      </c>
      <c r="L304" s="13">
        <f>IF(B304="","",YEAR(B304))</f>
        <v/>
      </c>
      <c r="M304" s="13">
        <f>IF(B304="","",MONTH(B304))</f>
        <v/>
      </c>
      <c r="N304" s="9" t="n"/>
      <c r="O304" s="9" t="n"/>
      <c r="P304" s="9" t="n"/>
      <c r="Q304" s="9" t="n"/>
    </row>
    <row r="305">
      <c r="A305" s="9" t="n"/>
      <c r="B305" s="70" t="n"/>
      <c r="C305" s="9" t="n"/>
      <c r="D305" s="9" t="n"/>
      <c r="E305" s="9" t="n"/>
      <c r="F305" s="9" t="n"/>
      <c r="G305" s="9" t="n"/>
      <c r="H305" s="71" t="n"/>
      <c r="I305" s="9" t="n"/>
      <c r="J305" s="89">
        <f>IF(H305="","",IF(I305="Sí",ROUND(H305*Configuracion!$B$11,0),0))</f>
        <v/>
      </c>
      <c r="K305" s="89">
        <f>IF(H305="","",H305+J305)</f>
        <v/>
      </c>
      <c r="L305" s="13">
        <f>IF(B305="","",YEAR(B305))</f>
        <v/>
      </c>
      <c r="M305" s="13">
        <f>IF(B305="","",MONTH(B305))</f>
        <v/>
      </c>
      <c r="N305" s="9" t="n"/>
      <c r="O305" s="9" t="n"/>
      <c r="P305" s="9" t="n"/>
      <c r="Q305" s="9" t="n"/>
    </row>
    <row r="306">
      <c r="A306" s="9" t="n"/>
      <c r="B306" s="70" t="n"/>
      <c r="C306" s="9" t="n"/>
      <c r="D306" s="9" t="n"/>
      <c r="E306" s="9" t="n"/>
      <c r="F306" s="9" t="n"/>
      <c r="G306" s="9" t="n"/>
      <c r="H306" s="71" t="n"/>
      <c r="I306" s="9" t="n"/>
      <c r="J306" s="89">
        <f>IF(H306="","",IF(I306="Sí",ROUND(H306*Configuracion!$B$11,0),0))</f>
        <v/>
      </c>
      <c r="K306" s="89">
        <f>IF(H306="","",H306+J306)</f>
        <v/>
      </c>
      <c r="L306" s="13">
        <f>IF(B306="","",YEAR(B306))</f>
        <v/>
      </c>
      <c r="M306" s="13">
        <f>IF(B306="","",MONTH(B306))</f>
        <v/>
      </c>
      <c r="N306" s="9" t="n"/>
      <c r="O306" s="9" t="n"/>
      <c r="P306" s="9" t="n"/>
      <c r="Q306" s="9" t="n"/>
    </row>
    <row r="307">
      <c r="A307" s="9" t="n"/>
      <c r="B307" s="70" t="n"/>
      <c r="C307" s="9" t="n"/>
      <c r="D307" s="9" t="n"/>
      <c r="E307" s="9" t="n"/>
      <c r="F307" s="9" t="n"/>
      <c r="G307" s="9" t="n"/>
      <c r="H307" s="71" t="n"/>
      <c r="I307" s="9" t="n"/>
      <c r="J307" s="89">
        <f>IF(H307="","",IF(I307="Sí",ROUND(H307*Configuracion!$B$11,0),0))</f>
        <v/>
      </c>
      <c r="K307" s="89">
        <f>IF(H307="","",H307+J307)</f>
        <v/>
      </c>
      <c r="L307" s="13">
        <f>IF(B307="","",YEAR(B307))</f>
        <v/>
      </c>
      <c r="M307" s="13">
        <f>IF(B307="","",MONTH(B307))</f>
        <v/>
      </c>
      <c r="N307" s="9" t="n"/>
      <c r="O307" s="9" t="n"/>
      <c r="P307" s="9" t="n"/>
      <c r="Q307" s="9" t="n"/>
    </row>
    <row r="308">
      <c r="A308" s="9" t="n"/>
      <c r="B308" s="70" t="n"/>
      <c r="C308" s="9" t="n"/>
      <c r="D308" s="9" t="n"/>
      <c r="E308" s="9" t="n"/>
      <c r="F308" s="9" t="n"/>
      <c r="G308" s="9" t="n"/>
      <c r="H308" s="71" t="n"/>
      <c r="I308" s="9" t="n"/>
      <c r="J308" s="89">
        <f>IF(H308="","",IF(I308="Sí",ROUND(H308*Configuracion!$B$11,0),0))</f>
        <v/>
      </c>
      <c r="K308" s="89">
        <f>IF(H308="","",H308+J308)</f>
        <v/>
      </c>
      <c r="L308" s="13">
        <f>IF(B308="","",YEAR(B308))</f>
        <v/>
      </c>
      <c r="M308" s="13">
        <f>IF(B308="","",MONTH(B308))</f>
        <v/>
      </c>
      <c r="N308" s="9" t="n"/>
      <c r="O308" s="9" t="n"/>
      <c r="P308" s="9" t="n"/>
      <c r="Q308" s="9" t="n"/>
    </row>
    <row r="309">
      <c r="A309" s="9" t="n"/>
      <c r="B309" s="70" t="n"/>
      <c r="C309" s="9" t="n"/>
      <c r="D309" s="9" t="n"/>
      <c r="E309" s="9" t="n"/>
      <c r="F309" s="9" t="n"/>
      <c r="G309" s="9" t="n"/>
      <c r="H309" s="71" t="n"/>
      <c r="I309" s="9" t="n"/>
      <c r="J309" s="89">
        <f>IF(H309="","",IF(I309="Sí",ROUND(H309*Configuracion!$B$11,0),0))</f>
        <v/>
      </c>
      <c r="K309" s="89">
        <f>IF(H309="","",H309+J309)</f>
        <v/>
      </c>
      <c r="L309" s="13">
        <f>IF(B309="","",YEAR(B309))</f>
        <v/>
      </c>
      <c r="M309" s="13">
        <f>IF(B309="","",MONTH(B309))</f>
        <v/>
      </c>
      <c r="N309" s="9" t="n"/>
      <c r="O309" s="9" t="n"/>
      <c r="P309" s="9" t="n"/>
      <c r="Q309" s="9" t="n"/>
    </row>
    <row r="310">
      <c r="A310" s="9" t="n"/>
      <c r="B310" s="70" t="n"/>
      <c r="C310" s="9" t="n"/>
      <c r="D310" s="9" t="n"/>
      <c r="E310" s="9" t="n"/>
      <c r="F310" s="9" t="n"/>
      <c r="G310" s="9" t="n"/>
      <c r="H310" s="71" t="n"/>
      <c r="I310" s="9" t="n"/>
      <c r="J310" s="89">
        <f>IF(H310="","",IF(I310="Sí",ROUND(H310*Configuracion!$B$11,0),0))</f>
        <v/>
      </c>
      <c r="K310" s="89">
        <f>IF(H310="","",H310+J310)</f>
        <v/>
      </c>
      <c r="L310" s="13">
        <f>IF(B310="","",YEAR(B310))</f>
        <v/>
      </c>
      <c r="M310" s="13">
        <f>IF(B310="","",MONTH(B310))</f>
        <v/>
      </c>
      <c r="N310" s="9" t="n"/>
      <c r="O310" s="9" t="n"/>
      <c r="P310" s="9" t="n"/>
      <c r="Q310" s="9" t="n"/>
    </row>
    <row r="311">
      <c r="A311" s="9" t="n"/>
      <c r="B311" s="70" t="n"/>
      <c r="C311" s="9" t="n"/>
      <c r="D311" s="9" t="n"/>
      <c r="E311" s="9" t="n"/>
      <c r="F311" s="9" t="n"/>
      <c r="G311" s="9" t="n"/>
      <c r="H311" s="71" t="n"/>
      <c r="I311" s="9" t="n"/>
      <c r="J311" s="89">
        <f>IF(H311="","",IF(I311="Sí",ROUND(H311*Configuracion!$B$11,0),0))</f>
        <v/>
      </c>
      <c r="K311" s="89">
        <f>IF(H311="","",H311+J311)</f>
        <v/>
      </c>
      <c r="L311" s="13">
        <f>IF(B311="","",YEAR(B311))</f>
        <v/>
      </c>
      <c r="M311" s="13">
        <f>IF(B311="","",MONTH(B311))</f>
        <v/>
      </c>
      <c r="N311" s="9" t="n"/>
      <c r="O311" s="9" t="n"/>
      <c r="P311" s="9" t="n"/>
      <c r="Q311" s="9" t="n"/>
    </row>
    <row r="312">
      <c r="A312" s="9" t="n"/>
      <c r="B312" s="70" t="n"/>
      <c r="C312" s="9" t="n"/>
      <c r="D312" s="9" t="n"/>
      <c r="E312" s="9" t="n"/>
      <c r="F312" s="9" t="n"/>
      <c r="G312" s="9" t="n"/>
      <c r="H312" s="71" t="n"/>
      <c r="I312" s="9" t="n"/>
      <c r="J312" s="89">
        <f>IF(H312="","",IF(I312="Sí",ROUND(H312*Configuracion!$B$11,0),0))</f>
        <v/>
      </c>
      <c r="K312" s="89">
        <f>IF(H312="","",H312+J312)</f>
        <v/>
      </c>
      <c r="L312" s="13">
        <f>IF(B312="","",YEAR(B312))</f>
        <v/>
      </c>
      <c r="M312" s="13">
        <f>IF(B312="","",MONTH(B312))</f>
        <v/>
      </c>
      <c r="N312" s="9" t="n"/>
      <c r="O312" s="9" t="n"/>
      <c r="P312" s="9" t="n"/>
      <c r="Q312" s="9" t="n"/>
    </row>
    <row r="313">
      <c r="A313" s="9" t="n"/>
      <c r="B313" s="70" t="n"/>
      <c r="C313" s="9" t="n"/>
      <c r="D313" s="9" t="n"/>
      <c r="E313" s="9" t="n"/>
      <c r="F313" s="9" t="n"/>
      <c r="G313" s="9" t="n"/>
      <c r="H313" s="71" t="n"/>
      <c r="I313" s="9" t="n"/>
      <c r="J313" s="89">
        <f>IF(H313="","",IF(I313="Sí",ROUND(H313*Configuracion!$B$11,0),0))</f>
        <v/>
      </c>
      <c r="K313" s="89">
        <f>IF(H313="","",H313+J313)</f>
        <v/>
      </c>
      <c r="L313" s="13">
        <f>IF(B313="","",YEAR(B313))</f>
        <v/>
      </c>
      <c r="M313" s="13">
        <f>IF(B313="","",MONTH(B313))</f>
        <v/>
      </c>
      <c r="N313" s="9" t="n"/>
      <c r="O313" s="9" t="n"/>
      <c r="P313" s="9" t="n"/>
      <c r="Q313" s="9" t="n"/>
    </row>
    <row r="314">
      <c r="A314" s="9" t="n"/>
      <c r="B314" s="70" t="n"/>
      <c r="C314" s="9" t="n"/>
      <c r="D314" s="9" t="n"/>
      <c r="E314" s="9" t="n"/>
      <c r="F314" s="9" t="n"/>
      <c r="G314" s="9" t="n"/>
      <c r="H314" s="71" t="n"/>
      <c r="I314" s="9" t="n"/>
      <c r="J314" s="89">
        <f>IF(H314="","",IF(I314="Sí",ROUND(H314*Configuracion!$B$11,0),0))</f>
        <v/>
      </c>
      <c r="K314" s="89">
        <f>IF(H314="","",H314+J314)</f>
        <v/>
      </c>
      <c r="L314" s="13">
        <f>IF(B314="","",YEAR(B314))</f>
        <v/>
      </c>
      <c r="M314" s="13">
        <f>IF(B314="","",MONTH(B314))</f>
        <v/>
      </c>
      <c r="N314" s="9" t="n"/>
      <c r="O314" s="9" t="n"/>
      <c r="P314" s="9" t="n"/>
      <c r="Q314" s="9" t="n"/>
    </row>
    <row r="315">
      <c r="A315" s="9" t="n"/>
      <c r="B315" s="70" t="n"/>
      <c r="C315" s="9" t="n"/>
      <c r="D315" s="9" t="n"/>
      <c r="E315" s="9" t="n"/>
      <c r="F315" s="9" t="n"/>
      <c r="G315" s="9" t="n"/>
      <c r="H315" s="71" t="n"/>
      <c r="I315" s="9" t="n"/>
      <c r="J315" s="89">
        <f>IF(H315="","",IF(I315="Sí",ROUND(H315*Configuracion!$B$11,0),0))</f>
        <v/>
      </c>
      <c r="K315" s="89">
        <f>IF(H315="","",H315+J315)</f>
        <v/>
      </c>
      <c r="L315" s="13">
        <f>IF(B315="","",YEAR(B315))</f>
        <v/>
      </c>
      <c r="M315" s="13">
        <f>IF(B315="","",MONTH(B315))</f>
        <v/>
      </c>
      <c r="N315" s="9" t="n"/>
      <c r="O315" s="9" t="n"/>
      <c r="P315" s="9" t="n"/>
      <c r="Q315" s="9" t="n"/>
    </row>
    <row r="316">
      <c r="A316" s="9" t="n"/>
      <c r="B316" s="70" t="n"/>
      <c r="C316" s="9" t="n"/>
      <c r="D316" s="9" t="n"/>
      <c r="E316" s="9" t="n"/>
      <c r="F316" s="9" t="n"/>
      <c r="G316" s="9" t="n"/>
      <c r="H316" s="71" t="n"/>
      <c r="I316" s="9" t="n"/>
      <c r="J316" s="89">
        <f>IF(H316="","",IF(I316="Sí",ROUND(H316*Configuracion!$B$11,0),0))</f>
        <v/>
      </c>
      <c r="K316" s="89">
        <f>IF(H316="","",H316+J316)</f>
        <v/>
      </c>
      <c r="L316" s="13">
        <f>IF(B316="","",YEAR(B316))</f>
        <v/>
      </c>
      <c r="M316" s="13">
        <f>IF(B316="","",MONTH(B316))</f>
        <v/>
      </c>
      <c r="N316" s="9" t="n"/>
      <c r="O316" s="9" t="n"/>
      <c r="P316" s="9" t="n"/>
      <c r="Q316" s="9" t="n"/>
    </row>
    <row r="317">
      <c r="A317" s="9" t="n"/>
      <c r="B317" s="70" t="n"/>
      <c r="C317" s="9" t="n"/>
      <c r="D317" s="9" t="n"/>
      <c r="E317" s="9" t="n"/>
      <c r="F317" s="9" t="n"/>
      <c r="G317" s="9" t="n"/>
      <c r="H317" s="71" t="n"/>
      <c r="I317" s="9" t="n"/>
      <c r="J317" s="89">
        <f>IF(H317="","",IF(I317="Sí",ROUND(H317*Configuracion!$B$11,0),0))</f>
        <v/>
      </c>
      <c r="K317" s="89">
        <f>IF(H317="","",H317+J317)</f>
        <v/>
      </c>
      <c r="L317" s="13">
        <f>IF(B317="","",YEAR(B317))</f>
        <v/>
      </c>
      <c r="M317" s="13">
        <f>IF(B317="","",MONTH(B317))</f>
        <v/>
      </c>
      <c r="N317" s="9" t="n"/>
      <c r="O317" s="9" t="n"/>
      <c r="P317" s="9" t="n"/>
      <c r="Q317" s="9" t="n"/>
    </row>
    <row r="318">
      <c r="A318" s="9" t="n"/>
      <c r="B318" s="70" t="n"/>
      <c r="C318" s="9" t="n"/>
      <c r="D318" s="9" t="n"/>
      <c r="E318" s="9" t="n"/>
      <c r="F318" s="9" t="n"/>
      <c r="G318" s="9" t="n"/>
      <c r="H318" s="71" t="n"/>
      <c r="I318" s="9" t="n"/>
      <c r="J318" s="89">
        <f>IF(H318="","",IF(I318="Sí",ROUND(H318*Configuracion!$B$11,0),0))</f>
        <v/>
      </c>
      <c r="K318" s="89">
        <f>IF(H318="","",H318+J318)</f>
        <v/>
      </c>
      <c r="L318" s="13">
        <f>IF(B318="","",YEAR(B318))</f>
        <v/>
      </c>
      <c r="M318" s="13">
        <f>IF(B318="","",MONTH(B318))</f>
        <v/>
      </c>
      <c r="N318" s="9" t="n"/>
      <c r="O318" s="9" t="n"/>
      <c r="P318" s="9" t="n"/>
      <c r="Q318" s="9" t="n"/>
    </row>
    <row r="319">
      <c r="A319" s="9" t="n"/>
      <c r="B319" s="70" t="n"/>
      <c r="C319" s="9" t="n"/>
      <c r="D319" s="9" t="n"/>
      <c r="E319" s="9" t="n"/>
      <c r="F319" s="9" t="n"/>
      <c r="G319" s="9" t="n"/>
      <c r="H319" s="71" t="n"/>
      <c r="I319" s="9" t="n"/>
      <c r="J319" s="89">
        <f>IF(H319="","",IF(I319="Sí",ROUND(H319*Configuracion!$B$11,0),0))</f>
        <v/>
      </c>
      <c r="K319" s="89">
        <f>IF(H319="","",H319+J319)</f>
        <v/>
      </c>
      <c r="L319" s="13">
        <f>IF(B319="","",YEAR(B319))</f>
        <v/>
      </c>
      <c r="M319" s="13">
        <f>IF(B319="","",MONTH(B319))</f>
        <v/>
      </c>
      <c r="N319" s="9" t="n"/>
      <c r="O319" s="9" t="n"/>
      <c r="P319" s="9" t="n"/>
      <c r="Q319" s="9" t="n"/>
    </row>
    <row r="320">
      <c r="A320" s="9" t="n"/>
      <c r="B320" s="70" t="n"/>
      <c r="C320" s="9" t="n"/>
      <c r="D320" s="9" t="n"/>
      <c r="E320" s="9" t="n"/>
      <c r="F320" s="9" t="n"/>
      <c r="G320" s="9" t="n"/>
      <c r="H320" s="71" t="n"/>
      <c r="I320" s="9" t="n"/>
      <c r="J320" s="89">
        <f>IF(H320="","",IF(I320="Sí",ROUND(H320*Configuracion!$B$11,0),0))</f>
        <v/>
      </c>
      <c r="K320" s="89">
        <f>IF(H320="","",H320+J320)</f>
        <v/>
      </c>
      <c r="L320" s="13">
        <f>IF(B320="","",YEAR(B320))</f>
        <v/>
      </c>
      <c r="M320" s="13">
        <f>IF(B320="","",MONTH(B320))</f>
        <v/>
      </c>
      <c r="N320" s="9" t="n"/>
      <c r="O320" s="9" t="n"/>
      <c r="P320" s="9" t="n"/>
      <c r="Q320" s="9" t="n"/>
    </row>
    <row r="321">
      <c r="A321" s="9" t="n"/>
      <c r="B321" s="70" t="n"/>
      <c r="C321" s="9" t="n"/>
      <c r="D321" s="9" t="n"/>
      <c r="E321" s="9" t="n"/>
      <c r="F321" s="9" t="n"/>
      <c r="G321" s="9" t="n"/>
      <c r="H321" s="71" t="n"/>
      <c r="I321" s="9" t="n"/>
      <c r="J321" s="89">
        <f>IF(H321="","",IF(I321="Sí",ROUND(H321*Configuracion!$B$11,0),0))</f>
        <v/>
      </c>
      <c r="K321" s="89">
        <f>IF(H321="","",H321+J321)</f>
        <v/>
      </c>
      <c r="L321" s="13">
        <f>IF(B321="","",YEAR(B321))</f>
        <v/>
      </c>
      <c r="M321" s="13">
        <f>IF(B321="","",MONTH(B321))</f>
        <v/>
      </c>
      <c r="N321" s="9" t="n"/>
      <c r="O321" s="9" t="n"/>
      <c r="P321" s="9" t="n"/>
      <c r="Q321" s="9" t="n"/>
    </row>
    <row r="322">
      <c r="A322" s="9" t="n"/>
      <c r="B322" s="70" t="n"/>
      <c r="C322" s="9" t="n"/>
      <c r="D322" s="9" t="n"/>
      <c r="E322" s="9" t="n"/>
      <c r="F322" s="9" t="n"/>
      <c r="G322" s="9" t="n"/>
      <c r="H322" s="71" t="n"/>
      <c r="I322" s="9" t="n"/>
      <c r="J322" s="89">
        <f>IF(H322="","",IF(I322="Sí",ROUND(H322*Configuracion!$B$11,0),0))</f>
        <v/>
      </c>
      <c r="K322" s="89">
        <f>IF(H322="","",H322+J322)</f>
        <v/>
      </c>
      <c r="L322" s="13">
        <f>IF(B322="","",YEAR(B322))</f>
        <v/>
      </c>
      <c r="M322" s="13">
        <f>IF(B322="","",MONTH(B322))</f>
        <v/>
      </c>
      <c r="N322" s="9" t="n"/>
      <c r="O322" s="9" t="n"/>
      <c r="P322" s="9" t="n"/>
      <c r="Q322" s="9" t="n"/>
    </row>
    <row r="323">
      <c r="A323" s="9" t="n"/>
      <c r="B323" s="70" t="n"/>
      <c r="C323" s="9" t="n"/>
      <c r="D323" s="9" t="n"/>
      <c r="E323" s="9" t="n"/>
      <c r="F323" s="9" t="n"/>
      <c r="G323" s="9" t="n"/>
      <c r="H323" s="71" t="n"/>
      <c r="I323" s="9" t="n"/>
      <c r="J323" s="89">
        <f>IF(H323="","",IF(I323="Sí",ROUND(H323*Configuracion!$B$11,0),0))</f>
        <v/>
      </c>
      <c r="K323" s="89">
        <f>IF(H323="","",H323+J323)</f>
        <v/>
      </c>
      <c r="L323" s="13">
        <f>IF(B323="","",YEAR(B323))</f>
        <v/>
      </c>
      <c r="M323" s="13">
        <f>IF(B323="","",MONTH(B323))</f>
        <v/>
      </c>
      <c r="N323" s="9" t="n"/>
      <c r="O323" s="9" t="n"/>
      <c r="P323" s="9" t="n"/>
      <c r="Q323" s="9" t="n"/>
    </row>
    <row r="324">
      <c r="A324" s="9" t="n"/>
      <c r="B324" s="70" t="n"/>
      <c r="C324" s="9" t="n"/>
      <c r="D324" s="9" t="n"/>
      <c r="E324" s="9" t="n"/>
      <c r="F324" s="9" t="n"/>
      <c r="G324" s="9" t="n"/>
      <c r="H324" s="71" t="n"/>
      <c r="I324" s="9" t="n"/>
      <c r="J324" s="89">
        <f>IF(H324="","",IF(I324="Sí",ROUND(H324*Configuracion!$B$11,0),0))</f>
        <v/>
      </c>
      <c r="K324" s="89">
        <f>IF(H324="","",H324+J324)</f>
        <v/>
      </c>
      <c r="L324" s="13">
        <f>IF(B324="","",YEAR(B324))</f>
        <v/>
      </c>
      <c r="M324" s="13">
        <f>IF(B324="","",MONTH(B324))</f>
        <v/>
      </c>
      <c r="N324" s="9" t="n"/>
      <c r="O324" s="9" t="n"/>
      <c r="P324" s="9" t="n"/>
      <c r="Q324" s="9" t="n"/>
    </row>
    <row r="325">
      <c r="A325" s="9" t="n"/>
      <c r="B325" s="70" t="n"/>
      <c r="C325" s="9" t="n"/>
      <c r="D325" s="9" t="n"/>
      <c r="E325" s="9" t="n"/>
      <c r="F325" s="9" t="n"/>
      <c r="G325" s="9" t="n"/>
      <c r="H325" s="71" t="n"/>
      <c r="I325" s="9" t="n"/>
      <c r="J325" s="89">
        <f>IF(H325="","",IF(I325="Sí",ROUND(H325*Configuracion!$B$11,0),0))</f>
        <v/>
      </c>
      <c r="K325" s="89">
        <f>IF(H325="","",H325+J325)</f>
        <v/>
      </c>
      <c r="L325" s="13">
        <f>IF(B325="","",YEAR(B325))</f>
        <v/>
      </c>
      <c r="M325" s="13">
        <f>IF(B325="","",MONTH(B325))</f>
        <v/>
      </c>
      <c r="N325" s="9" t="n"/>
      <c r="O325" s="9" t="n"/>
      <c r="P325" s="9" t="n"/>
      <c r="Q325" s="9" t="n"/>
    </row>
    <row r="326">
      <c r="A326" s="9" t="n"/>
      <c r="B326" s="70" t="n"/>
      <c r="C326" s="9" t="n"/>
      <c r="D326" s="9" t="n"/>
      <c r="E326" s="9" t="n"/>
      <c r="F326" s="9" t="n"/>
      <c r="G326" s="9" t="n"/>
      <c r="H326" s="71" t="n"/>
      <c r="I326" s="9" t="n"/>
      <c r="J326" s="89">
        <f>IF(H326="","",IF(I326="Sí",ROUND(H326*Configuracion!$B$11,0),0))</f>
        <v/>
      </c>
      <c r="K326" s="89">
        <f>IF(H326="","",H326+J326)</f>
        <v/>
      </c>
      <c r="L326" s="13">
        <f>IF(B326="","",YEAR(B326))</f>
        <v/>
      </c>
      <c r="M326" s="13">
        <f>IF(B326="","",MONTH(B326))</f>
        <v/>
      </c>
      <c r="N326" s="9" t="n"/>
      <c r="O326" s="9" t="n"/>
      <c r="P326" s="9" t="n"/>
      <c r="Q326" s="9" t="n"/>
    </row>
    <row r="327">
      <c r="A327" s="9" t="n"/>
      <c r="B327" s="70" t="n"/>
      <c r="C327" s="9" t="n"/>
      <c r="D327" s="9" t="n"/>
      <c r="E327" s="9" t="n"/>
      <c r="F327" s="9" t="n"/>
      <c r="G327" s="9" t="n"/>
      <c r="H327" s="71" t="n"/>
      <c r="I327" s="9" t="n"/>
      <c r="J327" s="89">
        <f>IF(H327="","",IF(I327="Sí",ROUND(H327*Configuracion!$B$11,0),0))</f>
        <v/>
      </c>
      <c r="K327" s="89">
        <f>IF(H327="","",H327+J327)</f>
        <v/>
      </c>
      <c r="L327" s="13">
        <f>IF(B327="","",YEAR(B327))</f>
        <v/>
      </c>
      <c r="M327" s="13">
        <f>IF(B327="","",MONTH(B327))</f>
        <v/>
      </c>
      <c r="N327" s="9" t="n"/>
      <c r="O327" s="9" t="n"/>
      <c r="P327" s="9" t="n"/>
      <c r="Q327" s="9" t="n"/>
    </row>
    <row r="328">
      <c r="A328" s="9" t="n"/>
      <c r="B328" s="70" t="n"/>
      <c r="C328" s="9" t="n"/>
      <c r="D328" s="9" t="n"/>
      <c r="E328" s="9" t="n"/>
      <c r="F328" s="9" t="n"/>
      <c r="G328" s="9" t="n"/>
      <c r="H328" s="71" t="n"/>
      <c r="I328" s="9" t="n"/>
      <c r="J328" s="89">
        <f>IF(H328="","",IF(I328="Sí",ROUND(H328*Configuracion!$B$11,0),0))</f>
        <v/>
      </c>
      <c r="K328" s="89">
        <f>IF(H328="","",H328+J328)</f>
        <v/>
      </c>
      <c r="L328" s="13">
        <f>IF(B328="","",YEAR(B328))</f>
        <v/>
      </c>
      <c r="M328" s="13">
        <f>IF(B328="","",MONTH(B328))</f>
        <v/>
      </c>
      <c r="N328" s="9" t="n"/>
      <c r="O328" s="9" t="n"/>
      <c r="P328" s="9" t="n"/>
      <c r="Q328" s="9" t="n"/>
    </row>
    <row r="329">
      <c r="A329" s="9" t="n"/>
      <c r="B329" s="70" t="n"/>
      <c r="C329" s="9" t="n"/>
      <c r="D329" s="9" t="n"/>
      <c r="E329" s="9" t="n"/>
      <c r="F329" s="9" t="n"/>
      <c r="G329" s="9" t="n"/>
      <c r="H329" s="71" t="n"/>
      <c r="I329" s="9" t="n"/>
      <c r="J329" s="89">
        <f>IF(H329="","",IF(I329="Sí",ROUND(H329*Configuracion!$B$11,0),0))</f>
        <v/>
      </c>
      <c r="K329" s="89">
        <f>IF(H329="","",H329+J329)</f>
        <v/>
      </c>
      <c r="L329" s="13">
        <f>IF(B329="","",YEAR(B329))</f>
        <v/>
      </c>
      <c r="M329" s="13">
        <f>IF(B329="","",MONTH(B329))</f>
        <v/>
      </c>
      <c r="N329" s="9" t="n"/>
      <c r="O329" s="9" t="n"/>
      <c r="P329" s="9" t="n"/>
      <c r="Q329" s="9" t="n"/>
    </row>
    <row r="330">
      <c r="A330" s="9" t="n"/>
      <c r="B330" s="70" t="n"/>
      <c r="C330" s="9" t="n"/>
      <c r="D330" s="9" t="n"/>
      <c r="E330" s="9" t="n"/>
      <c r="F330" s="9" t="n"/>
      <c r="G330" s="9" t="n"/>
      <c r="H330" s="71" t="n"/>
      <c r="I330" s="9" t="n"/>
      <c r="J330" s="89">
        <f>IF(H330="","",IF(I330="Sí",ROUND(H330*Configuracion!$B$11,0),0))</f>
        <v/>
      </c>
      <c r="K330" s="89">
        <f>IF(H330="","",H330+J330)</f>
        <v/>
      </c>
      <c r="L330" s="13">
        <f>IF(B330="","",YEAR(B330))</f>
        <v/>
      </c>
      <c r="M330" s="13">
        <f>IF(B330="","",MONTH(B330))</f>
        <v/>
      </c>
      <c r="N330" s="9" t="n"/>
      <c r="O330" s="9" t="n"/>
      <c r="P330" s="9" t="n"/>
      <c r="Q330" s="9" t="n"/>
    </row>
    <row r="331">
      <c r="A331" s="9" t="n"/>
      <c r="B331" s="70" t="n"/>
      <c r="C331" s="9" t="n"/>
      <c r="D331" s="9" t="n"/>
      <c r="E331" s="9" t="n"/>
      <c r="F331" s="9" t="n"/>
      <c r="G331" s="9" t="n"/>
      <c r="H331" s="71" t="n"/>
      <c r="I331" s="9" t="n"/>
      <c r="J331" s="89">
        <f>IF(H331="","",IF(I331="Sí",ROUND(H331*Configuracion!$B$11,0),0))</f>
        <v/>
      </c>
      <c r="K331" s="89">
        <f>IF(H331="","",H331+J331)</f>
        <v/>
      </c>
      <c r="L331" s="13">
        <f>IF(B331="","",YEAR(B331))</f>
        <v/>
      </c>
      <c r="M331" s="13">
        <f>IF(B331="","",MONTH(B331))</f>
        <v/>
      </c>
      <c r="N331" s="9" t="n"/>
      <c r="O331" s="9" t="n"/>
      <c r="P331" s="9" t="n"/>
      <c r="Q331" s="9" t="n"/>
    </row>
    <row r="332">
      <c r="A332" s="9" t="n"/>
      <c r="B332" s="70" t="n"/>
      <c r="C332" s="9" t="n"/>
      <c r="D332" s="9" t="n"/>
      <c r="E332" s="9" t="n"/>
      <c r="F332" s="9" t="n"/>
      <c r="G332" s="9" t="n"/>
      <c r="H332" s="71" t="n"/>
      <c r="I332" s="9" t="n"/>
      <c r="J332" s="89">
        <f>IF(H332="","",IF(I332="Sí",ROUND(H332*Configuracion!$B$11,0),0))</f>
        <v/>
      </c>
      <c r="K332" s="89">
        <f>IF(H332="","",H332+J332)</f>
        <v/>
      </c>
      <c r="L332" s="13">
        <f>IF(B332="","",YEAR(B332))</f>
        <v/>
      </c>
      <c r="M332" s="13">
        <f>IF(B332="","",MONTH(B332))</f>
        <v/>
      </c>
      <c r="N332" s="9" t="n"/>
      <c r="O332" s="9" t="n"/>
      <c r="P332" s="9" t="n"/>
      <c r="Q332" s="9" t="n"/>
    </row>
    <row r="333">
      <c r="A333" s="9" t="n"/>
      <c r="B333" s="70" t="n"/>
      <c r="C333" s="9" t="n"/>
      <c r="D333" s="9" t="n"/>
      <c r="E333" s="9" t="n"/>
      <c r="F333" s="9" t="n"/>
      <c r="G333" s="9" t="n"/>
      <c r="H333" s="71" t="n"/>
      <c r="I333" s="9" t="n"/>
      <c r="J333" s="89">
        <f>IF(H333="","",IF(I333="Sí",ROUND(H333*Configuracion!$B$11,0),0))</f>
        <v/>
      </c>
      <c r="K333" s="89">
        <f>IF(H333="","",H333+J333)</f>
        <v/>
      </c>
      <c r="L333" s="13">
        <f>IF(B333="","",YEAR(B333))</f>
        <v/>
      </c>
      <c r="M333" s="13">
        <f>IF(B333="","",MONTH(B333))</f>
        <v/>
      </c>
      <c r="N333" s="9" t="n"/>
      <c r="O333" s="9" t="n"/>
      <c r="P333" s="9" t="n"/>
      <c r="Q333" s="9" t="n"/>
    </row>
    <row r="334">
      <c r="A334" s="9" t="n"/>
      <c r="B334" s="70" t="n"/>
      <c r="C334" s="9" t="n"/>
      <c r="D334" s="9" t="n"/>
      <c r="E334" s="9" t="n"/>
      <c r="F334" s="9" t="n"/>
      <c r="G334" s="9" t="n"/>
      <c r="H334" s="71" t="n"/>
      <c r="I334" s="9" t="n"/>
      <c r="J334" s="89">
        <f>IF(H334="","",IF(I334="Sí",ROUND(H334*Configuracion!$B$11,0),0))</f>
        <v/>
      </c>
      <c r="K334" s="89">
        <f>IF(H334="","",H334+J334)</f>
        <v/>
      </c>
      <c r="L334" s="13">
        <f>IF(B334="","",YEAR(B334))</f>
        <v/>
      </c>
      <c r="M334" s="13">
        <f>IF(B334="","",MONTH(B334))</f>
        <v/>
      </c>
      <c r="N334" s="9" t="n"/>
      <c r="O334" s="9" t="n"/>
      <c r="P334" s="9" t="n"/>
      <c r="Q334" s="9" t="n"/>
    </row>
    <row r="335">
      <c r="A335" s="9" t="n"/>
      <c r="B335" s="70" t="n"/>
      <c r="C335" s="9" t="n"/>
      <c r="D335" s="9" t="n"/>
      <c r="E335" s="9" t="n"/>
      <c r="F335" s="9" t="n"/>
      <c r="G335" s="9" t="n"/>
      <c r="H335" s="71" t="n"/>
      <c r="I335" s="9" t="n"/>
      <c r="J335" s="89">
        <f>IF(H335="","",IF(I335="Sí",ROUND(H335*Configuracion!$B$11,0),0))</f>
        <v/>
      </c>
      <c r="K335" s="89">
        <f>IF(H335="","",H335+J335)</f>
        <v/>
      </c>
      <c r="L335" s="13">
        <f>IF(B335="","",YEAR(B335))</f>
        <v/>
      </c>
      <c r="M335" s="13">
        <f>IF(B335="","",MONTH(B335))</f>
        <v/>
      </c>
      <c r="N335" s="9" t="n"/>
      <c r="O335" s="9" t="n"/>
      <c r="P335" s="9" t="n"/>
      <c r="Q335" s="9" t="n"/>
    </row>
    <row r="336">
      <c r="A336" s="9" t="n"/>
      <c r="B336" s="70" t="n"/>
      <c r="C336" s="9" t="n"/>
      <c r="D336" s="9" t="n"/>
      <c r="E336" s="9" t="n"/>
      <c r="F336" s="9" t="n"/>
      <c r="G336" s="9" t="n"/>
      <c r="H336" s="71" t="n"/>
      <c r="I336" s="9" t="n"/>
      <c r="J336" s="89">
        <f>IF(H336="","",IF(I336="Sí",ROUND(H336*Configuracion!$B$11,0),0))</f>
        <v/>
      </c>
      <c r="K336" s="89">
        <f>IF(H336="","",H336+J336)</f>
        <v/>
      </c>
      <c r="L336" s="13">
        <f>IF(B336="","",YEAR(B336))</f>
        <v/>
      </c>
      <c r="M336" s="13">
        <f>IF(B336="","",MONTH(B336))</f>
        <v/>
      </c>
      <c r="N336" s="9" t="n"/>
      <c r="O336" s="9" t="n"/>
      <c r="P336" s="9" t="n"/>
      <c r="Q336" s="9" t="n"/>
    </row>
    <row r="337">
      <c r="A337" s="9" t="n"/>
      <c r="B337" s="70" t="n"/>
      <c r="C337" s="9" t="n"/>
      <c r="D337" s="9" t="n"/>
      <c r="E337" s="9" t="n"/>
      <c r="F337" s="9" t="n"/>
      <c r="G337" s="9" t="n"/>
      <c r="H337" s="71" t="n"/>
      <c r="I337" s="9" t="n"/>
      <c r="J337" s="89">
        <f>IF(H337="","",IF(I337="Sí",ROUND(H337*Configuracion!$B$11,0),0))</f>
        <v/>
      </c>
      <c r="K337" s="89">
        <f>IF(H337="","",H337+J337)</f>
        <v/>
      </c>
      <c r="L337" s="13">
        <f>IF(B337="","",YEAR(B337))</f>
        <v/>
      </c>
      <c r="M337" s="13">
        <f>IF(B337="","",MONTH(B337))</f>
        <v/>
      </c>
      <c r="N337" s="9" t="n"/>
      <c r="O337" s="9" t="n"/>
      <c r="P337" s="9" t="n"/>
      <c r="Q337" s="9" t="n"/>
    </row>
    <row r="338">
      <c r="A338" s="9" t="n"/>
      <c r="B338" s="70" t="n"/>
      <c r="C338" s="9" t="n"/>
      <c r="D338" s="9" t="n"/>
      <c r="E338" s="9" t="n"/>
      <c r="F338" s="9" t="n"/>
      <c r="G338" s="9" t="n"/>
      <c r="H338" s="71" t="n"/>
      <c r="I338" s="9" t="n"/>
      <c r="J338" s="89">
        <f>IF(H338="","",IF(I338="Sí",ROUND(H338*Configuracion!$B$11,0),0))</f>
        <v/>
      </c>
      <c r="K338" s="89">
        <f>IF(H338="","",H338+J338)</f>
        <v/>
      </c>
      <c r="L338" s="13">
        <f>IF(B338="","",YEAR(B338))</f>
        <v/>
      </c>
      <c r="M338" s="13">
        <f>IF(B338="","",MONTH(B338))</f>
        <v/>
      </c>
      <c r="N338" s="9" t="n"/>
      <c r="O338" s="9" t="n"/>
      <c r="P338" s="9" t="n"/>
      <c r="Q338" s="9" t="n"/>
    </row>
    <row r="339">
      <c r="A339" s="9" t="n"/>
      <c r="B339" s="70" t="n"/>
      <c r="C339" s="9" t="n"/>
      <c r="D339" s="9" t="n"/>
      <c r="E339" s="9" t="n"/>
      <c r="F339" s="9" t="n"/>
      <c r="G339" s="9" t="n"/>
      <c r="H339" s="71" t="n"/>
      <c r="I339" s="9" t="n"/>
      <c r="J339" s="89">
        <f>IF(H339="","",IF(I339="Sí",ROUND(H339*Configuracion!$B$11,0),0))</f>
        <v/>
      </c>
      <c r="K339" s="89">
        <f>IF(H339="","",H339+J339)</f>
        <v/>
      </c>
      <c r="L339" s="13">
        <f>IF(B339="","",YEAR(B339))</f>
        <v/>
      </c>
      <c r="M339" s="13">
        <f>IF(B339="","",MONTH(B339))</f>
        <v/>
      </c>
      <c r="N339" s="9" t="n"/>
      <c r="O339" s="9" t="n"/>
      <c r="P339" s="9" t="n"/>
      <c r="Q339" s="9" t="n"/>
    </row>
    <row r="340">
      <c r="A340" s="9" t="n"/>
      <c r="B340" s="70" t="n"/>
      <c r="C340" s="9" t="n"/>
      <c r="D340" s="9" t="n"/>
      <c r="E340" s="9" t="n"/>
      <c r="F340" s="9" t="n"/>
      <c r="G340" s="9" t="n"/>
      <c r="H340" s="71" t="n"/>
      <c r="I340" s="9" t="n"/>
      <c r="J340" s="89">
        <f>IF(H340="","",IF(I340="Sí",ROUND(H340*Configuracion!$B$11,0),0))</f>
        <v/>
      </c>
      <c r="K340" s="89">
        <f>IF(H340="","",H340+J340)</f>
        <v/>
      </c>
      <c r="L340" s="13">
        <f>IF(B340="","",YEAR(B340))</f>
        <v/>
      </c>
      <c r="M340" s="13">
        <f>IF(B340="","",MONTH(B340))</f>
        <v/>
      </c>
      <c r="N340" s="9" t="n"/>
      <c r="O340" s="9" t="n"/>
      <c r="P340" s="9" t="n"/>
      <c r="Q340" s="9" t="n"/>
    </row>
    <row r="341">
      <c r="A341" s="9" t="n"/>
      <c r="B341" s="70" t="n"/>
      <c r="C341" s="9" t="n"/>
      <c r="D341" s="9" t="n"/>
      <c r="E341" s="9" t="n"/>
      <c r="F341" s="9" t="n"/>
      <c r="G341" s="9" t="n"/>
      <c r="H341" s="71" t="n"/>
      <c r="I341" s="9" t="n"/>
      <c r="J341" s="89">
        <f>IF(H341="","",IF(I341="Sí",ROUND(H341*Configuracion!$B$11,0),0))</f>
        <v/>
      </c>
      <c r="K341" s="89">
        <f>IF(H341="","",H341+J341)</f>
        <v/>
      </c>
      <c r="L341" s="13">
        <f>IF(B341="","",YEAR(B341))</f>
        <v/>
      </c>
      <c r="M341" s="13">
        <f>IF(B341="","",MONTH(B341))</f>
        <v/>
      </c>
      <c r="N341" s="9" t="n"/>
      <c r="O341" s="9" t="n"/>
      <c r="P341" s="9" t="n"/>
      <c r="Q341" s="9" t="n"/>
    </row>
    <row r="342">
      <c r="A342" s="9" t="n"/>
      <c r="B342" s="70" t="n"/>
      <c r="C342" s="9" t="n"/>
      <c r="D342" s="9" t="n"/>
      <c r="E342" s="9" t="n"/>
      <c r="F342" s="9" t="n"/>
      <c r="G342" s="9" t="n"/>
      <c r="H342" s="71" t="n"/>
      <c r="I342" s="9" t="n"/>
      <c r="J342" s="89">
        <f>IF(H342="","",IF(I342="Sí",ROUND(H342*Configuracion!$B$11,0),0))</f>
        <v/>
      </c>
      <c r="K342" s="89">
        <f>IF(H342="","",H342+J342)</f>
        <v/>
      </c>
      <c r="L342" s="13">
        <f>IF(B342="","",YEAR(B342))</f>
        <v/>
      </c>
      <c r="M342" s="13">
        <f>IF(B342="","",MONTH(B342))</f>
        <v/>
      </c>
      <c r="N342" s="9" t="n"/>
      <c r="O342" s="9" t="n"/>
      <c r="P342" s="9" t="n"/>
      <c r="Q342" s="9" t="n"/>
    </row>
    <row r="343">
      <c r="A343" s="9" t="n"/>
      <c r="B343" s="70" t="n"/>
      <c r="C343" s="9" t="n"/>
      <c r="D343" s="9" t="n"/>
      <c r="E343" s="9" t="n"/>
      <c r="F343" s="9" t="n"/>
      <c r="G343" s="9" t="n"/>
      <c r="H343" s="71" t="n"/>
      <c r="I343" s="9" t="n"/>
      <c r="J343" s="89">
        <f>IF(H343="","",IF(I343="Sí",ROUND(H343*Configuracion!$B$11,0),0))</f>
        <v/>
      </c>
      <c r="K343" s="89">
        <f>IF(H343="","",H343+J343)</f>
        <v/>
      </c>
      <c r="L343" s="13">
        <f>IF(B343="","",YEAR(B343))</f>
        <v/>
      </c>
      <c r="M343" s="13">
        <f>IF(B343="","",MONTH(B343))</f>
        <v/>
      </c>
      <c r="N343" s="9" t="n"/>
      <c r="O343" s="9" t="n"/>
      <c r="P343" s="9" t="n"/>
      <c r="Q343" s="9" t="n"/>
    </row>
    <row r="344">
      <c r="A344" s="9" t="n"/>
      <c r="B344" s="70" t="n"/>
      <c r="C344" s="9" t="n"/>
      <c r="D344" s="9" t="n"/>
      <c r="E344" s="9" t="n"/>
      <c r="F344" s="9" t="n"/>
      <c r="G344" s="9" t="n"/>
      <c r="H344" s="71" t="n"/>
      <c r="I344" s="9" t="n"/>
      <c r="J344" s="89">
        <f>IF(H344="","",IF(I344="Sí",ROUND(H344*Configuracion!$B$11,0),0))</f>
        <v/>
      </c>
      <c r="K344" s="89">
        <f>IF(H344="","",H344+J344)</f>
        <v/>
      </c>
      <c r="L344" s="13">
        <f>IF(B344="","",YEAR(B344))</f>
        <v/>
      </c>
      <c r="M344" s="13">
        <f>IF(B344="","",MONTH(B344))</f>
        <v/>
      </c>
      <c r="N344" s="9" t="n"/>
      <c r="O344" s="9" t="n"/>
      <c r="P344" s="9" t="n"/>
      <c r="Q344" s="9" t="n"/>
    </row>
    <row r="345">
      <c r="A345" s="9" t="n"/>
      <c r="B345" s="70" t="n"/>
      <c r="C345" s="9" t="n"/>
      <c r="D345" s="9" t="n"/>
      <c r="E345" s="9" t="n"/>
      <c r="F345" s="9" t="n"/>
      <c r="G345" s="9" t="n"/>
      <c r="H345" s="71" t="n"/>
      <c r="I345" s="9" t="n"/>
      <c r="J345" s="89">
        <f>IF(H345="","",IF(I345="Sí",ROUND(H345*Configuracion!$B$11,0),0))</f>
        <v/>
      </c>
      <c r="K345" s="89">
        <f>IF(H345="","",H345+J345)</f>
        <v/>
      </c>
      <c r="L345" s="13">
        <f>IF(B345="","",YEAR(B345))</f>
        <v/>
      </c>
      <c r="M345" s="13">
        <f>IF(B345="","",MONTH(B345))</f>
        <v/>
      </c>
      <c r="N345" s="9" t="n"/>
      <c r="O345" s="9" t="n"/>
      <c r="P345" s="9" t="n"/>
      <c r="Q345" s="9" t="n"/>
    </row>
    <row r="346">
      <c r="A346" s="9" t="n"/>
      <c r="B346" s="70" t="n"/>
      <c r="C346" s="9" t="n"/>
      <c r="D346" s="9" t="n"/>
      <c r="E346" s="9" t="n"/>
      <c r="F346" s="9" t="n"/>
      <c r="G346" s="9" t="n"/>
      <c r="H346" s="71" t="n"/>
      <c r="I346" s="9" t="n"/>
      <c r="J346" s="89">
        <f>IF(H346="","",IF(I346="Sí",ROUND(H346*Configuracion!$B$11,0),0))</f>
        <v/>
      </c>
      <c r="K346" s="89">
        <f>IF(H346="","",H346+J346)</f>
        <v/>
      </c>
      <c r="L346" s="13">
        <f>IF(B346="","",YEAR(B346))</f>
        <v/>
      </c>
      <c r="M346" s="13">
        <f>IF(B346="","",MONTH(B346))</f>
        <v/>
      </c>
      <c r="N346" s="9" t="n"/>
      <c r="O346" s="9" t="n"/>
      <c r="P346" s="9" t="n"/>
      <c r="Q346" s="9" t="n"/>
    </row>
    <row r="347">
      <c r="A347" s="9" t="n"/>
      <c r="B347" s="70" t="n"/>
      <c r="C347" s="9" t="n"/>
      <c r="D347" s="9" t="n"/>
      <c r="E347" s="9" t="n"/>
      <c r="F347" s="9" t="n"/>
      <c r="G347" s="9" t="n"/>
      <c r="H347" s="71" t="n"/>
      <c r="I347" s="9" t="n"/>
      <c r="J347" s="89">
        <f>IF(H347="","",IF(I347="Sí",ROUND(H347*Configuracion!$B$11,0),0))</f>
        <v/>
      </c>
      <c r="K347" s="89">
        <f>IF(H347="","",H347+J347)</f>
        <v/>
      </c>
      <c r="L347" s="13">
        <f>IF(B347="","",YEAR(B347))</f>
        <v/>
      </c>
      <c r="M347" s="13">
        <f>IF(B347="","",MONTH(B347))</f>
        <v/>
      </c>
      <c r="N347" s="9" t="n"/>
      <c r="O347" s="9" t="n"/>
      <c r="P347" s="9" t="n"/>
      <c r="Q347" s="9" t="n"/>
    </row>
    <row r="348">
      <c r="A348" s="9" t="n"/>
      <c r="B348" s="70" t="n"/>
      <c r="C348" s="9" t="n"/>
      <c r="D348" s="9" t="n"/>
      <c r="E348" s="9" t="n"/>
      <c r="F348" s="9" t="n"/>
      <c r="G348" s="9" t="n"/>
      <c r="H348" s="71" t="n"/>
      <c r="I348" s="9" t="n"/>
      <c r="J348" s="89">
        <f>IF(H348="","",IF(I348="Sí",ROUND(H348*Configuracion!$B$11,0),0))</f>
        <v/>
      </c>
      <c r="K348" s="89">
        <f>IF(H348="","",H348+J348)</f>
        <v/>
      </c>
      <c r="L348" s="13">
        <f>IF(B348="","",YEAR(B348))</f>
        <v/>
      </c>
      <c r="M348" s="13">
        <f>IF(B348="","",MONTH(B348))</f>
        <v/>
      </c>
      <c r="N348" s="9" t="n"/>
      <c r="O348" s="9" t="n"/>
      <c r="P348" s="9" t="n"/>
      <c r="Q348" s="9" t="n"/>
    </row>
    <row r="349">
      <c r="A349" s="9" t="n"/>
      <c r="B349" s="70" t="n"/>
      <c r="C349" s="9" t="n"/>
      <c r="D349" s="9" t="n"/>
      <c r="E349" s="9" t="n"/>
      <c r="F349" s="9" t="n"/>
      <c r="G349" s="9" t="n"/>
      <c r="H349" s="71" t="n"/>
      <c r="I349" s="9" t="n"/>
      <c r="J349" s="89">
        <f>IF(H349="","",IF(I349="Sí",ROUND(H349*Configuracion!$B$11,0),0))</f>
        <v/>
      </c>
      <c r="K349" s="89">
        <f>IF(H349="","",H349+J349)</f>
        <v/>
      </c>
      <c r="L349" s="13">
        <f>IF(B349="","",YEAR(B349))</f>
        <v/>
      </c>
      <c r="M349" s="13">
        <f>IF(B349="","",MONTH(B349))</f>
        <v/>
      </c>
      <c r="N349" s="9" t="n"/>
      <c r="O349" s="9" t="n"/>
      <c r="P349" s="9" t="n"/>
      <c r="Q349" s="9" t="n"/>
    </row>
    <row r="350">
      <c r="A350" s="9" t="n"/>
      <c r="B350" s="70" t="n"/>
      <c r="C350" s="9" t="n"/>
      <c r="D350" s="9" t="n"/>
      <c r="E350" s="9" t="n"/>
      <c r="F350" s="9" t="n"/>
      <c r="G350" s="9" t="n"/>
      <c r="H350" s="71" t="n"/>
      <c r="I350" s="9" t="n"/>
      <c r="J350" s="89">
        <f>IF(H350="","",IF(I350="Sí",ROUND(H350*Configuracion!$B$11,0),0))</f>
        <v/>
      </c>
      <c r="K350" s="89">
        <f>IF(H350="","",H350+J350)</f>
        <v/>
      </c>
      <c r="L350" s="13">
        <f>IF(B350="","",YEAR(B350))</f>
        <v/>
      </c>
      <c r="M350" s="13">
        <f>IF(B350="","",MONTH(B350))</f>
        <v/>
      </c>
      <c r="N350" s="9" t="n"/>
      <c r="O350" s="9" t="n"/>
      <c r="P350" s="9" t="n"/>
      <c r="Q350" s="9" t="n"/>
    </row>
    <row r="351">
      <c r="A351" s="9" t="n"/>
      <c r="B351" s="70" t="n"/>
      <c r="C351" s="9" t="n"/>
      <c r="D351" s="9" t="n"/>
      <c r="E351" s="9" t="n"/>
      <c r="F351" s="9" t="n"/>
      <c r="G351" s="9" t="n"/>
      <c r="H351" s="71" t="n"/>
      <c r="I351" s="9" t="n"/>
      <c r="J351" s="89">
        <f>IF(H351="","",IF(I351="Sí",ROUND(H351*Configuracion!$B$11,0),0))</f>
        <v/>
      </c>
      <c r="K351" s="89">
        <f>IF(H351="","",H351+J351)</f>
        <v/>
      </c>
      <c r="L351" s="13">
        <f>IF(B351="","",YEAR(B351))</f>
        <v/>
      </c>
      <c r="M351" s="13">
        <f>IF(B351="","",MONTH(B351))</f>
        <v/>
      </c>
      <c r="N351" s="9" t="n"/>
      <c r="O351" s="9" t="n"/>
      <c r="P351" s="9" t="n"/>
      <c r="Q351" s="9" t="n"/>
    </row>
    <row r="352">
      <c r="A352" s="9" t="n"/>
      <c r="B352" s="70" t="n"/>
      <c r="C352" s="9" t="n"/>
      <c r="D352" s="9" t="n"/>
      <c r="E352" s="9" t="n"/>
      <c r="F352" s="9" t="n"/>
      <c r="G352" s="9" t="n"/>
      <c r="H352" s="71" t="n"/>
      <c r="I352" s="9" t="n"/>
      <c r="J352" s="89">
        <f>IF(H352="","",IF(I352="Sí",ROUND(H352*Configuracion!$B$11,0),0))</f>
        <v/>
      </c>
      <c r="K352" s="89">
        <f>IF(H352="","",H352+J352)</f>
        <v/>
      </c>
      <c r="L352" s="13">
        <f>IF(B352="","",YEAR(B352))</f>
        <v/>
      </c>
      <c r="M352" s="13">
        <f>IF(B352="","",MONTH(B352))</f>
        <v/>
      </c>
      <c r="N352" s="9" t="n"/>
      <c r="O352" s="9" t="n"/>
      <c r="P352" s="9" t="n"/>
      <c r="Q352" s="9" t="n"/>
    </row>
    <row r="353">
      <c r="A353" s="9" t="n"/>
      <c r="B353" s="70" t="n"/>
      <c r="C353" s="9" t="n"/>
      <c r="D353" s="9" t="n"/>
      <c r="E353" s="9" t="n"/>
      <c r="F353" s="9" t="n"/>
      <c r="G353" s="9" t="n"/>
      <c r="H353" s="71" t="n"/>
      <c r="I353" s="9" t="n"/>
      <c r="J353" s="89">
        <f>IF(H353="","",IF(I353="Sí",ROUND(H353*Configuracion!$B$11,0),0))</f>
        <v/>
      </c>
      <c r="K353" s="89">
        <f>IF(H353="","",H353+J353)</f>
        <v/>
      </c>
      <c r="L353" s="13">
        <f>IF(B353="","",YEAR(B353))</f>
        <v/>
      </c>
      <c r="M353" s="13">
        <f>IF(B353="","",MONTH(B353))</f>
        <v/>
      </c>
      <c r="N353" s="9" t="n"/>
      <c r="O353" s="9" t="n"/>
      <c r="P353" s="9" t="n"/>
      <c r="Q353" s="9" t="n"/>
    </row>
    <row r="354">
      <c r="A354" s="9" t="n"/>
      <c r="B354" s="70" t="n"/>
      <c r="C354" s="9" t="n"/>
      <c r="D354" s="9" t="n"/>
      <c r="E354" s="9" t="n"/>
      <c r="F354" s="9" t="n"/>
      <c r="G354" s="9" t="n"/>
      <c r="H354" s="71" t="n"/>
      <c r="I354" s="9" t="n"/>
      <c r="J354" s="89">
        <f>IF(H354="","",IF(I354="Sí",ROUND(H354*Configuracion!$B$11,0),0))</f>
        <v/>
      </c>
      <c r="K354" s="89">
        <f>IF(H354="","",H354+J354)</f>
        <v/>
      </c>
      <c r="L354" s="13">
        <f>IF(B354="","",YEAR(B354))</f>
        <v/>
      </c>
      <c r="M354" s="13">
        <f>IF(B354="","",MONTH(B354))</f>
        <v/>
      </c>
      <c r="N354" s="9" t="n"/>
      <c r="O354" s="9" t="n"/>
      <c r="P354" s="9" t="n"/>
      <c r="Q354" s="9" t="n"/>
    </row>
    <row r="355">
      <c r="A355" s="9" t="n"/>
      <c r="B355" s="70" t="n"/>
      <c r="C355" s="9" t="n"/>
      <c r="D355" s="9" t="n"/>
      <c r="E355" s="9" t="n"/>
      <c r="F355" s="9" t="n"/>
      <c r="G355" s="9" t="n"/>
      <c r="H355" s="71" t="n"/>
      <c r="I355" s="9" t="n"/>
      <c r="J355" s="89">
        <f>IF(H355="","",IF(I355="Sí",ROUND(H355*Configuracion!$B$11,0),0))</f>
        <v/>
      </c>
      <c r="K355" s="89">
        <f>IF(H355="","",H355+J355)</f>
        <v/>
      </c>
      <c r="L355" s="13">
        <f>IF(B355="","",YEAR(B355))</f>
        <v/>
      </c>
      <c r="M355" s="13">
        <f>IF(B355="","",MONTH(B355))</f>
        <v/>
      </c>
      <c r="N355" s="9" t="n"/>
      <c r="O355" s="9" t="n"/>
      <c r="P355" s="9" t="n"/>
      <c r="Q355" s="9" t="n"/>
    </row>
    <row r="356">
      <c r="A356" s="9" t="n"/>
      <c r="B356" s="70" t="n"/>
      <c r="C356" s="9" t="n"/>
      <c r="D356" s="9" t="n"/>
      <c r="E356" s="9" t="n"/>
      <c r="F356" s="9" t="n"/>
      <c r="G356" s="9" t="n"/>
      <c r="H356" s="71" t="n"/>
      <c r="I356" s="9" t="n"/>
      <c r="J356" s="89">
        <f>IF(H356="","",IF(I356="Sí",ROUND(H356*Configuracion!$B$11,0),0))</f>
        <v/>
      </c>
      <c r="K356" s="89">
        <f>IF(H356="","",H356+J356)</f>
        <v/>
      </c>
      <c r="L356" s="13">
        <f>IF(B356="","",YEAR(B356))</f>
        <v/>
      </c>
      <c r="M356" s="13">
        <f>IF(B356="","",MONTH(B356))</f>
        <v/>
      </c>
      <c r="N356" s="9" t="n"/>
      <c r="O356" s="9" t="n"/>
      <c r="P356" s="9" t="n"/>
      <c r="Q356" s="9" t="n"/>
    </row>
    <row r="357">
      <c r="A357" s="9" t="n"/>
      <c r="B357" s="70" t="n"/>
      <c r="C357" s="9" t="n"/>
      <c r="D357" s="9" t="n"/>
      <c r="E357" s="9" t="n"/>
      <c r="F357" s="9" t="n"/>
      <c r="G357" s="9" t="n"/>
      <c r="H357" s="71" t="n"/>
      <c r="I357" s="9" t="n"/>
      <c r="J357" s="89">
        <f>IF(H357="","",IF(I357="Sí",ROUND(H357*Configuracion!$B$11,0),0))</f>
        <v/>
      </c>
      <c r="K357" s="89">
        <f>IF(H357="","",H357+J357)</f>
        <v/>
      </c>
      <c r="L357" s="13">
        <f>IF(B357="","",YEAR(B357))</f>
        <v/>
      </c>
      <c r="M357" s="13">
        <f>IF(B357="","",MONTH(B357))</f>
        <v/>
      </c>
      <c r="N357" s="9" t="n"/>
      <c r="O357" s="9" t="n"/>
      <c r="P357" s="9" t="n"/>
      <c r="Q357" s="9" t="n"/>
    </row>
    <row r="358">
      <c r="A358" s="9" t="n"/>
      <c r="B358" s="70" t="n"/>
      <c r="C358" s="9" t="n"/>
      <c r="D358" s="9" t="n"/>
      <c r="E358" s="9" t="n"/>
      <c r="F358" s="9" t="n"/>
      <c r="G358" s="9" t="n"/>
      <c r="H358" s="71" t="n"/>
      <c r="I358" s="9" t="n"/>
      <c r="J358" s="89">
        <f>IF(H358="","",IF(I358="Sí",ROUND(H358*Configuracion!$B$11,0),0))</f>
        <v/>
      </c>
      <c r="K358" s="89">
        <f>IF(H358="","",H358+J358)</f>
        <v/>
      </c>
      <c r="L358" s="13">
        <f>IF(B358="","",YEAR(B358))</f>
        <v/>
      </c>
      <c r="M358" s="13">
        <f>IF(B358="","",MONTH(B358))</f>
        <v/>
      </c>
      <c r="N358" s="9" t="n"/>
      <c r="O358" s="9" t="n"/>
      <c r="P358" s="9" t="n"/>
      <c r="Q358" s="9" t="n"/>
    </row>
    <row r="359">
      <c r="A359" s="9" t="n"/>
      <c r="B359" s="70" t="n"/>
      <c r="C359" s="9" t="n"/>
      <c r="D359" s="9" t="n"/>
      <c r="E359" s="9" t="n"/>
      <c r="F359" s="9" t="n"/>
      <c r="G359" s="9" t="n"/>
      <c r="H359" s="71" t="n"/>
      <c r="I359" s="9" t="n"/>
      <c r="J359" s="89">
        <f>IF(H359="","",IF(I359="Sí",ROUND(H359*Configuracion!$B$11,0),0))</f>
        <v/>
      </c>
      <c r="K359" s="89">
        <f>IF(H359="","",H359+J359)</f>
        <v/>
      </c>
      <c r="L359" s="13">
        <f>IF(B359="","",YEAR(B359))</f>
        <v/>
      </c>
      <c r="M359" s="13">
        <f>IF(B359="","",MONTH(B359))</f>
        <v/>
      </c>
      <c r="N359" s="9" t="n"/>
      <c r="O359" s="9" t="n"/>
      <c r="P359" s="9" t="n"/>
      <c r="Q359" s="9" t="n"/>
    </row>
    <row r="360">
      <c r="A360" s="9" t="n"/>
      <c r="B360" s="70" t="n"/>
      <c r="C360" s="9" t="n"/>
      <c r="D360" s="9" t="n"/>
      <c r="E360" s="9" t="n"/>
      <c r="F360" s="9" t="n"/>
      <c r="G360" s="9" t="n"/>
      <c r="H360" s="71" t="n"/>
      <c r="I360" s="9" t="n"/>
      <c r="J360" s="89">
        <f>IF(H360="","",IF(I360="Sí",ROUND(H360*Configuracion!$B$11,0),0))</f>
        <v/>
      </c>
      <c r="K360" s="89">
        <f>IF(H360="","",H360+J360)</f>
        <v/>
      </c>
      <c r="L360" s="13">
        <f>IF(B360="","",YEAR(B360))</f>
        <v/>
      </c>
      <c r="M360" s="13">
        <f>IF(B360="","",MONTH(B360))</f>
        <v/>
      </c>
      <c r="N360" s="9" t="n"/>
      <c r="O360" s="9" t="n"/>
      <c r="P360" s="9" t="n"/>
      <c r="Q360" s="9" t="n"/>
    </row>
    <row r="361">
      <c r="A361" s="9" t="n"/>
      <c r="B361" s="70" t="n"/>
      <c r="C361" s="9" t="n"/>
      <c r="D361" s="9" t="n"/>
      <c r="E361" s="9" t="n"/>
      <c r="F361" s="9" t="n"/>
      <c r="G361" s="9" t="n"/>
      <c r="H361" s="71" t="n"/>
      <c r="I361" s="9" t="n"/>
      <c r="J361" s="89">
        <f>IF(H361="","",IF(I361="Sí",ROUND(H361*Configuracion!$B$11,0),0))</f>
        <v/>
      </c>
      <c r="K361" s="89">
        <f>IF(H361="","",H361+J361)</f>
        <v/>
      </c>
      <c r="L361" s="13">
        <f>IF(B361="","",YEAR(B361))</f>
        <v/>
      </c>
      <c r="M361" s="13">
        <f>IF(B361="","",MONTH(B361))</f>
        <v/>
      </c>
      <c r="N361" s="9" t="n"/>
      <c r="O361" s="9" t="n"/>
      <c r="P361" s="9" t="n"/>
      <c r="Q361" s="9" t="n"/>
    </row>
    <row r="362">
      <c r="A362" s="9" t="n"/>
      <c r="B362" s="70" t="n"/>
      <c r="C362" s="9" t="n"/>
      <c r="D362" s="9" t="n"/>
      <c r="E362" s="9" t="n"/>
      <c r="F362" s="9" t="n"/>
      <c r="G362" s="9" t="n"/>
      <c r="H362" s="71" t="n"/>
      <c r="I362" s="9" t="n"/>
      <c r="J362" s="89">
        <f>IF(H362="","",IF(I362="Sí",ROUND(H362*Configuracion!$B$11,0),0))</f>
        <v/>
      </c>
      <c r="K362" s="89">
        <f>IF(H362="","",H362+J362)</f>
        <v/>
      </c>
      <c r="L362" s="13">
        <f>IF(B362="","",YEAR(B362))</f>
        <v/>
      </c>
      <c r="M362" s="13">
        <f>IF(B362="","",MONTH(B362))</f>
        <v/>
      </c>
      <c r="N362" s="9" t="n"/>
      <c r="O362" s="9" t="n"/>
      <c r="P362" s="9" t="n"/>
      <c r="Q362" s="9" t="n"/>
    </row>
    <row r="363">
      <c r="A363" s="9" t="n"/>
      <c r="B363" s="70" t="n"/>
      <c r="C363" s="9" t="n"/>
      <c r="D363" s="9" t="n"/>
      <c r="E363" s="9" t="n"/>
      <c r="F363" s="9" t="n"/>
      <c r="G363" s="9" t="n"/>
      <c r="H363" s="71" t="n"/>
      <c r="I363" s="9" t="n"/>
      <c r="J363" s="89">
        <f>IF(H363="","",IF(I363="Sí",ROUND(H363*Configuracion!$B$11,0),0))</f>
        <v/>
      </c>
      <c r="K363" s="89">
        <f>IF(H363="","",H363+J363)</f>
        <v/>
      </c>
      <c r="L363" s="13">
        <f>IF(B363="","",YEAR(B363))</f>
        <v/>
      </c>
      <c r="M363" s="13">
        <f>IF(B363="","",MONTH(B363))</f>
        <v/>
      </c>
      <c r="N363" s="9" t="n"/>
      <c r="O363" s="9" t="n"/>
      <c r="P363" s="9" t="n"/>
      <c r="Q363" s="9" t="n"/>
    </row>
    <row r="364">
      <c r="A364" s="9" t="n"/>
      <c r="B364" s="70" t="n"/>
      <c r="C364" s="9" t="n"/>
      <c r="D364" s="9" t="n"/>
      <c r="E364" s="9" t="n"/>
      <c r="F364" s="9" t="n"/>
      <c r="G364" s="9" t="n"/>
      <c r="H364" s="71" t="n"/>
      <c r="I364" s="9" t="n"/>
      <c r="J364" s="89">
        <f>IF(H364="","",IF(I364="Sí",ROUND(H364*Configuracion!$B$11,0),0))</f>
        <v/>
      </c>
      <c r="K364" s="89">
        <f>IF(H364="","",H364+J364)</f>
        <v/>
      </c>
      <c r="L364" s="13">
        <f>IF(B364="","",YEAR(B364))</f>
        <v/>
      </c>
      <c r="M364" s="13">
        <f>IF(B364="","",MONTH(B364))</f>
        <v/>
      </c>
      <c r="N364" s="9" t="n"/>
      <c r="O364" s="9" t="n"/>
      <c r="P364" s="9" t="n"/>
      <c r="Q364" s="9" t="n"/>
    </row>
    <row r="365">
      <c r="A365" s="9" t="n"/>
      <c r="B365" s="70" t="n"/>
      <c r="C365" s="9" t="n"/>
      <c r="D365" s="9" t="n"/>
      <c r="E365" s="9" t="n"/>
      <c r="F365" s="9" t="n"/>
      <c r="G365" s="9" t="n"/>
      <c r="H365" s="71" t="n"/>
      <c r="I365" s="9" t="n"/>
      <c r="J365" s="89">
        <f>IF(H365="","",IF(I365="Sí",ROUND(H365*Configuracion!$B$11,0),0))</f>
        <v/>
      </c>
      <c r="K365" s="89">
        <f>IF(H365="","",H365+J365)</f>
        <v/>
      </c>
      <c r="L365" s="13">
        <f>IF(B365="","",YEAR(B365))</f>
        <v/>
      </c>
      <c r="M365" s="13">
        <f>IF(B365="","",MONTH(B365))</f>
        <v/>
      </c>
      <c r="N365" s="9" t="n"/>
      <c r="O365" s="9" t="n"/>
      <c r="P365" s="9" t="n"/>
      <c r="Q365" s="9" t="n"/>
    </row>
    <row r="366">
      <c r="A366" s="9" t="n"/>
      <c r="B366" s="70" t="n"/>
      <c r="C366" s="9" t="n"/>
      <c r="D366" s="9" t="n"/>
      <c r="E366" s="9" t="n"/>
      <c r="F366" s="9" t="n"/>
      <c r="G366" s="9" t="n"/>
      <c r="H366" s="71" t="n"/>
      <c r="I366" s="9" t="n"/>
      <c r="J366" s="89">
        <f>IF(H366="","",IF(I366="Sí",ROUND(H366*Configuracion!$B$11,0),0))</f>
        <v/>
      </c>
      <c r="K366" s="89">
        <f>IF(H366="","",H366+J366)</f>
        <v/>
      </c>
      <c r="L366" s="13">
        <f>IF(B366="","",YEAR(B366))</f>
        <v/>
      </c>
      <c r="M366" s="13">
        <f>IF(B366="","",MONTH(B366))</f>
        <v/>
      </c>
      <c r="N366" s="9" t="n"/>
      <c r="O366" s="9" t="n"/>
      <c r="P366" s="9" t="n"/>
      <c r="Q366" s="9" t="n"/>
    </row>
    <row r="367">
      <c r="A367" s="9" t="n"/>
      <c r="B367" s="70" t="n"/>
      <c r="C367" s="9" t="n"/>
      <c r="D367" s="9" t="n"/>
      <c r="E367" s="9" t="n"/>
      <c r="F367" s="9" t="n"/>
      <c r="G367" s="9" t="n"/>
      <c r="H367" s="71" t="n"/>
      <c r="I367" s="9" t="n"/>
      <c r="J367" s="89">
        <f>IF(H367="","",IF(I367="Sí",ROUND(H367*Configuracion!$B$11,0),0))</f>
        <v/>
      </c>
      <c r="K367" s="89">
        <f>IF(H367="","",H367+J367)</f>
        <v/>
      </c>
      <c r="L367" s="13">
        <f>IF(B367="","",YEAR(B367))</f>
        <v/>
      </c>
      <c r="M367" s="13">
        <f>IF(B367="","",MONTH(B367))</f>
        <v/>
      </c>
      <c r="N367" s="9" t="n"/>
      <c r="O367" s="9" t="n"/>
      <c r="P367" s="9" t="n"/>
      <c r="Q367" s="9" t="n"/>
    </row>
    <row r="368">
      <c r="A368" s="9" t="n"/>
      <c r="B368" s="70" t="n"/>
      <c r="C368" s="9" t="n"/>
      <c r="D368" s="9" t="n"/>
      <c r="E368" s="9" t="n"/>
      <c r="F368" s="9" t="n"/>
      <c r="G368" s="9" t="n"/>
      <c r="H368" s="71" t="n"/>
      <c r="I368" s="9" t="n"/>
      <c r="J368" s="89">
        <f>IF(H368="","",IF(I368="Sí",ROUND(H368*Configuracion!$B$11,0),0))</f>
        <v/>
      </c>
      <c r="K368" s="89">
        <f>IF(H368="","",H368+J368)</f>
        <v/>
      </c>
      <c r="L368" s="13">
        <f>IF(B368="","",YEAR(B368))</f>
        <v/>
      </c>
      <c r="M368" s="13">
        <f>IF(B368="","",MONTH(B368))</f>
        <v/>
      </c>
      <c r="N368" s="9" t="n"/>
      <c r="O368" s="9" t="n"/>
      <c r="P368" s="9" t="n"/>
      <c r="Q368" s="9" t="n"/>
    </row>
    <row r="369">
      <c r="A369" s="9" t="n"/>
      <c r="B369" s="70" t="n"/>
      <c r="C369" s="9" t="n"/>
      <c r="D369" s="9" t="n"/>
      <c r="E369" s="9" t="n"/>
      <c r="F369" s="9" t="n"/>
      <c r="G369" s="9" t="n"/>
      <c r="H369" s="71" t="n"/>
      <c r="I369" s="9" t="n"/>
      <c r="J369" s="89">
        <f>IF(H369="","",IF(I369="Sí",ROUND(H369*Configuracion!$B$11,0),0))</f>
        <v/>
      </c>
      <c r="K369" s="89">
        <f>IF(H369="","",H369+J369)</f>
        <v/>
      </c>
      <c r="L369" s="13">
        <f>IF(B369="","",YEAR(B369))</f>
        <v/>
      </c>
      <c r="M369" s="13">
        <f>IF(B369="","",MONTH(B369))</f>
        <v/>
      </c>
      <c r="N369" s="9" t="n"/>
      <c r="O369" s="9" t="n"/>
      <c r="P369" s="9" t="n"/>
      <c r="Q369" s="9" t="n"/>
    </row>
    <row r="370">
      <c r="A370" s="9" t="n"/>
      <c r="B370" s="70" t="n"/>
      <c r="C370" s="9" t="n"/>
      <c r="D370" s="9" t="n"/>
      <c r="E370" s="9" t="n"/>
      <c r="F370" s="9" t="n"/>
      <c r="G370" s="9" t="n"/>
      <c r="H370" s="71" t="n"/>
      <c r="I370" s="9" t="n"/>
      <c r="J370" s="89">
        <f>IF(H370="","",IF(I370="Sí",ROUND(H370*Configuracion!$B$11,0),0))</f>
        <v/>
      </c>
      <c r="K370" s="89">
        <f>IF(H370="","",H370+J370)</f>
        <v/>
      </c>
      <c r="L370" s="13">
        <f>IF(B370="","",YEAR(B370))</f>
        <v/>
      </c>
      <c r="M370" s="13">
        <f>IF(B370="","",MONTH(B370))</f>
        <v/>
      </c>
      <c r="N370" s="9" t="n"/>
      <c r="O370" s="9" t="n"/>
      <c r="P370" s="9" t="n"/>
      <c r="Q370" s="9" t="n"/>
    </row>
    <row r="371">
      <c r="A371" s="9" t="n"/>
      <c r="B371" s="70" t="n"/>
      <c r="C371" s="9" t="n"/>
      <c r="D371" s="9" t="n"/>
      <c r="E371" s="9" t="n"/>
      <c r="F371" s="9" t="n"/>
      <c r="G371" s="9" t="n"/>
      <c r="H371" s="71" t="n"/>
      <c r="I371" s="9" t="n"/>
      <c r="J371" s="89">
        <f>IF(H371="","",IF(I371="Sí",ROUND(H371*Configuracion!$B$11,0),0))</f>
        <v/>
      </c>
      <c r="K371" s="89">
        <f>IF(H371="","",H371+J371)</f>
        <v/>
      </c>
      <c r="L371" s="13">
        <f>IF(B371="","",YEAR(B371))</f>
        <v/>
      </c>
      <c r="M371" s="13">
        <f>IF(B371="","",MONTH(B371))</f>
        <v/>
      </c>
      <c r="N371" s="9" t="n"/>
      <c r="O371" s="9" t="n"/>
      <c r="P371" s="9" t="n"/>
      <c r="Q371" s="9" t="n"/>
    </row>
    <row r="372">
      <c r="A372" s="9" t="n"/>
      <c r="B372" s="70" t="n"/>
      <c r="C372" s="9" t="n"/>
      <c r="D372" s="9" t="n"/>
      <c r="E372" s="9" t="n"/>
      <c r="F372" s="9" t="n"/>
      <c r="G372" s="9" t="n"/>
      <c r="H372" s="71" t="n"/>
      <c r="I372" s="9" t="n"/>
      <c r="J372" s="89">
        <f>IF(H372="","",IF(I372="Sí",ROUND(H372*Configuracion!$B$11,0),0))</f>
        <v/>
      </c>
      <c r="K372" s="89">
        <f>IF(H372="","",H372+J372)</f>
        <v/>
      </c>
      <c r="L372" s="13">
        <f>IF(B372="","",YEAR(B372))</f>
        <v/>
      </c>
      <c r="M372" s="13">
        <f>IF(B372="","",MONTH(B372))</f>
        <v/>
      </c>
      <c r="N372" s="9" t="n"/>
      <c r="O372" s="9" t="n"/>
      <c r="P372" s="9" t="n"/>
      <c r="Q372" s="9" t="n"/>
    </row>
    <row r="373">
      <c r="A373" s="9" t="n"/>
      <c r="B373" s="70" t="n"/>
      <c r="C373" s="9" t="n"/>
      <c r="D373" s="9" t="n"/>
      <c r="E373" s="9" t="n"/>
      <c r="F373" s="9" t="n"/>
      <c r="G373" s="9" t="n"/>
      <c r="H373" s="71" t="n"/>
      <c r="I373" s="9" t="n"/>
      <c r="J373" s="89">
        <f>IF(H373="","",IF(I373="Sí",ROUND(H373*Configuracion!$B$11,0),0))</f>
        <v/>
      </c>
      <c r="K373" s="89">
        <f>IF(H373="","",H373+J373)</f>
        <v/>
      </c>
      <c r="L373" s="13">
        <f>IF(B373="","",YEAR(B373))</f>
        <v/>
      </c>
      <c r="M373" s="13">
        <f>IF(B373="","",MONTH(B373))</f>
        <v/>
      </c>
      <c r="N373" s="9" t="n"/>
      <c r="O373" s="9" t="n"/>
      <c r="P373" s="9" t="n"/>
      <c r="Q373" s="9" t="n"/>
    </row>
    <row r="374">
      <c r="A374" s="9" t="n"/>
      <c r="B374" s="70" t="n"/>
      <c r="C374" s="9" t="n"/>
      <c r="D374" s="9" t="n"/>
      <c r="E374" s="9" t="n"/>
      <c r="F374" s="9" t="n"/>
      <c r="G374" s="9" t="n"/>
      <c r="H374" s="71" t="n"/>
      <c r="I374" s="9" t="n"/>
      <c r="J374" s="89">
        <f>IF(H374="","",IF(I374="Sí",ROUND(H374*Configuracion!$B$11,0),0))</f>
        <v/>
      </c>
      <c r="K374" s="89">
        <f>IF(H374="","",H374+J374)</f>
        <v/>
      </c>
      <c r="L374" s="13">
        <f>IF(B374="","",YEAR(B374))</f>
        <v/>
      </c>
      <c r="M374" s="13">
        <f>IF(B374="","",MONTH(B374))</f>
        <v/>
      </c>
      <c r="N374" s="9" t="n"/>
      <c r="O374" s="9" t="n"/>
      <c r="P374" s="9" t="n"/>
      <c r="Q374" s="9" t="n"/>
    </row>
    <row r="375">
      <c r="A375" s="9" t="n"/>
      <c r="B375" s="70" t="n"/>
      <c r="C375" s="9" t="n"/>
      <c r="D375" s="9" t="n"/>
      <c r="E375" s="9" t="n"/>
      <c r="F375" s="9" t="n"/>
      <c r="G375" s="9" t="n"/>
      <c r="H375" s="71" t="n"/>
      <c r="I375" s="9" t="n"/>
      <c r="J375" s="89">
        <f>IF(H375="","",IF(I375="Sí",ROUND(H375*Configuracion!$B$11,0),0))</f>
        <v/>
      </c>
      <c r="K375" s="89">
        <f>IF(H375="","",H375+J375)</f>
        <v/>
      </c>
      <c r="L375" s="13">
        <f>IF(B375="","",YEAR(B375))</f>
        <v/>
      </c>
      <c r="M375" s="13">
        <f>IF(B375="","",MONTH(B375))</f>
        <v/>
      </c>
      <c r="N375" s="9" t="n"/>
      <c r="O375" s="9" t="n"/>
      <c r="P375" s="9" t="n"/>
      <c r="Q375" s="9" t="n"/>
    </row>
    <row r="376">
      <c r="A376" s="9" t="n"/>
      <c r="B376" s="70" t="n"/>
      <c r="C376" s="9" t="n"/>
      <c r="D376" s="9" t="n"/>
      <c r="E376" s="9" t="n"/>
      <c r="F376" s="9" t="n"/>
      <c r="G376" s="9" t="n"/>
      <c r="H376" s="71" t="n"/>
      <c r="I376" s="9" t="n"/>
      <c r="J376" s="89">
        <f>IF(H376="","",IF(I376="Sí",ROUND(H376*Configuracion!$B$11,0),0))</f>
        <v/>
      </c>
      <c r="K376" s="89">
        <f>IF(H376="","",H376+J376)</f>
        <v/>
      </c>
      <c r="L376" s="13">
        <f>IF(B376="","",YEAR(B376))</f>
        <v/>
      </c>
      <c r="M376" s="13">
        <f>IF(B376="","",MONTH(B376))</f>
        <v/>
      </c>
      <c r="N376" s="9" t="n"/>
      <c r="O376" s="9" t="n"/>
      <c r="P376" s="9" t="n"/>
      <c r="Q376" s="9" t="n"/>
    </row>
    <row r="377">
      <c r="A377" s="9" t="n"/>
      <c r="B377" s="70" t="n"/>
      <c r="C377" s="9" t="n"/>
      <c r="D377" s="9" t="n"/>
      <c r="E377" s="9" t="n"/>
      <c r="F377" s="9" t="n"/>
      <c r="G377" s="9" t="n"/>
      <c r="H377" s="71" t="n"/>
      <c r="I377" s="9" t="n"/>
      <c r="J377" s="89">
        <f>IF(H377="","",IF(I377="Sí",ROUND(H377*Configuracion!$B$11,0),0))</f>
        <v/>
      </c>
      <c r="K377" s="89">
        <f>IF(H377="","",H377+J377)</f>
        <v/>
      </c>
      <c r="L377" s="13">
        <f>IF(B377="","",YEAR(B377))</f>
        <v/>
      </c>
      <c r="M377" s="13">
        <f>IF(B377="","",MONTH(B377))</f>
        <v/>
      </c>
      <c r="N377" s="9" t="n"/>
      <c r="O377" s="9" t="n"/>
      <c r="P377" s="9" t="n"/>
      <c r="Q377" s="9" t="n"/>
    </row>
    <row r="378">
      <c r="A378" s="9" t="n"/>
      <c r="B378" s="70" t="n"/>
      <c r="C378" s="9" t="n"/>
      <c r="D378" s="9" t="n"/>
      <c r="E378" s="9" t="n"/>
      <c r="F378" s="9" t="n"/>
      <c r="G378" s="9" t="n"/>
      <c r="H378" s="71" t="n"/>
      <c r="I378" s="9" t="n"/>
      <c r="J378" s="89">
        <f>IF(H378="","",IF(I378="Sí",ROUND(H378*Configuracion!$B$11,0),0))</f>
        <v/>
      </c>
      <c r="K378" s="89">
        <f>IF(H378="","",H378+J378)</f>
        <v/>
      </c>
      <c r="L378" s="13">
        <f>IF(B378="","",YEAR(B378))</f>
        <v/>
      </c>
      <c r="M378" s="13">
        <f>IF(B378="","",MONTH(B378))</f>
        <v/>
      </c>
      <c r="N378" s="9" t="n"/>
      <c r="O378" s="9" t="n"/>
      <c r="P378" s="9" t="n"/>
      <c r="Q378" s="9" t="n"/>
    </row>
    <row r="379">
      <c r="A379" s="9" t="n"/>
      <c r="B379" s="70" t="n"/>
      <c r="C379" s="9" t="n"/>
      <c r="D379" s="9" t="n"/>
      <c r="E379" s="9" t="n"/>
      <c r="F379" s="9" t="n"/>
      <c r="G379" s="9" t="n"/>
      <c r="H379" s="71" t="n"/>
      <c r="I379" s="9" t="n"/>
      <c r="J379" s="89">
        <f>IF(H379="","",IF(I379="Sí",ROUND(H379*Configuracion!$B$11,0),0))</f>
        <v/>
      </c>
      <c r="K379" s="89">
        <f>IF(H379="","",H379+J379)</f>
        <v/>
      </c>
      <c r="L379" s="13">
        <f>IF(B379="","",YEAR(B379))</f>
        <v/>
      </c>
      <c r="M379" s="13">
        <f>IF(B379="","",MONTH(B379))</f>
        <v/>
      </c>
      <c r="N379" s="9" t="n"/>
      <c r="O379" s="9" t="n"/>
      <c r="P379" s="9" t="n"/>
      <c r="Q379" s="9" t="n"/>
    </row>
    <row r="380">
      <c r="A380" s="9" t="n"/>
      <c r="B380" s="70" t="n"/>
      <c r="C380" s="9" t="n"/>
      <c r="D380" s="9" t="n"/>
      <c r="E380" s="9" t="n"/>
      <c r="F380" s="9" t="n"/>
      <c r="G380" s="9" t="n"/>
      <c r="H380" s="71" t="n"/>
      <c r="I380" s="9" t="n"/>
      <c r="J380" s="89">
        <f>IF(H380="","",IF(I380="Sí",ROUND(H380*Configuracion!$B$11,0),0))</f>
        <v/>
      </c>
      <c r="K380" s="89">
        <f>IF(H380="","",H380+J380)</f>
        <v/>
      </c>
      <c r="L380" s="13">
        <f>IF(B380="","",YEAR(B380))</f>
        <v/>
      </c>
      <c r="M380" s="13">
        <f>IF(B380="","",MONTH(B380))</f>
        <v/>
      </c>
      <c r="N380" s="9" t="n"/>
      <c r="O380" s="9" t="n"/>
      <c r="P380" s="9" t="n"/>
      <c r="Q380" s="9" t="n"/>
    </row>
    <row r="381">
      <c r="A381" s="9" t="n"/>
      <c r="B381" s="70" t="n"/>
      <c r="C381" s="9" t="n"/>
      <c r="D381" s="9" t="n"/>
      <c r="E381" s="9" t="n"/>
      <c r="F381" s="9" t="n"/>
      <c r="G381" s="9" t="n"/>
      <c r="H381" s="71" t="n"/>
      <c r="I381" s="9" t="n"/>
      <c r="J381" s="89">
        <f>IF(H381="","",IF(I381="Sí",ROUND(H381*Configuracion!$B$11,0),0))</f>
        <v/>
      </c>
      <c r="K381" s="89">
        <f>IF(H381="","",H381+J381)</f>
        <v/>
      </c>
      <c r="L381" s="13">
        <f>IF(B381="","",YEAR(B381))</f>
        <v/>
      </c>
      <c r="M381" s="13">
        <f>IF(B381="","",MONTH(B381))</f>
        <v/>
      </c>
      <c r="N381" s="9" t="n"/>
      <c r="O381" s="9" t="n"/>
      <c r="P381" s="9" t="n"/>
      <c r="Q381" s="9" t="n"/>
    </row>
    <row r="382">
      <c r="A382" s="9" t="n"/>
      <c r="B382" s="70" t="n"/>
      <c r="C382" s="9" t="n"/>
      <c r="D382" s="9" t="n"/>
      <c r="E382" s="9" t="n"/>
      <c r="F382" s="9" t="n"/>
      <c r="G382" s="9" t="n"/>
      <c r="H382" s="71" t="n"/>
      <c r="I382" s="9" t="n"/>
      <c r="J382" s="89">
        <f>IF(H382="","",IF(I382="Sí",ROUND(H382*Configuracion!$B$11,0),0))</f>
        <v/>
      </c>
      <c r="K382" s="89">
        <f>IF(H382="","",H382+J382)</f>
        <v/>
      </c>
      <c r="L382" s="13">
        <f>IF(B382="","",YEAR(B382))</f>
        <v/>
      </c>
      <c r="M382" s="13">
        <f>IF(B382="","",MONTH(B382))</f>
        <v/>
      </c>
      <c r="N382" s="9" t="n"/>
      <c r="O382" s="9" t="n"/>
      <c r="P382" s="9" t="n"/>
      <c r="Q382" s="9" t="n"/>
    </row>
    <row r="383">
      <c r="A383" s="9" t="n"/>
      <c r="B383" s="70" t="n"/>
      <c r="C383" s="9" t="n"/>
      <c r="D383" s="9" t="n"/>
      <c r="E383" s="9" t="n"/>
      <c r="F383" s="9" t="n"/>
      <c r="G383" s="9" t="n"/>
      <c r="H383" s="71" t="n"/>
      <c r="I383" s="9" t="n"/>
      <c r="J383" s="89">
        <f>IF(H383="","",IF(I383="Sí",ROUND(H383*Configuracion!$B$11,0),0))</f>
        <v/>
      </c>
      <c r="K383" s="89">
        <f>IF(H383="","",H383+J383)</f>
        <v/>
      </c>
      <c r="L383" s="13">
        <f>IF(B383="","",YEAR(B383))</f>
        <v/>
      </c>
      <c r="M383" s="13">
        <f>IF(B383="","",MONTH(B383))</f>
        <v/>
      </c>
      <c r="N383" s="9" t="n"/>
      <c r="O383" s="9" t="n"/>
      <c r="P383" s="9" t="n"/>
      <c r="Q383" s="9" t="n"/>
    </row>
    <row r="384">
      <c r="A384" s="9" t="n"/>
      <c r="B384" s="70" t="n"/>
      <c r="C384" s="9" t="n"/>
      <c r="D384" s="9" t="n"/>
      <c r="E384" s="9" t="n"/>
      <c r="F384" s="9" t="n"/>
      <c r="G384" s="9" t="n"/>
      <c r="H384" s="71" t="n"/>
      <c r="I384" s="9" t="n"/>
      <c r="J384" s="89">
        <f>IF(H384="","",IF(I384="Sí",ROUND(H384*Configuracion!$B$11,0),0))</f>
        <v/>
      </c>
      <c r="K384" s="89">
        <f>IF(H384="","",H384+J384)</f>
        <v/>
      </c>
      <c r="L384" s="13">
        <f>IF(B384="","",YEAR(B384))</f>
        <v/>
      </c>
      <c r="M384" s="13">
        <f>IF(B384="","",MONTH(B384))</f>
        <v/>
      </c>
      <c r="N384" s="9" t="n"/>
      <c r="O384" s="9" t="n"/>
      <c r="P384" s="9" t="n"/>
      <c r="Q384" s="9" t="n"/>
    </row>
    <row r="385">
      <c r="A385" s="9" t="n"/>
      <c r="B385" s="70" t="n"/>
      <c r="C385" s="9" t="n"/>
      <c r="D385" s="9" t="n"/>
      <c r="E385" s="9" t="n"/>
      <c r="F385" s="9" t="n"/>
      <c r="G385" s="9" t="n"/>
      <c r="H385" s="71" t="n"/>
      <c r="I385" s="9" t="n"/>
      <c r="J385" s="89">
        <f>IF(H385="","",IF(I385="Sí",ROUND(H385*Configuracion!$B$11,0),0))</f>
        <v/>
      </c>
      <c r="K385" s="89">
        <f>IF(H385="","",H385+J385)</f>
        <v/>
      </c>
      <c r="L385" s="13">
        <f>IF(B385="","",YEAR(B385))</f>
        <v/>
      </c>
      <c r="M385" s="13">
        <f>IF(B385="","",MONTH(B385))</f>
        <v/>
      </c>
      <c r="N385" s="9" t="n"/>
      <c r="O385" s="9" t="n"/>
      <c r="P385" s="9" t="n"/>
      <c r="Q385" s="9" t="n"/>
    </row>
    <row r="386">
      <c r="A386" s="9" t="n"/>
      <c r="B386" s="70" t="n"/>
      <c r="C386" s="9" t="n"/>
      <c r="D386" s="9" t="n"/>
      <c r="E386" s="9" t="n"/>
      <c r="F386" s="9" t="n"/>
      <c r="G386" s="9" t="n"/>
      <c r="H386" s="71" t="n"/>
      <c r="I386" s="9" t="n"/>
      <c r="J386" s="89">
        <f>IF(H386="","",IF(I386="Sí",ROUND(H386*Configuracion!$B$11,0),0))</f>
        <v/>
      </c>
      <c r="K386" s="89">
        <f>IF(H386="","",H386+J386)</f>
        <v/>
      </c>
      <c r="L386" s="13">
        <f>IF(B386="","",YEAR(B386))</f>
        <v/>
      </c>
      <c r="M386" s="13">
        <f>IF(B386="","",MONTH(B386))</f>
        <v/>
      </c>
      <c r="N386" s="9" t="n"/>
      <c r="O386" s="9" t="n"/>
      <c r="P386" s="9" t="n"/>
      <c r="Q386" s="9" t="n"/>
    </row>
    <row r="387">
      <c r="A387" s="9" t="n"/>
      <c r="B387" s="70" t="n"/>
      <c r="C387" s="9" t="n"/>
      <c r="D387" s="9" t="n"/>
      <c r="E387" s="9" t="n"/>
      <c r="F387" s="9" t="n"/>
      <c r="G387" s="9" t="n"/>
      <c r="H387" s="71" t="n"/>
      <c r="I387" s="9" t="n"/>
      <c r="J387" s="89">
        <f>IF(H387="","",IF(I387="Sí",ROUND(H387*Configuracion!$B$11,0),0))</f>
        <v/>
      </c>
      <c r="K387" s="89">
        <f>IF(H387="","",H387+J387)</f>
        <v/>
      </c>
      <c r="L387" s="13">
        <f>IF(B387="","",YEAR(B387))</f>
        <v/>
      </c>
      <c r="M387" s="13">
        <f>IF(B387="","",MONTH(B387))</f>
        <v/>
      </c>
      <c r="N387" s="9" t="n"/>
      <c r="O387" s="9" t="n"/>
      <c r="P387" s="9" t="n"/>
      <c r="Q387" s="9" t="n"/>
    </row>
    <row r="388">
      <c r="A388" s="9" t="n"/>
      <c r="B388" s="70" t="n"/>
      <c r="C388" s="9" t="n"/>
      <c r="D388" s="9" t="n"/>
      <c r="E388" s="9" t="n"/>
      <c r="F388" s="9" t="n"/>
      <c r="G388" s="9" t="n"/>
      <c r="H388" s="71" t="n"/>
      <c r="I388" s="9" t="n"/>
      <c r="J388" s="89">
        <f>IF(H388="","",IF(I388="Sí",ROUND(H388*Configuracion!$B$11,0),0))</f>
        <v/>
      </c>
      <c r="K388" s="89">
        <f>IF(H388="","",H388+J388)</f>
        <v/>
      </c>
      <c r="L388" s="13">
        <f>IF(B388="","",YEAR(B388))</f>
        <v/>
      </c>
      <c r="M388" s="13">
        <f>IF(B388="","",MONTH(B388))</f>
        <v/>
      </c>
      <c r="N388" s="9" t="n"/>
      <c r="O388" s="9" t="n"/>
      <c r="P388" s="9" t="n"/>
      <c r="Q388" s="9" t="n"/>
    </row>
    <row r="389">
      <c r="A389" s="9" t="n"/>
      <c r="B389" s="70" t="n"/>
      <c r="C389" s="9" t="n"/>
      <c r="D389" s="9" t="n"/>
      <c r="E389" s="9" t="n"/>
      <c r="F389" s="9" t="n"/>
      <c r="G389" s="9" t="n"/>
      <c r="H389" s="71" t="n"/>
      <c r="I389" s="9" t="n"/>
      <c r="J389" s="89">
        <f>IF(H389="","",IF(I389="Sí",ROUND(H389*Configuracion!$B$11,0),0))</f>
        <v/>
      </c>
      <c r="K389" s="89">
        <f>IF(H389="","",H389+J389)</f>
        <v/>
      </c>
      <c r="L389" s="13">
        <f>IF(B389="","",YEAR(B389))</f>
        <v/>
      </c>
      <c r="M389" s="13">
        <f>IF(B389="","",MONTH(B389))</f>
        <v/>
      </c>
      <c r="N389" s="9" t="n"/>
      <c r="O389" s="9" t="n"/>
      <c r="P389" s="9" t="n"/>
      <c r="Q389" s="9" t="n"/>
    </row>
    <row r="390">
      <c r="A390" s="9" t="n"/>
      <c r="B390" s="70" t="n"/>
      <c r="C390" s="9" t="n"/>
      <c r="D390" s="9" t="n"/>
      <c r="E390" s="9" t="n"/>
      <c r="F390" s="9" t="n"/>
      <c r="G390" s="9" t="n"/>
      <c r="H390" s="71" t="n"/>
      <c r="I390" s="9" t="n"/>
      <c r="J390" s="89">
        <f>IF(H390="","",IF(I390="Sí",ROUND(H390*Configuracion!$B$11,0),0))</f>
        <v/>
      </c>
      <c r="K390" s="89">
        <f>IF(H390="","",H390+J390)</f>
        <v/>
      </c>
      <c r="L390" s="13">
        <f>IF(B390="","",YEAR(B390))</f>
        <v/>
      </c>
      <c r="M390" s="13">
        <f>IF(B390="","",MONTH(B390))</f>
        <v/>
      </c>
      <c r="N390" s="9" t="n"/>
      <c r="O390" s="9" t="n"/>
      <c r="P390" s="9" t="n"/>
      <c r="Q390" s="9" t="n"/>
    </row>
    <row r="391">
      <c r="A391" s="9" t="n"/>
      <c r="B391" s="70" t="n"/>
      <c r="C391" s="9" t="n"/>
      <c r="D391" s="9" t="n"/>
      <c r="E391" s="9" t="n"/>
      <c r="F391" s="9" t="n"/>
      <c r="G391" s="9" t="n"/>
      <c r="H391" s="71" t="n"/>
      <c r="I391" s="9" t="n"/>
      <c r="J391" s="89">
        <f>IF(H391="","",IF(I391="Sí",ROUND(H391*Configuracion!$B$11,0),0))</f>
        <v/>
      </c>
      <c r="K391" s="89">
        <f>IF(H391="","",H391+J391)</f>
        <v/>
      </c>
      <c r="L391" s="13">
        <f>IF(B391="","",YEAR(B391))</f>
        <v/>
      </c>
      <c r="M391" s="13">
        <f>IF(B391="","",MONTH(B391))</f>
        <v/>
      </c>
      <c r="N391" s="9" t="n"/>
      <c r="O391" s="9" t="n"/>
      <c r="P391" s="9" t="n"/>
      <c r="Q391" s="9" t="n"/>
    </row>
    <row r="392">
      <c r="A392" s="9" t="n"/>
      <c r="B392" s="70" t="n"/>
      <c r="C392" s="9" t="n"/>
      <c r="D392" s="9" t="n"/>
      <c r="E392" s="9" t="n"/>
      <c r="F392" s="9" t="n"/>
      <c r="G392" s="9" t="n"/>
      <c r="H392" s="71" t="n"/>
      <c r="I392" s="9" t="n"/>
      <c r="J392" s="89">
        <f>IF(H392="","",IF(I392="Sí",ROUND(H392*Configuracion!$B$11,0),0))</f>
        <v/>
      </c>
      <c r="K392" s="89">
        <f>IF(H392="","",H392+J392)</f>
        <v/>
      </c>
      <c r="L392" s="13">
        <f>IF(B392="","",YEAR(B392))</f>
        <v/>
      </c>
      <c r="M392" s="13">
        <f>IF(B392="","",MONTH(B392))</f>
        <v/>
      </c>
      <c r="N392" s="9" t="n"/>
      <c r="O392" s="9" t="n"/>
      <c r="P392" s="9" t="n"/>
      <c r="Q392" s="9" t="n"/>
    </row>
    <row r="393">
      <c r="A393" s="9" t="n"/>
      <c r="B393" s="70" t="n"/>
      <c r="C393" s="9" t="n"/>
      <c r="D393" s="9" t="n"/>
      <c r="E393" s="9" t="n"/>
      <c r="F393" s="9" t="n"/>
      <c r="G393" s="9" t="n"/>
      <c r="H393" s="71" t="n"/>
      <c r="I393" s="9" t="n"/>
      <c r="J393" s="89">
        <f>IF(H393="","",IF(I393="Sí",ROUND(H393*Configuracion!$B$11,0),0))</f>
        <v/>
      </c>
      <c r="K393" s="89">
        <f>IF(H393="","",H393+J393)</f>
        <v/>
      </c>
      <c r="L393" s="13">
        <f>IF(B393="","",YEAR(B393))</f>
        <v/>
      </c>
      <c r="M393" s="13">
        <f>IF(B393="","",MONTH(B393))</f>
        <v/>
      </c>
      <c r="N393" s="9" t="n"/>
      <c r="O393" s="9" t="n"/>
      <c r="P393" s="9" t="n"/>
      <c r="Q393" s="9" t="n"/>
    </row>
    <row r="394">
      <c r="A394" s="9" t="n"/>
      <c r="B394" s="70" t="n"/>
      <c r="C394" s="9" t="n"/>
      <c r="D394" s="9" t="n"/>
      <c r="E394" s="9" t="n"/>
      <c r="F394" s="9" t="n"/>
      <c r="G394" s="9" t="n"/>
      <c r="H394" s="71" t="n"/>
      <c r="I394" s="9" t="n"/>
      <c r="J394" s="89">
        <f>IF(H394="","",IF(I394="Sí",ROUND(H394*Configuracion!$B$11,0),0))</f>
        <v/>
      </c>
      <c r="K394" s="89">
        <f>IF(H394="","",H394+J394)</f>
        <v/>
      </c>
      <c r="L394" s="13">
        <f>IF(B394="","",YEAR(B394))</f>
        <v/>
      </c>
      <c r="M394" s="13">
        <f>IF(B394="","",MONTH(B394))</f>
        <v/>
      </c>
      <c r="N394" s="9" t="n"/>
      <c r="O394" s="9" t="n"/>
      <c r="P394" s="9" t="n"/>
      <c r="Q394" s="9" t="n"/>
    </row>
    <row r="395">
      <c r="A395" s="9" t="n"/>
      <c r="B395" s="70" t="n"/>
      <c r="C395" s="9" t="n"/>
      <c r="D395" s="9" t="n"/>
      <c r="E395" s="9" t="n"/>
      <c r="F395" s="9" t="n"/>
      <c r="G395" s="9" t="n"/>
      <c r="H395" s="71" t="n"/>
      <c r="I395" s="9" t="n"/>
      <c r="J395" s="89">
        <f>IF(H395="","",IF(I395="Sí",ROUND(H395*Configuracion!$B$11,0),0))</f>
        <v/>
      </c>
      <c r="K395" s="89">
        <f>IF(H395="","",H395+J395)</f>
        <v/>
      </c>
      <c r="L395" s="13">
        <f>IF(B395="","",YEAR(B395))</f>
        <v/>
      </c>
      <c r="M395" s="13">
        <f>IF(B395="","",MONTH(B395))</f>
        <v/>
      </c>
      <c r="N395" s="9" t="n"/>
      <c r="O395" s="9" t="n"/>
      <c r="P395" s="9" t="n"/>
      <c r="Q395" s="9" t="n"/>
    </row>
    <row r="396">
      <c r="A396" s="9" t="n"/>
      <c r="B396" s="70" t="n"/>
      <c r="C396" s="9" t="n"/>
      <c r="D396" s="9" t="n"/>
      <c r="E396" s="9" t="n"/>
      <c r="F396" s="9" t="n"/>
      <c r="G396" s="9" t="n"/>
      <c r="H396" s="71" t="n"/>
      <c r="I396" s="9" t="n"/>
      <c r="J396" s="89">
        <f>IF(H396="","",IF(I396="Sí",ROUND(H396*Configuracion!$B$11,0),0))</f>
        <v/>
      </c>
      <c r="K396" s="89">
        <f>IF(H396="","",H396+J396)</f>
        <v/>
      </c>
      <c r="L396" s="13">
        <f>IF(B396="","",YEAR(B396))</f>
        <v/>
      </c>
      <c r="M396" s="13">
        <f>IF(B396="","",MONTH(B396))</f>
        <v/>
      </c>
      <c r="N396" s="9" t="n"/>
      <c r="O396" s="9" t="n"/>
      <c r="P396" s="9" t="n"/>
      <c r="Q396" s="9" t="n"/>
    </row>
    <row r="397">
      <c r="A397" s="9" t="n"/>
      <c r="B397" s="70" t="n"/>
      <c r="C397" s="9" t="n"/>
      <c r="D397" s="9" t="n"/>
      <c r="E397" s="9" t="n"/>
      <c r="F397" s="9" t="n"/>
      <c r="G397" s="9" t="n"/>
      <c r="H397" s="71" t="n"/>
      <c r="I397" s="9" t="n"/>
      <c r="J397" s="89">
        <f>IF(H397="","",IF(I397="Sí",ROUND(H397*Configuracion!$B$11,0),0))</f>
        <v/>
      </c>
      <c r="K397" s="89">
        <f>IF(H397="","",H397+J397)</f>
        <v/>
      </c>
      <c r="L397" s="13">
        <f>IF(B397="","",YEAR(B397))</f>
        <v/>
      </c>
      <c r="M397" s="13">
        <f>IF(B397="","",MONTH(B397))</f>
        <v/>
      </c>
      <c r="N397" s="9" t="n"/>
      <c r="O397" s="9" t="n"/>
      <c r="P397" s="9" t="n"/>
      <c r="Q397" s="9" t="n"/>
    </row>
    <row r="398">
      <c r="A398" s="9" t="n"/>
      <c r="B398" s="70" t="n"/>
      <c r="C398" s="9" t="n"/>
      <c r="D398" s="9" t="n"/>
      <c r="E398" s="9" t="n"/>
      <c r="F398" s="9" t="n"/>
      <c r="G398" s="9" t="n"/>
      <c r="H398" s="71" t="n"/>
      <c r="I398" s="9" t="n"/>
      <c r="J398" s="89">
        <f>IF(H398="","",IF(I398="Sí",ROUND(H398*Configuracion!$B$11,0),0))</f>
        <v/>
      </c>
      <c r="K398" s="89">
        <f>IF(H398="","",H398+J398)</f>
        <v/>
      </c>
      <c r="L398" s="13">
        <f>IF(B398="","",YEAR(B398))</f>
        <v/>
      </c>
      <c r="M398" s="13">
        <f>IF(B398="","",MONTH(B398))</f>
        <v/>
      </c>
      <c r="N398" s="9" t="n"/>
      <c r="O398" s="9" t="n"/>
      <c r="P398" s="9" t="n"/>
      <c r="Q398" s="9" t="n"/>
    </row>
    <row r="399">
      <c r="A399" s="9" t="n"/>
      <c r="B399" s="70" t="n"/>
      <c r="C399" s="9" t="n"/>
      <c r="D399" s="9" t="n"/>
      <c r="E399" s="9" t="n"/>
      <c r="F399" s="9" t="n"/>
      <c r="G399" s="9" t="n"/>
      <c r="H399" s="71" t="n"/>
      <c r="I399" s="9" t="n"/>
      <c r="J399" s="89">
        <f>IF(H399="","",IF(I399="Sí",ROUND(H399*Configuracion!$B$11,0),0))</f>
        <v/>
      </c>
      <c r="K399" s="89">
        <f>IF(H399="","",H399+J399)</f>
        <v/>
      </c>
      <c r="L399" s="13">
        <f>IF(B399="","",YEAR(B399))</f>
        <v/>
      </c>
      <c r="M399" s="13">
        <f>IF(B399="","",MONTH(B399))</f>
        <v/>
      </c>
      <c r="N399" s="9" t="n"/>
      <c r="O399" s="9" t="n"/>
      <c r="P399" s="9" t="n"/>
      <c r="Q399" s="9" t="n"/>
    </row>
    <row r="400">
      <c r="A400" s="9" t="n"/>
      <c r="B400" s="70" t="n"/>
      <c r="C400" s="9" t="n"/>
      <c r="D400" s="9" t="n"/>
      <c r="E400" s="9" t="n"/>
      <c r="F400" s="9" t="n"/>
      <c r="G400" s="9" t="n"/>
      <c r="H400" s="71" t="n"/>
      <c r="I400" s="9" t="n"/>
      <c r="J400" s="89">
        <f>IF(H400="","",IF(I400="Sí",ROUND(H400*Configuracion!$B$11,0),0))</f>
        <v/>
      </c>
      <c r="K400" s="89">
        <f>IF(H400="","",H400+J400)</f>
        <v/>
      </c>
      <c r="L400" s="13">
        <f>IF(B400="","",YEAR(B400))</f>
        <v/>
      </c>
      <c r="M400" s="13">
        <f>IF(B400="","",MONTH(B400))</f>
        <v/>
      </c>
      <c r="N400" s="9" t="n"/>
      <c r="O400" s="9" t="n"/>
      <c r="P400" s="9" t="n"/>
      <c r="Q400" s="9" t="n"/>
    </row>
    <row r="401">
      <c r="A401" s="9" t="n"/>
      <c r="B401" s="70" t="n"/>
      <c r="C401" s="9" t="n"/>
      <c r="D401" s="9" t="n"/>
      <c r="E401" s="9" t="n"/>
      <c r="F401" s="9" t="n"/>
      <c r="G401" s="9" t="n"/>
      <c r="H401" s="71" t="n"/>
      <c r="I401" s="9" t="n"/>
      <c r="J401" s="89">
        <f>IF(H401="","",IF(I401="Sí",ROUND(H401*Configuracion!$B$11,0),0))</f>
        <v/>
      </c>
      <c r="K401" s="89">
        <f>IF(H401="","",H401+J401)</f>
        <v/>
      </c>
      <c r="L401" s="13">
        <f>IF(B401="","",YEAR(B401))</f>
        <v/>
      </c>
      <c r="M401" s="13">
        <f>IF(B401="","",MONTH(B401))</f>
        <v/>
      </c>
      <c r="N401" s="9" t="n"/>
      <c r="O401" s="9" t="n"/>
      <c r="P401" s="9" t="n"/>
      <c r="Q401" s="9" t="n"/>
    </row>
    <row r="402">
      <c r="A402" s="9" t="n"/>
      <c r="B402" s="70" t="n"/>
      <c r="C402" s="9" t="n"/>
      <c r="D402" s="9" t="n"/>
      <c r="E402" s="9" t="n"/>
      <c r="F402" s="9" t="n"/>
      <c r="G402" s="9" t="n"/>
      <c r="H402" s="71" t="n"/>
      <c r="I402" s="9" t="n"/>
      <c r="J402" s="89">
        <f>IF(H402="","",IF(I402="Sí",ROUND(H402*Configuracion!$B$11,0),0))</f>
        <v/>
      </c>
      <c r="K402" s="89">
        <f>IF(H402="","",H402+J402)</f>
        <v/>
      </c>
      <c r="L402" s="13">
        <f>IF(B402="","",YEAR(B402))</f>
        <v/>
      </c>
      <c r="M402" s="13">
        <f>IF(B402="","",MONTH(B402))</f>
        <v/>
      </c>
      <c r="N402" s="9" t="n"/>
      <c r="O402" s="9" t="n"/>
      <c r="P402" s="9" t="n"/>
      <c r="Q402" s="9" t="n"/>
    </row>
    <row r="403">
      <c r="A403" s="9" t="n"/>
      <c r="B403" s="70" t="n"/>
      <c r="C403" s="9" t="n"/>
      <c r="D403" s="9" t="n"/>
      <c r="E403" s="9" t="n"/>
      <c r="F403" s="9" t="n"/>
      <c r="G403" s="9" t="n"/>
      <c r="H403" s="71" t="n"/>
      <c r="I403" s="9" t="n"/>
      <c r="J403" s="89">
        <f>IF(H403="","",IF(I403="Sí",ROUND(H403*Configuracion!$B$11,0),0))</f>
        <v/>
      </c>
      <c r="K403" s="89">
        <f>IF(H403="","",H403+J403)</f>
        <v/>
      </c>
      <c r="L403" s="13">
        <f>IF(B403="","",YEAR(B403))</f>
        <v/>
      </c>
      <c r="M403" s="13">
        <f>IF(B403="","",MONTH(B403))</f>
        <v/>
      </c>
      <c r="N403" s="9" t="n"/>
      <c r="O403" s="9" t="n"/>
      <c r="P403" s="9" t="n"/>
      <c r="Q403" s="9" t="n"/>
    </row>
    <row r="404">
      <c r="A404" s="9" t="n"/>
      <c r="B404" s="70" t="n"/>
      <c r="C404" s="9" t="n"/>
      <c r="D404" s="9" t="n"/>
      <c r="E404" s="9" t="n"/>
      <c r="F404" s="9" t="n"/>
      <c r="G404" s="9" t="n"/>
      <c r="H404" s="71" t="n"/>
      <c r="I404" s="9" t="n"/>
      <c r="J404" s="89">
        <f>IF(H404="","",IF(I404="Sí",ROUND(H404*Configuracion!$B$11,0),0))</f>
        <v/>
      </c>
      <c r="K404" s="89">
        <f>IF(H404="","",H404+J404)</f>
        <v/>
      </c>
      <c r="L404" s="13">
        <f>IF(B404="","",YEAR(B404))</f>
        <v/>
      </c>
      <c r="M404" s="13">
        <f>IF(B404="","",MONTH(B404))</f>
        <v/>
      </c>
      <c r="N404" s="9" t="n"/>
      <c r="O404" s="9" t="n"/>
      <c r="P404" s="9" t="n"/>
      <c r="Q404" s="9" t="n"/>
    </row>
    <row r="405">
      <c r="A405" s="9" t="n"/>
      <c r="B405" s="70" t="n"/>
      <c r="C405" s="9" t="n"/>
      <c r="D405" s="9" t="n"/>
      <c r="E405" s="9" t="n"/>
      <c r="F405" s="9" t="n"/>
      <c r="G405" s="9" t="n"/>
      <c r="H405" s="71" t="n"/>
      <c r="I405" s="9" t="n"/>
      <c r="J405" s="89">
        <f>IF(H405="","",IF(I405="Sí",ROUND(H405*Configuracion!$B$11,0),0))</f>
        <v/>
      </c>
      <c r="K405" s="89">
        <f>IF(H405="","",H405+J405)</f>
        <v/>
      </c>
      <c r="L405" s="13">
        <f>IF(B405="","",YEAR(B405))</f>
        <v/>
      </c>
      <c r="M405" s="13">
        <f>IF(B405="","",MONTH(B405))</f>
        <v/>
      </c>
      <c r="N405" s="9" t="n"/>
      <c r="O405" s="9" t="n"/>
      <c r="P405" s="9" t="n"/>
      <c r="Q405" s="9" t="n"/>
    </row>
    <row r="406">
      <c r="A406" s="9" t="n"/>
      <c r="B406" s="70" t="n"/>
      <c r="C406" s="9" t="n"/>
      <c r="D406" s="9" t="n"/>
      <c r="E406" s="9" t="n"/>
      <c r="F406" s="9" t="n"/>
      <c r="G406" s="9" t="n"/>
      <c r="H406" s="71" t="n"/>
      <c r="I406" s="9" t="n"/>
      <c r="J406" s="89">
        <f>IF(H406="","",IF(I406="Sí",ROUND(H406*Configuracion!$B$11,0),0))</f>
        <v/>
      </c>
      <c r="K406" s="89">
        <f>IF(H406="","",H406+J406)</f>
        <v/>
      </c>
      <c r="L406" s="13">
        <f>IF(B406="","",YEAR(B406))</f>
        <v/>
      </c>
      <c r="M406" s="13">
        <f>IF(B406="","",MONTH(B406))</f>
        <v/>
      </c>
      <c r="N406" s="9" t="n"/>
      <c r="O406" s="9" t="n"/>
      <c r="P406" s="9" t="n"/>
      <c r="Q406" s="9" t="n"/>
    </row>
    <row r="407">
      <c r="A407" s="9" t="n"/>
      <c r="B407" s="70" t="n"/>
      <c r="C407" s="9" t="n"/>
      <c r="D407" s="9" t="n"/>
      <c r="E407" s="9" t="n"/>
      <c r="F407" s="9" t="n"/>
      <c r="G407" s="9" t="n"/>
      <c r="H407" s="71" t="n"/>
      <c r="I407" s="9" t="n"/>
      <c r="J407" s="89">
        <f>IF(H407="","",IF(I407="Sí",ROUND(H407*Configuracion!$B$11,0),0))</f>
        <v/>
      </c>
      <c r="K407" s="89">
        <f>IF(H407="","",H407+J407)</f>
        <v/>
      </c>
      <c r="L407" s="13">
        <f>IF(B407="","",YEAR(B407))</f>
        <v/>
      </c>
      <c r="M407" s="13">
        <f>IF(B407="","",MONTH(B407))</f>
        <v/>
      </c>
      <c r="N407" s="9" t="n"/>
      <c r="O407" s="9" t="n"/>
      <c r="P407" s="9" t="n"/>
      <c r="Q407" s="9" t="n"/>
    </row>
    <row r="408">
      <c r="A408" s="9" t="n"/>
      <c r="B408" s="70" t="n"/>
      <c r="C408" s="9" t="n"/>
      <c r="D408" s="9" t="n"/>
      <c r="E408" s="9" t="n"/>
      <c r="F408" s="9" t="n"/>
      <c r="G408" s="9" t="n"/>
      <c r="H408" s="71" t="n"/>
      <c r="I408" s="9" t="n"/>
      <c r="J408" s="89">
        <f>IF(H408="","",IF(I408="Sí",ROUND(H408*Configuracion!$B$11,0),0))</f>
        <v/>
      </c>
      <c r="K408" s="89">
        <f>IF(H408="","",H408+J408)</f>
        <v/>
      </c>
      <c r="L408" s="13">
        <f>IF(B408="","",YEAR(B408))</f>
        <v/>
      </c>
      <c r="M408" s="13">
        <f>IF(B408="","",MONTH(B408))</f>
        <v/>
      </c>
      <c r="N408" s="9" t="n"/>
      <c r="O408" s="9" t="n"/>
      <c r="P408" s="9" t="n"/>
      <c r="Q408" s="9" t="n"/>
    </row>
    <row r="409">
      <c r="A409" s="9" t="n"/>
      <c r="B409" s="70" t="n"/>
      <c r="C409" s="9" t="n"/>
      <c r="D409" s="9" t="n"/>
      <c r="E409" s="9" t="n"/>
      <c r="F409" s="9" t="n"/>
      <c r="G409" s="9" t="n"/>
      <c r="H409" s="71" t="n"/>
      <c r="I409" s="9" t="n"/>
      <c r="J409" s="89">
        <f>IF(H409="","",IF(I409="Sí",ROUND(H409*Configuracion!$B$11,0),0))</f>
        <v/>
      </c>
      <c r="K409" s="89">
        <f>IF(H409="","",H409+J409)</f>
        <v/>
      </c>
      <c r="L409" s="13">
        <f>IF(B409="","",YEAR(B409))</f>
        <v/>
      </c>
      <c r="M409" s="13">
        <f>IF(B409="","",MONTH(B409))</f>
        <v/>
      </c>
      <c r="N409" s="9" t="n"/>
      <c r="O409" s="9" t="n"/>
      <c r="P409" s="9" t="n"/>
      <c r="Q409" s="9" t="n"/>
    </row>
    <row r="410">
      <c r="A410" s="9" t="n"/>
      <c r="B410" s="70" t="n"/>
      <c r="C410" s="9" t="n"/>
      <c r="D410" s="9" t="n"/>
      <c r="E410" s="9" t="n"/>
      <c r="F410" s="9" t="n"/>
      <c r="G410" s="9" t="n"/>
      <c r="H410" s="71" t="n"/>
      <c r="I410" s="9" t="n"/>
      <c r="J410" s="89">
        <f>IF(H410="","",IF(I410="Sí",ROUND(H410*Configuracion!$B$11,0),0))</f>
        <v/>
      </c>
      <c r="K410" s="89">
        <f>IF(H410="","",H410+J410)</f>
        <v/>
      </c>
      <c r="L410" s="13">
        <f>IF(B410="","",YEAR(B410))</f>
        <v/>
      </c>
      <c r="M410" s="13">
        <f>IF(B410="","",MONTH(B410))</f>
        <v/>
      </c>
      <c r="N410" s="9" t="n"/>
      <c r="O410" s="9" t="n"/>
      <c r="P410" s="9" t="n"/>
      <c r="Q410" s="9" t="n"/>
    </row>
    <row r="411">
      <c r="A411" s="9" t="n"/>
      <c r="B411" s="70" t="n"/>
      <c r="C411" s="9" t="n"/>
      <c r="D411" s="9" t="n"/>
      <c r="E411" s="9" t="n"/>
      <c r="F411" s="9" t="n"/>
      <c r="G411" s="9" t="n"/>
      <c r="H411" s="71" t="n"/>
      <c r="I411" s="9" t="n"/>
      <c r="J411" s="89">
        <f>IF(H411="","",IF(I411="Sí",ROUND(H411*Configuracion!$B$11,0),0))</f>
        <v/>
      </c>
      <c r="K411" s="89">
        <f>IF(H411="","",H411+J411)</f>
        <v/>
      </c>
      <c r="L411" s="13">
        <f>IF(B411="","",YEAR(B411))</f>
        <v/>
      </c>
      <c r="M411" s="13">
        <f>IF(B411="","",MONTH(B411))</f>
        <v/>
      </c>
      <c r="N411" s="9" t="n"/>
      <c r="O411" s="9" t="n"/>
      <c r="P411" s="9" t="n"/>
      <c r="Q411" s="9" t="n"/>
    </row>
    <row r="412">
      <c r="A412" s="9" t="n"/>
      <c r="B412" s="70" t="n"/>
      <c r="C412" s="9" t="n"/>
      <c r="D412" s="9" t="n"/>
      <c r="E412" s="9" t="n"/>
      <c r="F412" s="9" t="n"/>
      <c r="G412" s="9" t="n"/>
      <c r="H412" s="71" t="n"/>
      <c r="I412" s="9" t="n"/>
      <c r="J412" s="89">
        <f>IF(H412="","",IF(I412="Sí",ROUND(H412*Configuracion!$B$11,0),0))</f>
        <v/>
      </c>
      <c r="K412" s="89">
        <f>IF(H412="","",H412+J412)</f>
        <v/>
      </c>
      <c r="L412" s="13">
        <f>IF(B412="","",YEAR(B412))</f>
        <v/>
      </c>
      <c r="M412" s="13">
        <f>IF(B412="","",MONTH(B412))</f>
        <v/>
      </c>
      <c r="N412" s="9" t="n"/>
      <c r="O412" s="9" t="n"/>
      <c r="P412" s="9" t="n"/>
      <c r="Q412" s="9" t="n"/>
    </row>
    <row r="413">
      <c r="A413" s="9" t="n"/>
      <c r="B413" s="70" t="n"/>
      <c r="C413" s="9" t="n"/>
      <c r="D413" s="9" t="n"/>
      <c r="E413" s="9" t="n"/>
      <c r="F413" s="9" t="n"/>
      <c r="G413" s="9" t="n"/>
      <c r="H413" s="71" t="n"/>
      <c r="I413" s="9" t="n"/>
      <c r="J413" s="89">
        <f>IF(H413="","",IF(I413="Sí",ROUND(H413*Configuracion!$B$11,0),0))</f>
        <v/>
      </c>
      <c r="K413" s="89">
        <f>IF(H413="","",H413+J413)</f>
        <v/>
      </c>
      <c r="L413" s="13">
        <f>IF(B413="","",YEAR(B413))</f>
        <v/>
      </c>
      <c r="M413" s="13">
        <f>IF(B413="","",MONTH(B413))</f>
        <v/>
      </c>
      <c r="N413" s="9" t="n"/>
      <c r="O413" s="9" t="n"/>
      <c r="P413" s="9" t="n"/>
      <c r="Q413" s="9" t="n"/>
    </row>
    <row r="414">
      <c r="A414" s="9" t="n"/>
      <c r="B414" s="70" t="n"/>
      <c r="C414" s="9" t="n"/>
      <c r="D414" s="9" t="n"/>
      <c r="E414" s="9" t="n"/>
      <c r="F414" s="9" t="n"/>
      <c r="G414" s="9" t="n"/>
      <c r="H414" s="71" t="n"/>
      <c r="I414" s="9" t="n"/>
      <c r="J414" s="89">
        <f>IF(H414="","",IF(I414="Sí",ROUND(H414*Configuracion!$B$11,0),0))</f>
        <v/>
      </c>
      <c r="K414" s="89">
        <f>IF(H414="","",H414+J414)</f>
        <v/>
      </c>
      <c r="L414" s="13">
        <f>IF(B414="","",YEAR(B414))</f>
        <v/>
      </c>
      <c r="M414" s="13">
        <f>IF(B414="","",MONTH(B414))</f>
        <v/>
      </c>
      <c r="N414" s="9" t="n"/>
      <c r="O414" s="9" t="n"/>
      <c r="P414" s="9" t="n"/>
      <c r="Q414" s="9" t="n"/>
    </row>
    <row r="415">
      <c r="A415" s="9" t="n"/>
      <c r="B415" s="70" t="n"/>
      <c r="C415" s="9" t="n"/>
      <c r="D415" s="9" t="n"/>
      <c r="E415" s="9" t="n"/>
      <c r="F415" s="9" t="n"/>
      <c r="G415" s="9" t="n"/>
      <c r="H415" s="71" t="n"/>
      <c r="I415" s="9" t="n"/>
      <c r="J415" s="89">
        <f>IF(H415="","",IF(I415="Sí",ROUND(H415*Configuracion!$B$11,0),0))</f>
        <v/>
      </c>
      <c r="K415" s="89">
        <f>IF(H415="","",H415+J415)</f>
        <v/>
      </c>
      <c r="L415" s="13">
        <f>IF(B415="","",YEAR(B415))</f>
        <v/>
      </c>
      <c r="M415" s="13">
        <f>IF(B415="","",MONTH(B415))</f>
        <v/>
      </c>
      <c r="N415" s="9" t="n"/>
      <c r="O415" s="9" t="n"/>
      <c r="P415" s="9" t="n"/>
      <c r="Q415" s="9" t="n"/>
    </row>
    <row r="416">
      <c r="A416" s="9" t="n"/>
      <c r="B416" s="70" t="n"/>
      <c r="C416" s="9" t="n"/>
      <c r="D416" s="9" t="n"/>
      <c r="E416" s="9" t="n"/>
      <c r="F416" s="9" t="n"/>
      <c r="G416" s="9" t="n"/>
      <c r="H416" s="71" t="n"/>
      <c r="I416" s="9" t="n"/>
      <c r="J416" s="89">
        <f>IF(H416="","",IF(I416="Sí",ROUND(H416*Configuracion!$B$11,0),0))</f>
        <v/>
      </c>
      <c r="K416" s="89">
        <f>IF(H416="","",H416+J416)</f>
        <v/>
      </c>
      <c r="L416" s="13">
        <f>IF(B416="","",YEAR(B416))</f>
        <v/>
      </c>
      <c r="M416" s="13">
        <f>IF(B416="","",MONTH(B416))</f>
        <v/>
      </c>
      <c r="N416" s="9" t="n"/>
      <c r="O416" s="9" t="n"/>
      <c r="P416" s="9" t="n"/>
      <c r="Q416" s="9" t="n"/>
    </row>
    <row r="417">
      <c r="A417" s="9" t="n"/>
      <c r="B417" s="70" t="n"/>
      <c r="C417" s="9" t="n"/>
      <c r="D417" s="9" t="n"/>
      <c r="E417" s="9" t="n"/>
      <c r="F417" s="9" t="n"/>
      <c r="G417" s="9" t="n"/>
      <c r="H417" s="71" t="n"/>
      <c r="I417" s="9" t="n"/>
      <c r="J417" s="89">
        <f>IF(H417="","",IF(I417="Sí",ROUND(H417*Configuracion!$B$11,0),0))</f>
        <v/>
      </c>
      <c r="K417" s="89">
        <f>IF(H417="","",H417+J417)</f>
        <v/>
      </c>
      <c r="L417" s="13">
        <f>IF(B417="","",YEAR(B417))</f>
        <v/>
      </c>
      <c r="M417" s="13">
        <f>IF(B417="","",MONTH(B417))</f>
        <v/>
      </c>
      <c r="N417" s="9" t="n"/>
      <c r="O417" s="9" t="n"/>
      <c r="P417" s="9" t="n"/>
      <c r="Q417" s="9" t="n"/>
    </row>
    <row r="418">
      <c r="A418" s="9" t="n"/>
      <c r="B418" s="70" t="n"/>
      <c r="C418" s="9" t="n"/>
      <c r="D418" s="9" t="n"/>
      <c r="E418" s="9" t="n"/>
      <c r="F418" s="9" t="n"/>
      <c r="G418" s="9" t="n"/>
      <c r="H418" s="71" t="n"/>
      <c r="I418" s="9" t="n"/>
      <c r="J418" s="89">
        <f>IF(H418="","",IF(I418="Sí",ROUND(H418*Configuracion!$B$11,0),0))</f>
        <v/>
      </c>
      <c r="K418" s="89">
        <f>IF(H418="","",H418+J418)</f>
        <v/>
      </c>
      <c r="L418" s="13">
        <f>IF(B418="","",YEAR(B418))</f>
        <v/>
      </c>
      <c r="M418" s="13">
        <f>IF(B418="","",MONTH(B418))</f>
        <v/>
      </c>
      <c r="N418" s="9" t="n"/>
      <c r="O418" s="9" t="n"/>
      <c r="P418" s="9" t="n"/>
      <c r="Q418" s="9" t="n"/>
    </row>
    <row r="419">
      <c r="A419" s="9" t="n"/>
      <c r="B419" s="70" t="n"/>
      <c r="C419" s="9" t="n"/>
      <c r="D419" s="9" t="n"/>
      <c r="E419" s="9" t="n"/>
      <c r="F419" s="9" t="n"/>
      <c r="G419" s="9" t="n"/>
      <c r="H419" s="71" t="n"/>
      <c r="I419" s="9" t="n"/>
      <c r="J419" s="89">
        <f>IF(H419="","",IF(I419="Sí",ROUND(H419*Configuracion!$B$11,0),0))</f>
        <v/>
      </c>
      <c r="K419" s="89">
        <f>IF(H419="","",H419+J419)</f>
        <v/>
      </c>
      <c r="L419" s="13">
        <f>IF(B419="","",YEAR(B419))</f>
        <v/>
      </c>
      <c r="M419" s="13">
        <f>IF(B419="","",MONTH(B419))</f>
        <v/>
      </c>
      <c r="N419" s="9" t="n"/>
      <c r="O419" s="9" t="n"/>
      <c r="P419" s="9" t="n"/>
      <c r="Q419" s="9" t="n"/>
    </row>
    <row r="420">
      <c r="A420" s="9" t="n"/>
      <c r="B420" s="70" t="n"/>
      <c r="C420" s="9" t="n"/>
      <c r="D420" s="9" t="n"/>
      <c r="E420" s="9" t="n"/>
      <c r="F420" s="9" t="n"/>
      <c r="G420" s="9" t="n"/>
      <c r="H420" s="71" t="n"/>
      <c r="I420" s="9" t="n"/>
      <c r="J420" s="89">
        <f>IF(H420="","",IF(I420="Sí",ROUND(H420*Configuracion!$B$11,0),0))</f>
        <v/>
      </c>
      <c r="K420" s="89">
        <f>IF(H420="","",H420+J420)</f>
        <v/>
      </c>
      <c r="L420" s="13">
        <f>IF(B420="","",YEAR(B420))</f>
        <v/>
      </c>
      <c r="M420" s="13">
        <f>IF(B420="","",MONTH(B420))</f>
        <v/>
      </c>
      <c r="N420" s="9" t="n"/>
      <c r="O420" s="9" t="n"/>
      <c r="P420" s="9" t="n"/>
      <c r="Q420" s="9" t="n"/>
    </row>
    <row r="421">
      <c r="A421" s="9" t="n"/>
      <c r="B421" s="70" t="n"/>
      <c r="C421" s="9" t="n"/>
      <c r="D421" s="9" t="n"/>
      <c r="E421" s="9" t="n"/>
      <c r="F421" s="9" t="n"/>
      <c r="G421" s="9" t="n"/>
      <c r="H421" s="71" t="n"/>
      <c r="I421" s="9" t="n"/>
      <c r="J421" s="89">
        <f>IF(H421="","",IF(I421="Sí",ROUND(H421*Configuracion!$B$11,0),0))</f>
        <v/>
      </c>
      <c r="K421" s="89">
        <f>IF(H421="","",H421+J421)</f>
        <v/>
      </c>
      <c r="L421" s="13">
        <f>IF(B421="","",YEAR(B421))</f>
        <v/>
      </c>
      <c r="M421" s="13">
        <f>IF(B421="","",MONTH(B421))</f>
        <v/>
      </c>
      <c r="N421" s="9" t="n"/>
      <c r="O421" s="9" t="n"/>
      <c r="P421" s="9" t="n"/>
      <c r="Q421" s="9" t="n"/>
    </row>
    <row r="422">
      <c r="A422" s="9" t="n"/>
      <c r="B422" s="70" t="n"/>
      <c r="C422" s="9" t="n"/>
      <c r="D422" s="9" t="n"/>
      <c r="E422" s="9" t="n"/>
      <c r="F422" s="9" t="n"/>
      <c r="G422" s="9" t="n"/>
      <c r="H422" s="71" t="n"/>
      <c r="I422" s="9" t="n"/>
      <c r="J422" s="89">
        <f>IF(H422="","",IF(I422="Sí",ROUND(H422*Configuracion!$B$11,0),0))</f>
        <v/>
      </c>
      <c r="K422" s="89">
        <f>IF(H422="","",H422+J422)</f>
        <v/>
      </c>
      <c r="L422" s="13">
        <f>IF(B422="","",YEAR(B422))</f>
        <v/>
      </c>
      <c r="M422" s="13">
        <f>IF(B422="","",MONTH(B422))</f>
        <v/>
      </c>
      <c r="N422" s="9" t="n"/>
      <c r="O422" s="9" t="n"/>
      <c r="P422" s="9" t="n"/>
      <c r="Q422" s="9" t="n"/>
    </row>
    <row r="423">
      <c r="A423" s="9" t="n"/>
      <c r="B423" s="70" t="n"/>
      <c r="C423" s="9" t="n"/>
      <c r="D423" s="9" t="n"/>
      <c r="E423" s="9" t="n"/>
      <c r="F423" s="9" t="n"/>
      <c r="G423" s="9" t="n"/>
      <c r="H423" s="71" t="n"/>
      <c r="I423" s="9" t="n"/>
      <c r="J423" s="89">
        <f>IF(H423="","",IF(I423="Sí",ROUND(H423*Configuracion!$B$11,0),0))</f>
        <v/>
      </c>
      <c r="K423" s="89">
        <f>IF(H423="","",H423+J423)</f>
        <v/>
      </c>
      <c r="L423" s="13">
        <f>IF(B423="","",YEAR(B423))</f>
        <v/>
      </c>
      <c r="M423" s="13">
        <f>IF(B423="","",MONTH(B423))</f>
        <v/>
      </c>
      <c r="N423" s="9" t="n"/>
      <c r="O423" s="9" t="n"/>
      <c r="P423" s="9" t="n"/>
      <c r="Q423" s="9" t="n"/>
    </row>
    <row r="424">
      <c r="A424" s="9" t="n"/>
      <c r="B424" s="70" t="n"/>
      <c r="C424" s="9" t="n"/>
      <c r="D424" s="9" t="n"/>
      <c r="E424" s="9" t="n"/>
      <c r="F424" s="9" t="n"/>
      <c r="G424" s="9" t="n"/>
      <c r="H424" s="71" t="n"/>
      <c r="I424" s="9" t="n"/>
      <c r="J424" s="89">
        <f>IF(H424="","",IF(I424="Sí",ROUND(H424*Configuracion!$B$11,0),0))</f>
        <v/>
      </c>
      <c r="K424" s="89">
        <f>IF(H424="","",H424+J424)</f>
        <v/>
      </c>
      <c r="L424" s="13">
        <f>IF(B424="","",YEAR(B424))</f>
        <v/>
      </c>
      <c r="M424" s="13">
        <f>IF(B424="","",MONTH(B424))</f>
        <v/>
      </c>
      <c r="N424" s="9" t="n"/>
      <c r="O424" s="9" t="n"/>
      <c r="P424" s="9" t="n"/>
      <c r="Q424" s="9" t="n"/>
    </row>
    <row r="425">
      <c r="A425" s="9" t="n"/>
      <c r="B425" s="70" t="n"/>
      <c r="C425" s="9" t="n"/>
      <c r="D425" s="9" t="n"/>
      <c r="E425" s="9" t="n"/>
      <c r="F425" s="9" t="n"/>
      <c r="G425" s="9" t="n"/>
      <c r="H425" s="71" t="n"/>
      <c r="I425" s="9" t="n"/>
      <c r="J425" s="89">
        <f>IF(H425="","",IF(I425="Sí",ROUND(H425*Configuracion!$B$11,0),0))</f>
        <v/>
      </c>
      <c r="K425" s="89">
        <f>IF(H425="","",H425+J425)</f>
        <v/>
      </c>
      <c r="L425" s="13">
        <f>IF(B425="","",YEAR(B425))</f>
        <v/>
      </c>
      <c r="M425" s="13">
        <f>IF(B425="","",MONTH(B425))</f>
        <v/>
      </c>
      <c r="N425" s="9" t="n"/>
      <c r="O425" s="9" t="n"/>
      <c r="P425" s="9" t="n"/>
      <c r="Q425" s="9" t="n"/>
    </row>
    <row r="426">
      <c r="A426" s="9" t="n"/>
      <c r="B426" s="70" t="n"/>
      <c r="C426" s="9" t="n"/>
      <c r="D426" s="9" t="n"/>
      <c r="E426" s="9" t="n"/>
      <c r="F426" s="9" t="n"/>
      <c r="G426" s="9" t="n"/>
      <c r="H426" s="71" t="n"/>
      <c r="I426" s="9" t="n"/>
      <c r="J426" s="89">
        <f>IF(H426="","",IF(I426="Sí",ROUND(H426*Configuracion!$B$11,0),0))</f>
        <v/>
      </c>
      <c r="K426" s="89">
        <f>IF(H426="","",H426+J426)</f>
        <v/>
      </c>
      <c r="L426" s="13">
        <f>IF(B426="","",YEAR(B426))</f>
        <v/>
      </c>
      <c r="M426" s="13">
        <f>IF(B426="","",MONTH(B426))</f>
        <v/>
      </c>
      <c r="N426" s="9" t="n"/>
      <c r="O426" s="9" t="n"/>
      <c r="P426" s="9" t="n"/>
      <c r="Q426" s="9" t="n"/>
    </row>
    <row r="427">
      <c r="A427" s="9" t="n"/>
      <c r="B427" s="70" t="n"/>
      <c r="C427" s="9" t="n"/>
      <c r="D427" s="9" t="n"/>
      <c r="E427" s="9" t="n"/>
      <c r="F427" s="9" t="n"/>
      <c r="G427" s="9" t="n"/>
      <c r="H427" s="71" t="n"/>
      <c r="I427" s="9" t="n"/>
      <c r="J427" s="89">
        <f>IF(H427="","",IF(I427="Sí",ROUND(H427*Configuracion!$B$11,0),0))</f>
        <v/>
      </c>
      <c r="K427" s="89">
        <f>IF(H427="","",H427+J427)</f>
        <v/>
      </c>
      <c r="L427" s="13">
        <f>IF(B427="","",YEAR(B427))</f>
        <v/>
      </c>
      <c r="M427" s="13">
        <f>IF(B427="","",MONTH(B427))</f>
        <v/>
      </c>
      <c r="N427" s="9" t="n"/>
      <c r="O427" s="9" t="n"/>
      <c r="P427" s="9" t="n"/>
      <c r="Q427" s="9" t="n"/>
    </row>
    <row r="428">
      <c r="A428" s="9" t="n"/>
      <c r="B428" s="70" t="n"/>
      <c r="C428" s="9" t="n"/>
      <c r="D428" s="9" t="n"/>
      <c r="E428" s="9" t="n"/>
      <c r="F428" s="9" t="n"/>
      <c r="G428" s="9" t="n"/>
      <c r="H428" s="71" t="n"/>
      <c r="I428" s="9" t="n"/>
      <c r="J428" s="89">
        <f>IF(H428="","",IF(I428="Sí",ROUND(H428*Configuracion!$B$11,0),0))</f>
        <v/>
      </c>
      <c r="K428" s="89">
        <f>IF(H428="","",H428+J428)</f>
        <v/>
      </c>
      <c r="L428" s="13">
        <f>IF(B428="","",YEAR(B428))</f>
        <v/>
      </c>
      <c r="M428" s="13">
        <f>IF(B428="","",MONTH(B428))</f>
        <v/>
      </c>
      <c r="N428" s="9" t="n"/>
      <c r="O428" s="9" t="n"/>
      <c r="P428" s="9" t="n"/>
      <c r="Q428" s="9" t="n"/>
    </row>
    <row r="429">
      <c r="A429" s="9" t="n"/>
      <c r="B429" s="70" t="n"/>
      <c r="C429" s="9" t="n"/>
      <c r="D429" s="9" t="n"/>
      <c r="E429" s="9" t="n"/>
      <c r="F429" s="9" t="n"/>
      <c r="G429" s="9" t="n"/>
      <c r="H429" s="71" t="n"/>
      <c r="I429" s="9" t="n"/>
      <c r="J429" s="89">
        <f>IF(H429="","",IF(I429="Sí",ROUND(H429*Configuracion!$B$11,0),0))</f>
        <v/>
      </c>
      <c r="K429" s="89">
        <f>IF(H429="","",H429+J429)</f>
        <v/>
      </c>
      <c r="L429" s="13">
        <f>IF(B429="","",YEAR(B429))</f>
        <v/>
      </c>
      <c r="M429" s="13">
        <f>IF(B429="","",MONTH(B429))</f>
        <v/>
      </c>
      <c r="N429" s="9" t="n"/>
      <c r="O429" s="9" t="n"/>
      <c r="P429" s="9" t="n"/>
      <c r="Q429" s="9" t="n"/>
    </row>
    <row r="430">
      <c r="A430" s="9" t="n"/>
      <c r="B430" s="70" t="n"/>
      <c r="C430" s="9" t="n"/>
      <c r="D430" s="9" t="n"/>
      <c r="E430" s="9" t="n"/>
      <c r="F430" s="9" t="n"/>
      <c r="G430" s="9" t="n"/>
      <c r="H430" s="71" t="n"/>
      <c r="I430" s="9" t="n"/>
      <c r="J430" s="89">
        <f>IF(H430="","",IF(I430="Sí",ROUND(H430*Configuracion!$B$11,0),0))</f>
        <v/>
      </c>
      <c r="K430" s="89">
        <f>IF(H430="","",H430+J430)</f>
        <v/>
      </c>
      <c r="L430" s="13">
        <f>IF(B430="","",YEAR(B430))</f>
        <v/>
      </c>
      <c r="M430" s="13">
        <f>IF(B430="","",MONTH(B430))</f>
        <v/>
      </c>
      <c r="N430" s="9" t="n"/>
      <c r="O430" s="9" t="n"/>
      <c r="P430" s="9" t="n"/>
      <c r="Q430" s="9" t="n"/>
    </row>
    <row r="431">
      <c r="A431" s="9" t="n"/>
      <c r="B431" s="70" t="n"/>
      <c r="C431" s="9" t="n"/>
      <c r="D431" s="9" t="n"/>
      <c r="E431" s="9" t="n"/>
      <c r="F431" s="9" t="n"/>
      <c r="G431" s="9" t="n"/>
      <c r="H431" s="71" t="n"/>
      <c r="I431" s="9" t="n"/>
      <c r="J431" s="89">
        <f>IF(H431="","",IF(I431="Sí",ROUND(H431*Configuracion!$B$11,0),0))</f>
        <v/>
      </c>
      <c r="K431" s="89">
        <f>IF(H431="","",H431+J431)</f>
        <v/>
      </c>
      <c r="L431" s="13">
        <f>IF(B431="","",YEAR(B431))</f>
        <v/>
      </c>
      <c r="M431" s="13">
        <f>IF(B431="","",MONTH(B431))</f>
        <v/>
      </c>
      <c r="N431" s="9" t="n"/>
      <c r="O431" s="9" t="n"/>
      <c r="P431" s="9" t="n"/>
      <c r="Q431" s="9" t="n"/>
    </row>
    <row r="432">
      <c r="A432" s="9" t="n"/>
      <c r="B432" s="70" t="n"/>
      <c r="C432" s="9" t="n"/>
      <c r="D432" s="9" t="n"/>
      <c r="E432" s="9" t="n"/>
      <c r="F432" s="9" t="n"/>
      <c r="G432" s="9" t="n"/>
      <c r="H432" s="71" t="n"/>
      <c r="I432" s="9" t="n"/>
      <c r="J432" s="89">
        <f>IF(H432="","",IF(I432="Sí",ROUND(H432*Configuracion!$B$11,0),0))</f>
        <v/>
      </c>
      <c r="K432" s="89">
        <f>IF(H432="","",H432+J432)</f>
        <v/>
      </c>
      <c r="L432" s="13">
        <f>IF(B432="","",YEAR(B432))</f>
        <v/>
      </c>
      <c r="M432" s="13">
        <f>IF(B432="","",MONTH(B432))</f>
        <v/>
      </c>
      <c r="N432" s="9" t="n"/>
      <c r="O432" s="9" t="n"/>
      <c r="P432" s="9" t="n"/>
      <c r="Q432" s="9" t="n"/>
    </row>
    <row r="433">
      <c r="A433" s="9" t="n"/>
      <c r="B433" s="70" t="n"/>
      <c r="C433" s="9" t="n"/>
      <c r="D433" s="9" t="n"/>
      <c r="E433" s="9" t="n"/>
      <c r="F433" s="9" t="n"/>
      <c r="G433" s="9" t="n"/>
      <c r="H433" s="71" t="n"/>
      <c r="I433" s="9" t="n"/>
      <c r="J433" s="89">
        <f>IF(H433="","",IF(I433="Sí",ROUND(H433*Configuracion!$B$11,0),0))</f>
        <v/>
      </c>
      <c r="K433" s="89">
        <f>IF(H433="","",H433+J433)</f>
        <v/>
      </c>
      <c r="L433" s="13">
        <f>IF(B433="","",YEAR(B433))</f>
        <v/>
      </c>
      <c r="M433" s="13">
        <f>IF(B433="","",MONTH(B433))</f>
        <v/>
      </c>
      <c r="N433" s="9" t="n"/>
      <c r="O433" s="9" t="n"/>
      <c r="P433" s="9" t="n"/>
      <c r="Q433" s="9" t="n"/>
    </row>
    <row r="434">
      <c r="A434" s="9" t="n"/>
      <c r="B434" s="70" t="n"/>
      <c r="C434" s="9" t="n"/>
      <c r="D434" s="9" t="n"/>
      <c r="E434" s="9" t="n"/>
      <c r="F434" s="9" t="n"/>
      <c r="G434" s="9" t="n"/>
      <c r="H434" s="71" t="n"/>
      <c r="I434" s="9" t="n"/>
      <c r="J434" s="89">
        <f>IF(H434="","",IF(I434="Sí",ROUND(H434*Configuracion!$B$11,0),0))</f>
        <v/>
      </c>
      <c r="K434" s="89">
        <f>IF(H434="","",H434+J434)</f>
        <v/>
      </c>
      <c r="L434" s="13">
        <f>IF(B434="","",YEAR(B434))</f>
        <v/>
      </c>
      <c r="M434" s="13">
        <f>IF(B434="","",MONTH(B434))</f>
        <v/>
      </c>
      <c r="N434" s="9" t="n"/>
      <c r="O434" s="9" t="n"/>
      <c r="P434" s="9" t="n"/>
      <c r="Q434" s="9" t="n"/>
    </row>
    <row r="435">
      <c r="A435" s="9" t="n"/>
      <c r="B435" s="70" t="n"/>
      <c r="C435" s="9" t="n"/>
      <c r="D435" s="9" t="n"/>
      <c r="E435" s="9" t="n"/>
      <c r="F435" s="9" t="n"/>
      <c r="G435" s="9" t="n"/>
      <c r="H435" s="71" t="n"/>
      <c r="I435" s="9" t="n"/>
      <c r="J435" s="89">
        <f>IF(H435="","",IF(I435="Sí",ROUND(H435*Configuracion!$B$11,0),0))</f>
        <v/>
      </c>
      <c r="K435" s="89">
        <f>IF(H435="","",H435+J435)</f>
        <v/>
      </c>
      <c r="L435" s="13">
        <f>IF(B435="","",YEAR(B435))</f>
        <v/>
      </c>
      <c r="M435" s="13">
        <f>IF(B435="","",MONTH(B435))</f>
        <v/>
      </c>
      <c r="N435" s="9" t="n"/>
      <c r="O435" s="9" t="n"/>
      <c r="P435" s="9" t="n"/>
      <c r="Q435" s="9" t="n"/>
    </row>
    <row r="436">
      <c r="A436" s="9" t="n"/>
      <c r="B436" s="70" t="n"/>
      <c r="C436" s="9" t="n"/>
      <c r="D436" s="9" t="n"/>
      <c r="E436" s="9" t="n"/>
      <c r="F436" s="9" t="n"/>
      <c r="G436" s="9" t="n"/>
      <c r="H436" s="71" t="n"/>
      <c r="I436" s="9" t="n"/>
      <c r="J436" s="89">
        <f>IF(H436="","",IF(I436="Sí",ROUND(H436*Configuracion!$B$11,0),0))</f>
        <v/>
      </c>
      <c r="K436" s="89">
        <f>IF(H436="","",H436+J436)</f>
        <v/>
      </c>
      <c r="L436" s="13">
        <f>IF(B436="","",YEAR(B436))</f>
        <v/>
      </c>
      <c r="M436" s="13">
        <f>IF(B436="","",MONTH(B436))</f>
        <v/>
      </c>
      <c r="N436" s="9" t="n"/>
      <c r="O436" s="9" t="n"/>
      <c r="P436" s="9" t="n"/>
      <c r="Q436" s="9" t="n"/>
    </row>
    <row r="437">
      <c r="A437" s="9" t="n"/>
      <c r="B437" s="70" t="n"/>
      <c r="C437" s="9" t="n"/>
      <c r="D437" s="9" t="n"/>
      <c r="E437" s="9" t="n"/>
      <c r="F437" s="9" t="n"/>
      <c r="G437" s="9" t="n"/>
      <c r="H437" s="71" t="n"/>
      <c r="I437" s="9" t="n"/>
      <c r="J437" s="89">
        <f>IF(H437="","",IF(I437="Sí",ROUND(H437*Configuracion!$B$11,0),0))</f>
        <v/>
      </c>
      <c r="K437" s="89">
        <f>IF(H437="","",H437+J437)</f>
        <v/>
      </c>
      <c r="L437" s="13">
        <f>IF(B437="","",YEAR(B437))</f>
        <v/>
      </c>
      <c r="M437" s="13">
        <f>IF(B437="","",MONTH(B437))</f>
        <v/>
      </c>
      <c r="N437" s="9" t="n"/>
      <c r="O437" s="9" t="n"/>
      <c r="P437" s="9" t="n"/>
      <c r="Q437" s="9" t="n"/>
    </row>
    <row r="438">
      <c r="A438" s="9" t="n"/>
      <c r="B438" s="70" t="n"/>
      <c r="C438" s="9" t="n"/>
      <c r="D438" s="9" t="n"/>
      <c r="E438" s="9" t="n"/>
      <c r="F438" s="9" t="n"/>
      <c r="G438" s="9" t="n"/>
      <c r="H438" s="71" t="n"/>
      <c r="I438" s="9" t="n"/>
      <c r="J438" s="89">
        <f>IF(H438="","",IF(I438="Sí",ROUND(H438*Configuracion!$B$11,0),0))</f>
        <v/>
      </c>
      <c r="K438" s="89">
        <f>IF(H438="","",H438+J438)</f>
        <v/>
      </c>
      <c r="L438" s="13">
        <f>IF(B438="","",YEAR(B438))</f>
        <v/>
      </c>
      <c r="M438" s="13">
        <f>IF(B438="","",MONTH(B438))</f>
        <v/>
      </c>
      <c r="N438" s="9" t="n"/>
      <c r="O438" s="9" t="n"/>
      <c r="P438" s="9" t="n"/>
      <c r="Q438" s="9" t="n"/>
    </row>
    <row r="439">
      <c r="A439" s="9" t="n"/>
      <c r="B439" s="70" t="n"/>
      <c r="C439" s="9" t="n"/>
      <c r="D439" s="9" t="n"/>
      <c r="E439" s="9" t="n"/>
      <c r="F439" s="9" t="n"/>
      <c r="G439" s="9" t="n"/>
      <c r="H439" s="71" t="n"/>
      <c r="I439" s="9" t="n"/>
      <c r="J439" s="89">
        <f>IF(H439="","",IF(I439="Sí",ROUND(H439*Configuracion!$B$11,0),0))</f>
        <v/>
      </c>
      <c r="K439" s="89">
        <f>IF(H439="","",H439+J439)</f>
        <v/>
      </c>
      <c r="L439" s="13">
        <f>IF(B439="","",YEAR(B439))</f>
        <v/>
      </c>
      <c r="M439" s="13">
        <f>IF(B439="","",MONTH(B439))</f>
        <v/>
      </c>
      <c r="N439" s="9" t="n"/>
      <c r="O439" s="9" t="n"/>
      <c r="P439" s="9" t="n"/>
      <c r="Q439" s="9" t="n"/>
    </row>
    <row r="440">
      <c r="A440" s="9" t="n"/>
      <c r="B440" s="70" t="n"/>
      <c r="C440" s="9" t="n"/>
      <c r="D440" s="9" t="n"/>
      <c r="E440" s="9" t="n"/>
      <c r="F440" s="9" t="n"/>
      <c r="G440" s="9" t="n"/>
      <c r="H440" s="71" t="n"/>
      <c r="I440" s="9" t="n"/>
      <c r="J440" s="89">
        <f>IF(H440="","",IF(I440="Sí",ROUND(H440*Configuracion!$B$11,0),0))</f>
        <v/>
      </c>
      <c r="K440" s="89">
        <f>IF(H440="","",H440+J440)</f>
        <v/>
      </c>
      <c r="L440" s="13">
        <f>IF(B440="","",YEAR(B440))</f>
        <v/>
      </c>
      <c r="M440" s="13">
        <f>IF(B440="","",MONTH(B440))</f>
        <v/>
      </c>
      <c r="N440" s="9" t="n"/>
      <c r="O440" s="9" t="n"/>
      <c r="P440" s="9" t="n"/>
      <c r="Q440" s="9" t="n"/>
    </row>
    <row r="441">
      <c r="A441" s="9" t="n"/>
      <c r="B441" s="70" t="n"/>
      <c r="C441" s="9" t="n"/>
      <c r="D441" s="9" t="n"/>
      <c r="E441" s="9" t="n"/>
      <c r="F441" s="9" t="n"/>
      <c r="G441" s="9" t="n"/>
      <c r="H441" s="71" t="n"/>
      <c r="I441" s="9" t="n"/>
      <c r="J441" s="89">
        <f>IF(H441="","",IF(I441="Sí",ROUND(H441*Configuracion!$B$11,0),0))</f>
        <v/>
      </c>
      <c r="K441" s="89">
        <f>IF(H441="","",H441+J441)</f>
        <v/>
      </c>
      <c r="L441" s="13">
        <f>IF(B441="","",YEAR(B441))</f>
        <v/>
      </c>
      <c r="M441" s="13">
        <f>IF(B441="","",MONTH(B441))</f>
        <v/>
      </c>
      <c r="N441" s="9" t="n"/>
      <c r="O441" s="9" t="n"/>
      <c r="P441" s="9" t="n"/>
      <c r="Q441" s="9" t="n"/>
    </row>
    <row r="442">
      <c r="A442" s="9" t="n"/>
      <c r="B442" s="70" t="n"/>
      <c r="C442" s="9" t="n"/>
      <c r="D442" s="9" t="n"/>
      <c r="E442" s="9" t="n"/>
      <c r="F442" s="9" t="n"/>
      <c r="G442" s="9" t="n"/>
      <c r="H442" s="71" t="n"/>
      <c r="I442" s="9" t="n"/>
      <c r="J442" s="89">
        <f>IF(H442="","",IF(I442="Sí",ROUND(H442*Configuracion!$B$11,0),0))</f>
        <v/>
      </c>
      <c r="K442" s="89">
        <f>IF(H442="","",H442+J442)</f>
        <v/>
      </c>
      <c r="L442" s="13">
        <f>IF(B442="","",YEAR(B442))</f>
        <v/>
      </c>
      <c r="M442" s="13">
        <f>IF(B442="","",MONTH(B442))</f>
        <v/>
      </c>
      <c r="N442" s="9" t="n"/>
      <c r="O442" s="9" t="n"/>
      <c r="P442" s="9" t="n"/>
      <c r="Q442" s="9" t="n"/>
    </row>
    <row r="443">
      <c r="A443" s="9" t="n"/>
      <c r="B443" s="70" t="n"/>
      <c r="C443" s="9" t="n"/>
      <c r="D443" s="9" t="n"/>
      <c r="E443" s="9" t="n"/>
      <c r="F443" s="9" t="n"/>
      <c r="G443" s="9" t="n"/>
      <c r="H443" s="71" t="n"/>
      <c r="I443" s="9" t="n"/>
      <c r="J443" s="89">
        <f>IF(H443="","",IF(I443="Sí",ROUND(H443*Configuracion!$B$11,0),0))</f>
        <v/>
      </c>
      <c r="K443" s="89">
        <f>IF(H443="","",H443+J443)</f>
        <v/>
      </c>
      <c r="L443" s="13">
        <f>IF(B443="","",YEAR(B443))</f>
        <v/>
      </c>
      <c r="M443" s="13">
        <f>IF(B443="","",MONTH(B443))</f>
        <v/>
      </c>
      <c r="N443" s="9" t="n"/>
      <c r="O443" s="9" t="n"/>
      <c r="P443" s="9" t="n"/>
      <c r="Q443" s="9" t="n"/>
    </row>
    <row r="444">
      <c r="A444" s="9" t="n"/>
      <c r="B444" s="70" t="n"/>
      <c r="C444" s="9" t="n"/>
      <c r="D444" s="9" t="n"/>
      <c r="E444" s="9" t="n"/>
      <c r="F444" s="9" t="n"/>
      <c r="G444" s="9" t="n"/>
      <c r="H444" s="71" t="n"/>
      <c r="I444" s="9" t="n"/>
      <c r="J444" s="89">
        <f>IF(H444="","",IF(I444="Sí",ROUND(H444*Configuracion!$B$11,0),0))</f>
        <v/>
      </c>
      <c r="K444" s="89">
        <f>IF(H444="","",H444+J444)</f>
        <v/>
      </c>
      <c r="L444" s="13">
        <f>IF(B444="","",YEAR(B444))</f>
        <v/>
      </c>
      <c r="M444" s="13">
        <f>IF(B444="","",MONTH(B444))</f>
        <v/>
      </c>
      <c r="N444" s="9" t="n"/>
      <c r="O444" s="9" t="n"/>
      <c r="P444" s="9" t="n"/>
      <c r="Q444" s="9" t="n"/>
    </row>
    <row r="445">
      <c r="A445" s="9" t="n"/>
      <c r="B445" s="70" t="n"/>
      <c r="C445" s="9" t="n"/>
      <c r="D445" s="9" t="n"/>
      <c r="E445" s="9" t="n"/>
      <c r="F445" s="9" t="n"/>
      <c r="G445" s="9" t="n"/>
      <c r="H445" s="71" t="n"/>
      <c r="I445" s="9" t="n"/>
      <c r="J445" s="89">
        <f>IF(H445="","",IF(I445="Sí",ROUND(H445*Configuracion!$B$11,0),0))</f>
        <v/>
      </c>
      <c r="K445" s="89">
        <f>IF(H445="","",H445+J445)</f>
        <v/>
      </c>
      <c r="L445" s="13">
        <f>IF(B445="","",YEAR(B445))</f>
        <v/>
      </c>
      <c r="M445" s="13">
        <f>IF(B445="","",MONTH(B445))</f>
        <v/>
      </c>
      <c r="N445" s="9" t="n"/>
      <c r="O445" s="9" t="n"/>
      <c r="P445" s="9" t="n"/>
      <c r="Q445" s="9" t="n"/>
    </row>
    <row r="446">
      <c r="A446" s="9" t="n"/>
      <c r="B446" s="70" t="n"/>
      <c r="C446" s="9" t="n"/>
      <c r="D446" s="9" t="n"/>
      <c r="E446" s="9" t="n"/>
      <c r="F446" s="9" t="n"/>
      <c r="G446" s="9" t="n"/>
      <c r="H446" s="71" t="n"/>
      <c r="I446" s="9" t="n"/>
      <c r="J446" s="89">
        <f>IF(H446="","",IF(I446="Sí",ROUND(H446*Configuracion!$B$11,0),0))</f>
        <v/>
      </c>
      <c r="K446" s="89">
        <f>IF(H446="","",H446+J446)</f>
        <v/>
      </c>
      <c r="L446" s="13">
        <f>IF(B446="","",YEAR(B446))</f>
        <v/>
      </c>
      <c r="M446" s="13">
        <f>IF(B446="","",MONTH(B446))</f>
        <v/>
      </c>
      <c r="N446" s="9" t="n"/>
      <c r="O446" s="9" t="n"/>
      <c r="P446" s="9" t="n"/>
      <c r="Q446" s="9" t="n"/>
    </row>
    <row r="447">
      <c r="A447" s="9" t="n"/>
      <c r="B447" s="70" t="n"/>
      <c r="C447" s="9" t="n"/>
      <c r="D447" s="9" t="n"/>
      <c r="E447" s="9" t="n"/>
      <c r="F447" s="9" t="n"/>
      <c r="G447" s="9" t="n"/>
      <c r="H447" s="71" t="n"/>
      <c r="I447" s="9" t="n"/>
      <c r="J447" s="89">
        <f>IF(H447="","",IF(I447="Sí",ROUND(H447*Configuracion!$B$11,0),0))</f>
        <v/>
      </c>
      <c r="K447" s="89">
        <f>IF(H447="","",H447+J447)</f>
        <v/>
      </c>
      <c r="L447" s="13">
        <f>IF(B447="","",YEAR(B447))</f>
        <v/>
      </c>
      <c r="M447" s="13">
        <f>IF(B447="","",MONTH(B447))</f>
        <v/>
      </c>
      <c r="N447" s="9" t="n"/>
      <c r="O447" s="9" t="n"/>
      <c r="P447" s="9" t="n"/>
      <c r="Q447" s="9" t="n"/>
    </row>
    <row r="448">
      <c r="A448" s="9" t="n"/>
      <c r="B448" s="70" t="n"/>
      <c r="C448" s="9" t="n"/>
      <c r="D448" s="9" t="n"/>
      <c r="E448" s="9" t="n"/>
      <c r="F448" s="9" t="n"/>
      <c r="G448" s="9" t="n"/>
      <c r="H448" s="71" t="n"/>
      <c r="I448" s="9" t="n"/>
      <c r="J448" s="89">
        <f>IF(H448="","",IF(I448="Sí",ROUND(H448*Configuracion!$B$11,0),0))</f>
        <v/>
      </c>
      <c r="K448" s="89">
        <f>IF(H448="","",H448+J448)</f>
        <v/>
      </c>
      <c r="L448" s="13">
        <f>IF(B448="","",YEAR(B448))</f>
        <v/>
      </c>
      <c r="M448" s="13">
        <f>IF(B448="","",MONTH(B448))</f>
        <v/>
      </c>
      <c r="N448" s="9" t="n"/>
      <c r="O448" s="9" t="n"/>
      <c r="P448" s="9" t="n"/>
      <c r="Q448" s="9" t="n"/>
    </row>
    <row r="449">
      <c r="A449" s="9" t="n"/>
      <c r="B449" s="70" t="n"/>
      <c r="C449" s="9" t="n"/>
      <c r="D449" s="9" t="n"/>
      <c r="E449" s="9" t="n"/>
      <c r="F449" s="9" t="n"/>
      <c r="G449" s="9" t="n"/>
      <c r="H449" s="71" t="n"/>
      <c r="I449" s="9" t="n"/>
      <c r="J449" s="89">
        <f>IF(H449="","",IF(I449="Sí",ROUND(H449*Configuracion!$B$11,0),0))</f>
        <v/>
      </c>
      <c r="K449" s="89">
        <f>IF(H449="","",H449+J449)</f>
        <v/>
      </c>
      <c r="L449" s="13">
        <f>IF(B449="","",YEAR(B449))</f>
        <v/>
      </c>
      <c r="M449" s="13">
        <f>IF(B449="","",MONTH(B449))</f>
        <v/>
      </c>
      <c r="N449" s="9" t="n"/>
      <c r="O449" s="9" t="n"/>
      <c r="P449" s="9" t="n"/>
      <c r="Q449" s="9" t="n"/>
    </row>
    <row r="450">
      <c r="A450" s="9" t="n"/>
      <c r="B450" s="70" t="n"/>
      <c r="C450" s="9" t="n"/>
      <c r="D450" s="9" t="n"/>
      <c r="E450" s="9" t="n"/>
      <c r="F450" s="9" t="n"/>
      <c r="G450" s="9" t="n"/>
      <c r="H450" s="71" t="n"/>
      <c r="I450" s="9" t="n"/>
      <c r="J450" s="89">
        <f>IF(H450="","",IF(I450="Sí",ROUND(H450*Configuracion!$B$11,0),0))</f>
        <v/>
      </c>
      <c r="K450" s="89">
        <f>IF(H450="","",H450+J450)</f>
        <v/>
      </c>
      <c r="L450" s="13">
        <f>IF(B450="","",YEAR(B450))</f>
        <v/>
      </c>
      <c r="M450" s="13">
        <f>IF(B450="","",MONTH(B450))</f>
        <v/>
      </c>
      <c r="N450" s="9" t="n"/>
      <c r="O450" s="9" t="n"/>
      <c r="P450" s="9" t="n"/>
      <c r="Q450" s="9" t="n"/>
    </row>
    <row r="451">
      <c r="A451" s="9" t="n"/>
      <c r="B451" s="70" t="n"/>
      <c r="C451" s="9" t="n"/>
      <c r="D451" s="9" t="n"/>
      <c r="E451" s="9" t="n"/>
      <c r="F451" s="9" t="n"/>
      <c r="G451" s="9" t="n"/>
      <c r="H451" s="71" t="n"/>
      <c r="I451" s="9" t="n"/>
      <c r="J451" s="89">
        <f>IF(H451="","",IF(I451="Sí",ROUND(H451*Configuracion!$B$11,0),0))</f>
        <v/>
      </c>
      <c r="K451" s="89">
        <f>IF(H451="","",H451+J451)</f>
        <v/>
      </c>
      <c r="L451" s="13">
        <f>IF(B451="","",YEAR(B451))</f>
        <v/>
      </c>
      <c r="M451" s="13">
        <f>IF(B451="","",MONTH(B451))</f>
        <v/>
      </c>
      <c r="N451" s="9" t="n"/>
      <c r="O451" s="9" t="n"/>
      <c r="P451" s="9" t="n"/>
      <c r="Q451" s="9" t="n"/>
    </row>
    <row r="452">
      <c r="A452" s="9" t="n"/>
      <c r="B452" s="70" t="n"/>
      <c r="C452" s="9" t="n"/>
      <c r="D452" s="9" t="n"/>
      <c r="E452" s="9" t="n"/>
      <c r="F452" s="9" t="n"/>
      <c r="G452" s="9" t="n"/>
      <c r="H452" s="71" t="n"/>
      <c r="I452" s="9" t="n"/>
      <c r="J452" s="89">
        <f>IF(H452="","",IF(I452="Sí",ROUND(H452*Configuracion!$B$11,0),0))</f>
        <v/>
      </c>
      <c r="K452" s="89">
        <f>IF(H452="","",H452+J452)</f>
        <v/>
      </c>
      <c r="L452" s="13">
        <f>IF(B452="","",YEAR(B452))</f>
        <v/>
      </c>
      <c r="M452" s="13">
        <f>IF(B452="","",MONTH(B452))</f>
        <v/>
      </c>
      <c r="N452" s="9" t="n"/>
      <c r="O452" s="9" t="n"/>
      <c r="P452" s="9" t="n"/>
      <c r="Q452" s="9" t="n"/>
    </row>
    <row r="453">
      <c r="A453" s="9" t="n"/>
      <c r="B453" s="70" t="n"/>
      <c r="C453" s="9" t="n"/>
      <c r="D453" s="9" t="n"/>
      <c r="E453" s="9" t="n"/>
      <c r="F453" s="9" t="n"/>
      <c r="G453" s="9" t="n"/>
      <c r="H453" s="71" t="n"/>
      <c r="I453" s="9" t="n"/>
      <c r="J453" s="89">
        <f>IF(H453="","",IF(I453="Sí",ROUND(H453*Configuracion!$B$11,0),0))</f>
        <v/>
      </c>
      <c r="K453" s="89">
        <f>IF(H453="","",H453+J453)</f>
        <v/>
      </c>
      <c r="L453" s="13">
        <f>IF(B453="","",YEAR(B453))</f>
        <v/>
      </c>
      <c r="M453" s="13">
        <f>IF(B453="","",MONTH(B453))</f>
        <v/>
      </c>
      <c r="N453" s="9" t="n"/>
      <c r="O453" s="9" t="n"/>
      <c r="P453" s="9" t="n"/>
      <c r="Q453" s="9" t="n"/>
    </row>
    <row r="454">
      <c r="A454" s="9" t="n"/>
      <c r="B454" s="70" t="n"/>
      <c r="C454" s="9" t="n"/>
      <c r="D454" s="9" t="n"/>
      <c r="E454" s="9" t="n"/>
      <c r="F454" s="9" t="n"/>
      <c r="G454" s="9" t="n"/>
      <c r="H454" s="71" t="n"/>
      <c r="I454" s="9" t="n"/>
      <c r="J454" s="89">
        <f>IF(H454="","",IF(I454="Sí",ROUND(H454*Configuracion!$B$11,0),0))</f>
        <v/>
      </c>
      <c r="K454" s="89">
        <f>IF(H454="","",H454+J454)</f>
        <v/>
      </c>
      <c r="L454" s="13">
        <f>IF(B454="","",YEAR(B454))</f>
        <v/>
      </c>
      <c r="M454" s="13">
        <f>IF(B454="","",MONTH(B454))</f>
        <v/>
      </c>
      <c r="N454" s="9" t="n"/>
      <c r="O454" s="9" t="n"/>
      <c r="P454" s="9" t="n"/>
      <c r="Q454" s="9" t="n"/>
    </row>
    <row r="455">
      <c r="A455" s="9" t="n"/>
      <c r="B455" s="70" t="n"/>
      <c r="C455" s="9" t="n"/>
      <c r="D455" s="9" t="n"/>
      <c r="E455" s="9" t="n"/>
      <c r="F455" s="9" t="n"/>
      <c r="G455" s="9" t="n"/>
      <c r="H455" s="71" t="n"/>
      <c r="I455" s="9" t="n"/>
      <c r="J455" s="89">
        <f>IF(H455="","",IF(I455="Sí",ROUND(H455*Configuracion!$B$11,0),0))</f>
        <v/>
      </c>
      <c r="K455" s="89">
        <f>IF(H455="","",H455+J455)</f>
        <v/>
      </c>
      <c r="L455" s="13">
        <f>IF(B455="","",YEAR(B455))</f>
        <v/>
      </c>
      <c r="M455" s="13">
        <f>IF(B455="","",MONTH(B455))</f>
        <v/>
      </c>
      <c r="N455" s="9" t="n"/>
      <c r="O455" s="9" t="n"/>
      <c r="P455" s="9" t="n"/>
      <c r="Q455" s="9" t="n"/>
    </row>
    <row r="456">
      <c r="A456" s="9" t="n"/>
      <c r="B456" s="70" t="n"/>
      <c r="C456" s="9" t="n"/>
      <c r="D456" s="9" t="n"/>
      <c r="E456" s="9" t="n"/>
      <c r="F456" s="9" t="n"/>
      <c r="G456" s="9" t="n"/>
      <c r="H456" s="71" t="n"/>
      <c r="I456" s="9" t="n"/>
      <c r="J456" s="89">
        <f>IF(H456="","",IF(I456="Sí",ROUND(H456*Configuracion!$B$11,0),0))</f>
        <v/>
      </c>
      <c r="K456" s="89">
        <f>IF(H456="","",H456+J456)</f>
        <v/>
      </c>
      <c r="L456" s="13">
        <f>IF(B456="","",YEAR(B456))</f>
        <v/>
      </c>
      <c r="M456" s="13">
        <f>IF(B456="","",MONTH(B456))</f>
        <v/>
      </c>
      <c r="N456" s="9" t="n"/>
      <c r="O456" s="9" t="n"/>
      <c r="P456" s="9" t="n"/>
      <c r="Q456" s="9" t="n"/>
    </row>
    <row r="457">
      <c r="A457" s="9" t="n"/>
      <c r="B457" s="70" t="n"/>
      <c r="C457" s="9" t="n"/>
      <c r="D457" s="9" t="n"/>
      <c r="E457" s="9" t="n"/>
      <c r="F457" s="9" t="n"/>
      <c r="G457" s="9" t="n"/>
      <c r="H457" s="71" t="n"/>
      <c r="I457" s="9" t="n"/>
      <c r="J457" s="89">
        <f>IF(H457="","",IF(I457="Sí",ROUND(H457*Configuracion!$B$11,0),0))</f>
        <v/>
      </c>
      <c r="K457" s="89">
        <f>IF(H457="","",H457+J457)</f>
        <v/>
      </c>
      <c r="L457" s="13">
        <f>IF(B457="","",YEAR(B457))</f>
        <v/>
      </c>
      <c r="M457" s="13">
        <f>IF(B457="","",MONTH(B457))</f>
        <v/>
      </c>
      <c r="N457" s="9" t="n"/>
      <c r="O457" s="9" t="n"/>
      <c r="P457" s="9" t="n"/>
      <c r="Q457" s="9" t="n"/>
    </row>
    <row r="458">
      <c r="A458" s="9" t="n"/>
      <c r="B458" s="70" t="n"/>
      <c r="C458" s="9" t="n"/>
      <c r="D458" s="9" t="n"/>
      <c r="E458" s="9" t="n"/>
      <c r="F458" s="9" t="n"/>
      <c r="G458" s="9" t="n"/>
      <c r="H458" s="71" t="n"/>
      <c r="I458" s="9" t="n"/>
      <c r="J458" s="89">
        <f>IF(H458="","",IF(I458="Sí",ROUND(H458*Configuracion!$B$11,0),0))</f>
        <v/>
      </c>
      <c r="K458" s="89">
        <f>IF(H458="","",H458+J458)</f>
        <v/>
      </c>
      <c r="L458" s="13">
        <f>IF(B458="","",YEAR(B458))</f>
        <v/>
      </c>
      <c r="M458" s="13">
        <f>IF(B458="","",MONTH(B458))</f>
        <v/>
      </c>
      <c r="N458" s="9" t="n"/>
      <c r="O458" s="9" t="n"/>
      <c r="P458" s="9" t="n"/>
      <c r="Q458" s="9" t="n"/>
    </row>
    <row r="459">
      <c r="A459" s="9" t="n"/>
      <c r="B459" s="70" t="n"/>
      <c r="C459" s="9" t="n"/>
      <c r="D459" s="9" t="n"/>
      <c r="E459" s="9" t="n"/>
      <c r="F459" s="9" t="n"/>
      <c r="G459" s="9" t="n"/>
      <c r="H459" s="71" t="n"/>
      <c r="I459" s="9" t="n"/>
      <c r="J459" s="89">
        <f>IF(H459="","",IF(I459="Sí",ROUND(H459*Configuracion!$B$11,0),0))</f>
        <v/>
      </c>
      <c r="K459" s="89">
        <f>IF(H459="","",H459+J459)</f>
        <v/>
      </c>
      <c r="L459" s="13">
        <f>IF(B459="","",YEAR(B459))</f>
        <v/>
      </c>
      <c r="M459" s="13">
        <f>IF(B459="","",MONTH(B459))</f>
        <v/>
      </c>
      <c r="N459" s="9" t="n"/>
      <c r="O459" s="9" t="n"/>
      <c r="P459" s="9" t="n"/>
      <c r="Q459" s="9" t="n"/>
    </row>
    <row r="460">
      <c r="A460" s="9" t="n"/>
      <c r="B460" s="70" t="n"/>
      <c r="C460" s="9" t="n"/>
      <c r="D460" s="9" t="n"/>
      <c r="E460" s="9" t="n"/>
      <c r="F460" s="9" t="n"/>
      <c r="G460" s="9" t="n"/>
      <c r="H460" s="71" t="n"/>
      <c r="I460" s="9" t="n"/>
      <c r="J460" s="89">
        <f>IF(H460="","",IF(I460="Sí",ROUND(H460*Configuracion!$B$11,0),0))</f>
        <v/>
      </c>
      <c r="K460" s="89">
        <f>IF(H460="","",H460+J460)</f>
        <v/>
      </c>
      <c r="L460" s="13">
        <f>IF(B460="","",YEAR(B460))</f>
        <v/>
      </c>
      <c r="M460" s="13">
        <f>IF(B460="","",MONTH(B460))</f>
        <v/>
      </c>
      <c r="N460" s="9" t="n"/>
      <c r="O460" s="9" t="n"/>
      <c r="P460" s="9" t="n"/>
      <c r="Q460" s="9" t="n"/>
    </row>
    <row r="461">
      <c r="A461" s="9" t="n"/>
      <c r="B461" s="70" t="n"/>
      <c r="C461" s="9" t="n"/>
      <c r="D461" s="9" t="n"/>
      <c r="E461" s="9" t="n"/>
      <c r="F461" s="9" t="n"/>
      <c r="G461" s="9" t="n"/>
      <c r="H461" s="71" t="n"/>
      <c r="I461" s="9" t="n"/>
      <c r="J461" s="89">
        <f>IF(H461="","",IF(I461="Sí",ROUND(H461*Configuracion!$B$11,0),0))</f>
        <v/>
      </c>
      <c r="K461" s="89">
        <f>IF(H461="","",H461+J461)</f>
        <v/>
      </c>
      <c r="L461" s="13">
        <f>IF(B461="","",YEAR(B461))</f>
        <v/>
      </c>
      <c r="M461" s="13">
        <f>IF(B461="","",MONTH(B461))</f>
        <v/>
      </c>
      <c r="N461" s="9" t="n"/>
      <c r="O461" s="9" t="n"/>
      <c r="P461" s="9" t="n"/>
      <c r="Q461" s="9" t="n"/>
    </row>
    <row r="462">
      <c r="A462" s="9" t="n"/>
      <c r="B462" s="70" t="n"/>
      <c r="C462" s="9" t="n"/>
      <c r="D462" s="9" t="n"/>
      <c r="E462" s="9" t="n"/>
      <c r="F462" s="9" t="n"/>
      <c r="G462" s="9" t="n"/>
      <c r="H462" s="71" t="n"/>
      <c r="I462" s="9" t="n"/>
      <c r="J462" s="89">
        <f>IF(H462="","",IF(I462="Sí",ROUND(H462*Configuracion!$B$11,0),0))</f>
        <v/>
      </c>
      <c r="K462" s="89">
        <f>IF(H462="","",H462+J462)</f>
        <v/>
      </c>
      <c r="L462" s="13">
        <f>IF(B462="","",YEAR(B462))</f>
        <v/>
      </c>
      <c r="M462" s="13">
        <f>IF(B462="","",MONTH(B462))</f>
        <v/>
      </c>
      <c r="N462" s="9" t="n"/>
      <c r="O462" s="9" t="n"/>
      <c r="P462" s="9" t="n"/>
      <c r="Q462" s="9" t="n"/>
    </row>
    <row r="463">
      <c r="A463" s="9" t="n"/>
      <c r="B463" s="70" t="n"/>
      <c r="C463" s="9" t="n"/>
      <c r="D463" s="9" t="n"/>
      <c r="E463" s="9" t="n"/>
      <c r="F463" s="9" t="n"/>
      <c r="G463" s="9" t="n"/>
      <c r="H463" s="71" t="n"/>
      <c r="I463" s="9" t="n"/>
      <c r="J463" s="89">
        <f>IF(H463="","",IF(I463="Sí",ROUND(H463*Configuracion!$B$11,0),0))</f>
        <v/>
      </c>
      <c r="K463" s="89">
        <f>IF(H463="","",H463+J463)</f>
        <v/>
      </c>
      <c r="L463" s="13">
        <f>IF(B463="","",YEAR(B463))</f>
        <v/>
      </c>
      <c r="M463" s="13">
        <f>IF(B463="","",MONTH(B463))</f>
        <v/>
      </c>
      <c r="N463" s="9" t="n"/>
      <c r="O463" s="9" t="n"/>
      <c r="P463" s="9" t="n"/>
      <c r="Q463" s="9" t="n"/>
    </row>
    <row r="464">
      <c r="A464" s="9" t="n"/>
      <c r="B464" s="70" t="n"/>
      <c r="C464" s="9" t="n"/>
      <c r="D464" s="9" t="n"/>
      <c r="E464" s="9" t="n"/>
      <c r="F464" s="9" t="n"/>
      <c r="G464" s="9" t="n"/>
      <c r="H464" s="71" t="n"/>
      <c r="I464" s="9" t="n"/>
      <c r="J464" s="89">
        <f>IF(H464="","",IF(I464="Sí",ROUND(H464*Configuracion!$B$11,0),0))</f>
        <v/>
      </c>
      <c r="K464" s="89">
        <f>IF(H464="","",H464+J464)</f>
        <v/>
      </c>
      <c r="L464" s="13">
        <f>IF(B464="","",YEAR(B464))</f>
        <v/>
      </c>
      <c r="M464" s="13">
        <f>IF(B464="","",MONTH(B464))</f>
        <v/>
      </c>
      <c r="N464" s="9" t="n"/>
      <c r="O464" s="9" t="n"/>
      <c r="P464" s="9" t="n"/>
      <c r="Q464" s="9" t="n"/>
    </row>
    <row r="465">
      <c r="A465" s="9" t="n"/>
      <c r="B465" s="70" t="n"/>
      <c r="C465" s="9" t="n"/>
      <c r="D465" s="9" t="n"/>
      <c r="E465" s="9" t="n"/>
      <c r="F465" s="9" t="n"/>
      <c r="G465" s="9" t="n"/>
      <c r="H465" s="71" t="n"/>
      <c r="I465" s="9" t="n"/>
      <c r="J465" s="89">
        <f>IF(H465="","",IF(I465="Sí",ROUND(H465*Configuracion!$B$11,0),0))</f>
        <v/>
      </c>
      <c r="K465" s="89">
        <f>IF(H465="","",H465+J465)</f>
        <v/>
      </c>
      <c r="L465" s="13">
        <f>IF(B465="","",YEAR(B465))</f>
        <v/>
      </c>
      <c r="M465" s="13">
        <f>IF(B465="","",MONTH(B465))</f>
        <v/>
      </c>
      <c r="N465" s="9" t="n"/>
      <c r="O465" s="9" t="n"/>
      <c r="P465" s="9" t="n"/>
      <c r="Q465" s="9" t="n"/>
    </row>
    <row r="466">
      <c r="A466" s="9" t="n"/>
      <c r="B466" s="70" t="n"/>
      <c r="C466" s="9" t="n"/>
      <c r="D466" s="9" t="n"/>
      <c r="E466" s="9" t="n"/>
      <c r="F466" s="9" t="n"/>
      <c r="G466" s="9" t="n"/>
      <c r="H466" s="71" t="n"/>
      <c r="I466" s="9" t="n"/>
      <c r="J466" s="89">
        <f>IF(H466="","",IF(I466="Sí",ROUND(H466*Configuracion!$B$11,0),0))</f>
        <v/>
      </c>
      <c r="K466" s="89">
        <f>IF(H466="","",H466+J466)</f>
        <v/>
      </c>
      <c r="L466" s="13">
        <f>IF(B466="","",YEAR(B466))</f>
        <v/>
      </c>
      <c r="M466" s="13">
        <f>IF(B466="","",MONTH(B466))</f>
        <v/>
      </c>
      <c r="N466" s="9" t="n"/>
      <c r="O466" s="9" t="n"/>
      <c r="P466" s="9" t="n"/>
      <c r="Q466" s="9" t="n"/>
    </row>
    <row r="467">
      <c r="A467" s="9" t="n"/>
      <c r="B467" s="70" t="n"/>
      <c r="C467" s="9" t="n"/>
      <c r="D467" s="9" t="n"/>
      <c r="E467" s="9" t="n"/>
      <c r="F467" s="9" t="n"/>
      <c r="G467" s="9" t="n"/>
      <c r="H467" s="71" t="n"/>
      <c r="I467" s="9" t="n"/>
      <c r="J467" s="89">
        <f>IF(H467="","",IF(I467="Sí",ROUND(H467*Configuracion!$B$11,0),0))</f>
        <v/>
      </c>
      <c r="K467" s="89">
        <f>IF(H467="","",H467+J467)</f>
        <v/>
      </c>
      <c r="L467" s="13">
        <f>IF(B467="","",YEAR(B467))</f>
        <v/>
      </c>
      <c r="M467" s="13">
        <f>IF(B467="","",MONTH(B467))</f>
        <v/>
      </c>
      <c r="N467" s="9" t="n"/>
      <c r="O467" s="9" t="n"/>
      <c r="P467" s="9" t="n"/>
      <c r="Q467" s="9" t="n"/>
    </row>
    <row r="468">
      <c r="A468" s="9" t="n"/>
      <c r="B468" s="70" t="n"/>
      <c r="C468" s="9" t="n"/>
      <c r="D468" s="9" t="n"/>
      <c r="E468" s="9" t="n"/>
      <c r="F468" s="9" t="n"/>
      <c r="G468" s="9" t="n"/>
      <c r="H468" s="71" t="n"/>
      <c r="I468" s="9" t="n"/>
      <c r="J468" s="89">
        <f>IF(H468="","",IF(I468="Sí",ROUND(H468*Configuracion!$B$11,0),0))</f>
        <v/>
      </c>
      <c r="K468" s="89">
        <f>IF(H468="","",H468+J468)</f>
        <v/>
      </c>
      <c r="L468" s="13">
        <f>IF(B468="","",YEAR(B468))</f>
        <v/>
      </c>
      <c r="M468" s="13">
        <f>IF(B468="","",MONTH(B468))</f>
        <v/>
      </c>
      <c r="N468" s="9" t="n"/>
      <c r="O468" s="9" t="n"/>
      <c r="P468" s="9" t="n"/>
      <c r="Q468" s="9" t="n"/>
    </row>
    <row r="469">
      <c r="A469" s="9" t="n"/>
      <c r="B469" s="70" t="n"/>
      <c r="C469" s="9" t="n"/>
      <c r="D469" s="9" t="n"/>
      <c r="E469" s="9" t="n"/>
      <c r="F469" s="9" t="n"/>
      <c r="G469" s="9" t="n"/>
      <c r="H469" s="71" t="n"/>
      <c r="I469" s="9" t="n"/>
      <c r="J469" s="89">
        <f>IF(H469="","",IF(I469="Sí",ROUND(H469*Configuracion!$B$11,0),0))</f>
        <v/>
      </c>
      <c r="K469" s="89">
        <f>IF(H469="","",H469+J469)</f>
        <v/>
      </c>
      <c r="L469" s="13">
        <f>IF(B469="","",YEAR(B469))</f>
        <v/>
      </c>
      <c r="M469" s="13">
        <f>IF(B469="","",MONTH(B469))</f>
        <v/>
      </c>
      <c r="N469" s="9" t="n"/>
      <c r="O469" s="9" t="n"/>
      <c r="P469" s="9" t="n"/>
      <c r="Q469" s="9" t="n"/>
    </row>
    <row r="470">
      <c r="A470" s="9" t="n"/>
      <c r="B470" s="70" t="n"/>
      <c r="C470" s="9" t="n"/>
      <c r="D470" s="9" t="n"/>
      <c r="E470" s="9" t="n"/>
      <c r="F470" s="9" t="n"/>
      <c r="G470" s="9" t="n"/>
      <c r="H470" s="71" t="n"/>
      <c r="I470" s="9" t="n"/>
      <c r="J470" s="89">
        <f>IF(H470="","",IF(I470="Sí",ROUND(H470*Configuracion!$B$11,0),0))</f>
        <v/>
      </c>
      <c r="K470" s="89">
        <f>IF(H470="","",H470+J470)</f>
        <v/>
      </c>
      <c r="L470" s="13">
        <f>IF(B470="","",YEAR(B470))</f>
        <v/>
      </c>
      <c r="M470" s="13">
        <f>IF(B470="","",MONTH(B470))</f>
        <v/>
      </c>
      <c r="N470" s="9" t="n"/>
      <c r="O470" s="9" t="n"/>
      <c r="P470" s="9" t="n"/>
      <c r="Q470" s="9" t="n"/>
    </row>
    <row r="471">
      <c r="A471" s="9" t="n"/>
      <c r="B471" s="70" t="n"/>
      <c r="C471" s="9" t="n"/>
      <c r="D471" s="9" t="n"/>
      <c r="E471" s="9" t="n"/>
      <c r="F471" s="9" t="n"/>
      <c r="G471" s="9" t="n"/>
      <c r="H471" s="71" t="n"/>
      <c r="I471" s="9" t="n"/>
      <c r="J471" s="89">
        <f>IF(H471="","",IF(I471="Sí",ROUND(H471*Configuracion!$B$11,0),0))</f>
        <v/>
      </c>
      <c r="K471" s="89">
        <f>IF(H471="","",H471+J471)</f>
        <v/>
      </c>
      <c r="L471" s="13">
        <f>IF(B471="","",YEAR(B471))</f>
        <v/>
      </c>
      <c r="M471" s="13">
        <f>IF(B471="","",MONTH(B471))</f>
        <v/>
      </c>
      <c r="N471" s="9" t="n"/>
      <c r="O471" s="9" t="n"/>
      <c r="P471" s="9" t="n"/>
      <c r="Q471" s="9" t="n"/>
    </row>
    <row r="472">
      <c r="A472" s="9" t="n"/>
      <c r="B472" s="70" t="n"/>
      <c r="C472" s="9" t="n"/>
      <c r="D472" s="9" t="n"/>
      <c r="E472" s="9" t="n"/>
      <c r="F472" s="9" t="n"/>
      <c r="G472" s="9" t="n"/>
      <c r="H472" s="71" t="n"/>
      <c r="I472" s="9" t="n"/>
      <c r="J472" s="89">
        <f>IF(H472="","",IF(I472="Sí",ROUND(H472*Configuracion!$B$11,0),0))</f>
        <v/>
      </c>
      <c r="K472" s="89">
        <f>IF(H472="","",H472+J472)</f>
        <v/>
      </c>
      <c r="L472" s="13">
        <f>IF(B472="","",YEAR(B472))</f>
        <v/>
      </c>
      <c r="M472" s="13">
        <f>IF(B472="","",MONTH(B472))</f>
        <v/>
      </c>
      <c r="N472" s="9" t="n"/>
      <c r="O472" s="9" t="n"/>
      <c r="P472" s="9" t="n"/>
      <c r="Q472" s="9" t="n"/>
    </row>
    <row r="473">
      <c r="A473" s="9" t="n"/>
      <c r="B473" s="70" t="n"/>
      <c r="C473" s="9" t="n"/>
      <c r="D473" s="9" t="n"/>
      <c r="E473" s="9" t="n"/>
      <c r="F473" s="9" t="n"/>
      <c r="G473" s="9" t="n"/>
      <c r="H473" s="71" t="n"/>
      <c r="I473" s="9" t="n"/>
      <c r="J473" s="89">
        <f>IF(H473="","",IF(I473="Sí",ROUND(H473*Configuracion!$B$11,0),0))</f>
        <v/>
      </c>
      <c r="K473" s="89">
        <f>IF(H473="","",H473+J473)</f>
        <v/>
      </c>
      <c r="L473" s="13">
        <f>IF(B473="","",YEAR(B473))</f>
        <v/>
      </c>
      <c r="M473" s="13">
        <f>IF(B473="","",MONTH(B473))</f>
        <v/>
      </c>
      <c r="N473" s="9" t="n"/>
      <c r="O473" s="9" t="n"/>
      <c r="P473" s="9" t="n"/>
      <c r="Q473" s="9" t="n"/>
    </row>
    <row r="474">
      <c r="A474" s="9" t="n"/>
      <c r="B474" s="70" t="n"/>
      <c r="C474" s="9" t="n"/>
      <c r="D474" s="9" t="n"/>
      <c r="E474" s="9" t="n"/>
      <c r="F474" s="9" t="n"/>
      <c r="G474" s="9" t="n"/>
      <c r="H474" s="71" t="n"/>
      <c r="I474" s="9" t="n"/>
      <c r="J474" s="89">
        <f>IF(H474="","",IF(I474="Sí",ROUND(H474*Configuracion!$B$11,0),0))</f>
        <v/>
      </c>
      <c r="K474" s="89">
        <f>IF(H474="","",H474+J474)</f>
        <v/>
      </c>
      <c r="L474" s="13">
        <f>IF(B474="","",YEAR(B474))</f>
        <v/>
      </c>
      <c r="M474" s="13">
        <f>IF(B474="","",MONTH(B474))</f>
        <v/>
      </c>
      <c r="N474" s="9" t="n"/>
      <c r="O474" s="9" t="n"/>
      <c r="P474" s="9" t="n"/>
      <c r="Q474" s="9" t="n"/>
    </row>
    <row r="475">
      <c r="A475" s="9" t="n"/>
      <c r="B475" s="70" t="n"/>
      <c r="C475" s="9" t="n"/>
      <c r="D475" s="9" t="n"/>
      <c r="E475" s="9" t="n"/>
      <c r="F475" s="9" t="n"/>
      <c r="G475" s="9" t="n"/>
      <c r="H475" s="71" t="n"/>
      <c r="I475" s="9" t="n"/>
      <c r="J475" s="89">
        <f>IF(H475="","",IF(I475="Sí",ROUND(H475*Configuracion!$B$11,0),0))</f>
        <v/>
      </c>
      <c r="K475" s="89">
        <f>IF(H475="","",H475+J475)</f>
        <v/>
      </c>
      <c r="L475" s="13">
        <f>IF(B475="","",YEAR(B475))</f>
        <v/>
      </c>
      <c r="M475" s="13">
        <f>IF(B475="","",MONTH(B475))</f>
        <v/>
      </c>
      <c r="N475" s="9" t="n"/>
      <c r="O475" s="9" t="n"/>
      <c r="P475" s="9" t="n"/>
      <c r="Q475" s="9" t="n"/>
    </row>
    <row r="476">
      <c r="A476" s="9" t="n"/>
      <c r="B476" s="70" t="n"/>
      <c r="C476" s="9" t="n"/>
      <c r="D476" s="9" t="n"/>
      <c r="E476" s="9" t="n"/>
      <c r="F476" s="9" t="n"/>
      <c r="G476" s="9" t="n"/>
      <c r="H476" s="71" t="n"/>
      <c r="I476" s="9" t="n"/>
      <c r="J476" s="89">
        <f>IF(H476="","",IF(I476="Sí",ROUND(H476*Configuracion!$B$11,0),0))</f>
        <v/>
      </c>
      <c r="K476" s="89">
        <f>IF(H476="","",H476+J476)</f>
        <v/>
      </c>
      <c r="L476" s="13">
        <f>IF(B476="","",YEAR(B476))</f>
        <v/>
      </c>
      <c r="M476" s="13">
        <f>IF(B476="","",MONTH(B476))</f>
        <v/>
      </c>
      <c r="N476" s="9" t="n"/>
      <c r="O476" s="9" t="n"/>
      <c r="P476" s="9" t="n"/>
      <c r="Q476" s="9" t="n"/>
    </row>
    <row r="477">
      <c r="A477" s="9" t="n"/>
      <c r="B477" s="70" t="n"/>
      <c r="C477" s="9" t="n"/>
      <c r="D477" s="9" t="n"/>
      <c r="E477" s="9" t="n"/>
      <c r="F477" s="9" t="n"/>
      <c r="G477" s="9" t="n"/>
      <c r="H477" s="71" t="n"/>
      <c r="I477" s="9" t="n"/>
      <c r="J477" s="89">
        <f>IF(H477="","",IF(I477="Sí",ROUND(H477*Configuracion!$B$11,0),0))</f>
        <v/>
      </c>
      <c r="K477" s="89">
        <f>IF(H477="","",H477+J477)</f>
        <v/>
      </c>
      <c r="L477" s="13">
        <f>IF(B477="","",YEAR(B477))</f>
        <v/>
      </c>
      <c r="M477" s="13">
        <f>IF(B477="","",MONTH(B477))</f>
        <v/>
      </c>
      <c r="N477" s="9" t="n"/>
      <c r="O477" s="9" t="n"/>
      <c r="P477" s="9" t="n"/>
      <c r="Q477" s="9" t="n"/>
    </row>
    <row r="478">
      <c r="A478" s="9" t="n"/>
      <c r="B478" s="70" t="n"/>
      <c r="C478" s="9" t="n"/>
      <c r="D478" s="9" t="n"/>
      <c r="E478" s="9" t="n"/>
      <c r="F478" s="9" t="n"/>
      <c r="G478" s="9" t="n"/>
      <c r="H478" s="71" t="n"/>
      <c r="I478" s="9" t="n"/>
      <c r="J478" s="89">
        <f>IF(H478="","",IF(I478="Sí",ROUND(H478*Configuracion!$B$11,0),0))</f>
        <v/>
      </c>
      <c r="K478" s="89">
        <f>IF(H478="","",H478+J478)</f>
        <v/>
      </c>
      <c r="L478" s="13">
        <f>IF(B478="","",YEAR(B478))</f>
        <v/>
      </c>
      <c r="M478" s="13">
        <f>IF(B478="","",MONTH(B478))</f>
        <v/>
      </c>
      <c r="N478" s="9" t="n"/>
      <c r="O478" s="9" t="n"/>
      <c r="P478" s="9" t="n"/>
      <c r="Q478" s="9" t="n"/>
    </row>
    <row r="479">
      <c r="A479" s="9" t="n"/>
      <c r="B479" s="70" t="n"/>
      <c r="C479" s="9" t="n"/>
      <c r="D479" s="9" t="n"/>
      <c r="E479" s="9" t="n"/>
      <c r="F479" s="9" t="n"/>
      <c r="G479" s="9" t="n"/>
      <c r="H479" s="71" t="n"/>
      <c r="I479" s="9" t="n"/>
      <c r="J479" s="89">
        <f>IF(H479="","",IF(I479="Sí",ROUND(H479*Configuracion!$B$11,0),0))</f>
        <v/>
      </c>
      <c r="K479" s="89">
        <f>IF(H479="","",H479+J479)</f>
        <v/>
      </c>
      <c r="L479" s="13">
        <f>IF(B479="","",YEAR(B479))</f>
        <v/>
      </c>
      <c r="M479" s="13">
        <f>IF(B479="","",MONTH(B479))</f>
        <v/>
      </c>
      <c r="N479" s="9" t="n"/>
      <c r="O479" s="9" t="n"/>
      <c r="P479" s="9" t="n"/>
      <c r="Q479" s="9" t="n"/>
    </row>
    <row r="480">
      <c r="A480" s="9" t="n"/>
      <c r="B480" s="70" t="n"/>
      <c r="C480" s="9" t="n"/>
      <c r="D480" s="9" t="n"/>
      <c r="E480" s="9" t="n"/>
      <c r="F480" s="9" t="n"/>
      <c r="G480" s="9" t="n"/>
      <c r="H480" s="71" t="n"/>
      <c r="I480" s="9" t="n"/>
      <c r="J480" s="89">
        <f>IF(H480="","",IF(I480="Sí",ROUND(H480*Configuracion!$B$11,0),0))</f>
        <v/>
      </c>
      <c r="K480" s="89">
        <f>IF(H480="","",H480+J480)</f>
        <v/>
      </c>
      <c r="L480" s="13">
        <f>IF(B480="","",YEAR(B480))</f>
        <v/>
      </c>
      <c r="M480" s="13">
        <f>IF(B480="","",MONTH(B480))</f>
        <v/>
      </c>
      <c r="N480" s="9" t="n"/>
      <c r="O480" s="9" t="n"/>
      <c r="P480" s="9" t="n"/>
      <c r="Q480" s="9" t="n"/>
    </row>
    <row r="481">
      <c r="A481" s="9" t="n"/>
      <c r="B481" s="70" t="n"/>
      <c r="C481" s="9" t="n"/>
      <c r="D481" s="9" t="n"/>
      <c r="E481" s="9" t="n"/>
      <c r="F481" s="9" t="n"/>
      <c r="G481" s="9" t="n"/>
      <c r="H481" s="71" t="n"/>
      <c r="I481" s="9" t="n"/>
      <c r="J481" s="89">
        <f>IF(H481="","",IF(I481="Sí",ROUND(H481*Configuracion!$B$11,0),0))</f>
        <v/>
      </c>
      <c r="K481" s="89">
        <f>IF(H481="","",H481+J481)</f>
        <v/>
      </c>
      <c r="L481" s="13">
        <f>IF(B481="","",YEAR(B481))</f>
        <v/>
      </c>
      <c r="M481" s="13">
        <f>IF(B481="","",MONTH(B481))</f>
        <v/>
      </c>
      <c r="N481" s="9" t="n"/>
      <c r="O481" s="9" t="n"/>
      <c r="P481" s="9" t="n"/>
      <c r="Q481" s="9" t="n"/>
    </row>
    <row r="482">
      <c r="A482" s="9" t="n"/>
      <c r="B482" s="70" t="n"/>
      <c r="C482" s="9" t="n"/>
      <c r="D482" s="9" t="n"/>
      <c r="E482" s="9" t="n"/>
      <c r="F482" s="9" t="n"/>
      <c r="G482" s="9" t="n"/>
      <c r="H482" s="71" t="n"/>
      <c r="I482" s="9" t="n"/>
      <c r="J482" s="89">
        <f>IF(H482="","",IF(I482="Sí",ROUND(H482*Configuracion!$B$11,0),0))</f>
        <v/>
      </c>
      <c r="K482" s="89">
        <f>IF(H482="","",H482+J482)</f>
        <v/>
      </c>
      <c r="L482" s="13">
        <f>IF(B482="","",YEAR(B482))</f>
        <v/>
      </c>
      <c r="M482" s="13">
        <f>IF(B482="","",MONTH(B482))</f>
        <v/>
      </c>
      <c r="N482" s="9" t="n"/>
      <c r="O482" s="9" t="n"/>
      <c r="P482" s="9" t="n"/>
      <c r="Q482" s="9" t="n"/>
    </row>
    <row r="483">
      <c r="A483" s="9" t="n"/>
      <c r="B483" s="70" t="n"/>
      <c r="C483" s="9" t="n"/>
      <c r="D483" s="9" t="n"/>
      <c r="E483" s="9" t="n"/>
      <c r="F483" s="9" t="n"/>
      <c r="G483" s="9" t="n"/>
      <c r="H483" s="71" t="n"/>
      <c r="I483" s="9" t="n"/>
      <c r="J483" s="89">
        <f>IF(H483="","",IF(I483="Sí",ROUND(H483*Configuracion!$B$11,0),0))</f>
        <v/>
      </c>
      <c r="K483" s="89">
        <f>IF(H483="","",H483+J483)</f>
        <v/>
      </c>
      <c r="L483" s="13">
        <f>IF(B483="","",YEAR(B483))</f>
        <v/>
      </c>
      <c r="M483" s="13">
        <f>IF(B483="","",MONTH(B483))</f>
        <v/>
      </c>
      <c r="N483" s="9" t="n"/>
      <c r="O483" s="9" t="n"/>
      <c r="P483" s="9" t="n"/>
      <c r="Q483" s="9" t="n"/>
    </row>
    <row r="484">
      <c r="A484" s="9" t="n"/>
      <c r="B484" s="70" t="n"/>
      <c r="C484" s="9" t="n"/>
      <c r="D484" s="9" t="n"/>
      <c r="E484" s="9" t="n"/>
      <c r="F484" s="9" t="n"/>
      <c r="G484" s="9" t="n"/>
      <c r="H484" s="71" t="n"/>
      <c r="I484" s="9" t="n"/>
      <c r="J484" s="89">
        <f>IF(H484="","",IF(I484="Sí",ROUND(H484*Configuracion!$B$11,0),0))</f>
        <v/>
      </c>
      <c r="K484" s="89">
        <f>IF(H484="","",H484+J484)</f>
        <v/>
      </c>
      <c r="L484" s="13">
        <f>IF(B484="","",YEAR(B484))</f>
        <v/>
      </c>
      <c r="M484" s="13">
        <f>IF(B484="","",MONTH(B484))</f>
        <v/>
      </c>
      <c r="N484" s="9" t="n"/>
      <c r="O484" s="9" t="n"/>
      <c r="P484" s="9" t="n"/>
      <c r="Q484" s="9" t="n"/>
    </row>
    <row r="485">
      <c r="A485" s="9" t="n"/>
      <c r="B485" s="70" t="n"/>
      <c r="C485" s="9" t="n"/>
      <c r="D485" s="9" t="n"/>
      <c r="E485" s="9" t="n"/>
      <c r="F485" s="9" t="n"/>
      <c r="G485" s="9" t="n"/>
      <c r="H485" s="71" t="n"/>
      <c r="I485" s="9" t="n"/>
      <c r="J485" s="89">
        <f>IF(H485="","",IF(I485="Sí",ROUND(H485*Configuracion!$B$11,0),0))</f>
        <v/>
      </c>
      <c r="K485" s="89">
        <f>IF(H485="","",H485+J485)</f>
        <v/>
      </c>
      <c r="L485" s="13">
        <f>IF(B485="","",YEAR(B485))</f>
        <v/>
      </c>
      <c r="M485" s="13">
        <f>IF(B485="","",MONTH(B485))</f>
        <v/>
      </c>
      <c r="N485" s="9" t="n"/>
      <c r="O485" s="9" t="n"/>
      <c r="P485" s="9" t="n"/>
      <c r="Q485" s="9" t="n"/>
    </row>
    <row r="486">
      <c r="A486" s="9" t="n"/>
      <c r="B486" s="70" t="n"/>
      <c r="C486" s="9" t="n"/>
      <c r="D486" s="9" t="n"/>
      <c r="E486" s="9" t="n"/>
      <c r="F486" s="9" t="n"/>
      <c r="G486" s="9" t="n"/>
      <c r="H486" s="71" t="n"/>
      <c r="I486" s="9" t="n"/>
      <c r="J486" s="89">
        <f>IF(H486="","",IF(I486="Sí",ROUND(H486*Configuracion!$B$11,0),0))</f>
        <v/>
      </c>
      <c r="K486" s="89">
        <f>IF(H486="","",H486+J486)</f>
        <v/>
      </c>
      <c r="L486" s="13">
        <f>IF(B486="","",YEAR(B486))</f>
        <v/>
      </c>
      <c r="M486" s="13">
        <f>IF(B486="","",MONTH(B486))</f>
        <v/>
      </c>
      <c r="N486" s="9" t="n"/>
      <c r="O486" s="9" t="n"/>
      <c r="P486" s="9" t="n"/>
      <c r="Q486" s="9" t="n"/>
    </row>
    <row r="487">
      <c r="A487" s="9" t="n"/>
      <c r="B487" s="70" t="n"/>
      <c r="C487" s="9" t="n"/>
      <c r="D487" s="9" t="n"/>
      <c r="E487" s="9" t="n"/>
      <c r="F487" s="9" t="n"/>
      <c r="G487" s="9" t="n"/>
      <c r="H487" s="71" t="n"/>
      <c r="I487" s="9" t="n"/>
      <c r="J487" s="89">
        <f>IF(H487="","",IF(I487="Sí",ROUND(H487*Configuracion!$B$11,0),0))</f>
        <v/>
      </c>
      <c r="K487" s="89">
        <f>IF(H487="","",H487+J487)</f>
        <v/>
      </c>
      <c r="L487" s="13">
        <f>IF(B487="","",YEAR(B487))</f>
        <v/>
      </c>
      <c r="M487" s="13">
        <f>IF(B487="","",MONTH(B487))</f>
        <v/>
      </c>
      <c r="N487" s="9" t="n"/>
      <c r="O487" s="9" t="n"/>
      <c r="P487" s="9" t="n"/>
      <c r="Q487" s="9" t="n"/>
    </row>
    <row r="488">
      <c r="A488" s="9" t="n"/>
      <c r="B488" s="70" t="n"/>
      <c r="C488" s="9" t="n"/>
      <c r="D488" s="9" t="n"/>
      <c r="E488" s="9" t="n"/>
      <c r="F488" s="9" t="n"/>
      <c r="G488" s="9" t="n"/>
      <c r="H488" s="71" t="n"/>
      <c r="I488" s="9" t="n"/>
      <c r="J488" s="89">
        <f>IF(H488="","",IF(I488="Sí",ROUND(H488*Configuracion!$B$11,0),0))</f>
        <v/>
      </c>
      <c r="K488" s="89">
        <f>IF(H488="","",H488+J488)</f>
        <v/>
      </c>
      <c r="L488" s="13">
        <f>IF(B488="","",YEAR(B488))</f>
        <v/>
      </c>
      <c r="M488" s="13">
        <f>IF(B488="","",MONTH(B488))</f>
        <v/>
      </c>
      <c r="N488" s="9" t="n"/>
      <c r="O488" s="9" t="n"/>
      <c r="P488" s="9" t="n"/>
      <c r="Q488" s="9" t="n"/>
    </row>
    <row r="489">
      <c r="A489" s="9" t="n"/>
      <c r="B489" s="70" t="n"/>
      <c r="C489" s="9" t="n"/>
      <c r="D489" s="9" t="n"/>
      <c r="E489" s="9" t="n"/>
      <c r="F489" s="9" t="n"/>
      <c r="G489" s="9" t="n"/>
      <c r="H489" s="71" t="n"/>
      <c r="I489" s="9" t="n"/>
      <c r="J489" s="89">
        <f>IF(H489="","",IF(I489="Sí",ROUND(H489*Configuracion!$B$11,0),0))</f>
        <v/>
      </c>
      <c r="K489" s="89">
        <f>IF(H489="","",H489+J489)</f>
        <v/>
      </c>
      <c r="L489" s="13">
        <f>IF(B489="","",YEAR(B489))</f>
        <v/>
      </c>
      <c r="M489" s="13">
        <f>IF(B489="","",MONTH(B489))</f>
        <v/>
      </c>
      <c r="N489" s="9" t="n"/>
      <c r="O489" s="9" t="n"/>
      <c r="P489" s="9" t="n"/>
      <c r="Q489" s="9" t="n"/>
    </row>
    <row r="490">
      <c r="A490" s="9" t="n"/>
      <c r="B490" s="70" t="n"/>
      <c r="C490" s="9" t="n"/>
      <c r="D490" s="9" t="n"/>
      <c r="E490" s="9" t="n"/>
      <c r="F490" s="9" t="n"/>
      <c r="G490" s="9" t="n"/>
      <c r="H490" s="71" t="n"/>
      <c r="I490" s="9" t="n"/>
      <c r="J490" s="89">
        <f>IF(H490="","",IF(I490="Sí",ROUND(H490*Configuracion!$B$11,0),0))</f>
        <v/>
      </c>
      <c r="K490" s="89">
        <f>IF(H490="","",H490+J490)</f>
        <v/>
      </c>
      <c r="L490" s="13">
        <f>IF(B490="","",YEAR(B490))</f>
        <v/>
      </c>
      <c r="M490" s="13">
        <f>IF(B490="","",MONTH(B490))</f>
        <v/>
      </c>
      <c r="N490" s="9" t="n"/>
      <c r="O490" s="9" t="n"/>
      <c r="P490" s="9" t="n"/>
      <c r="Q490" s="9" t="n"/>
    </row>
    <row r="491">
      <c r="A491" s="9" t="n"/>
      <c r="B491" s="70" t="n"/>
      <c r="C491" s="9" t="n"/>
      <c r="D491" s="9" t="n"/>
      <c r="E491" s="9" t="n"/>
      <c r="F491" s="9" t="n"/>
      <c r="G491" s="9" t="n"/>
      <c r="H491" s="71" t="n"/>
      <c r="I491" s="9" t="n"/>
      <c r="J491" s="89">
        <f>IF(H491="","",IF(I491="Sí",ROUND(H491*Configuracion!$B$11,0),0))</f>
        <v/>
      </c>
      <c r="K491" s="89">
        <f>IF(H491="","",H491+J491)</f>
        <v/>
      </c>
      <c r="L491" s="13">
        <f>IF(B491="","",YEAR(B491))</f>
        <v/>
      </c>
      <c r="M491" s="13">
        <f>IF(B491="","",MONTH(B491))</f>
        <v/>
      </c>
      <c r="N491" s="9" t="n"/>
      <c r="O491" s="9" t="n"/>
      <c r="P491" s="9" t="n"/>
      <c r="Q491" s="9" t="n"/>
    </row>
    <row r="492">
      <c r="A492" s="9" t="n"/>
      <c r="B492" s="70" t="n"/>
      <c r="C492" s="9" t="n"/>
      <c r="D492" s="9" t="n"/>
      <c r="E492" s="9" t="n"/>
      <c r="F492" s="9" t="n"/>
      <c r="G492" s="9" t="n"/>
      <c r="H492" s="71" t="n"/>
      <c r="I492" s="9" t="n"/>
      <c r="J492" s="89">
        <f>IF(H492="","",IF(I492="Sí",ROUND(H492*Configuracion!$B$11,0),0))</f>
        <v/>
      </c>
      <c r="K492" s="89">
        <f>IF(H492="","",H492+J492)</f>
        <v/>
      </c>
      <c r="L492" s="13">
        <f>IF(B492="","",YEAR(B492))</f>
        <v/>
      </c>
      <c r="M492" s="13">
        <f>IF(B492="","",MONTH(B492))</f>
        <v/>
      </c>
      <c r="N492" s="9" t="n"/>
      <c r="O492" s="9" t="n"/>
      <c r="P492" s="9" t="n"/>
      <c r="Q492" s="9" t="n"/>
    </row>
    <row r="493">
      <c r="A493" s="9" t="n"/>
      <c r="B493" s="70" t="n"/>
      <c r="C493" s="9" t="n"/>
      <c r="D493" s="9" t="n"/>
      <c r="E493" s="9" t="n"/>
      <c r="F493" s="9" t="n"/>
      <c r="G493" s="9" t="n"/>
      <c r="H493" s="71" t="n"/>
      <c r="I493" s="9" t="n"/>
      <c r="J493" s="89">
        <f>IF(H493="","",IF(I493="Sí",ROUND(H493*Configuracion!$B$11,0),0))</f>
        <v/>
      </c>
      <c r="K493" s="89">
        <f>IF(H493="","",H493+J493)</f>
        <v/>
      </c>
      <c r="L493" s="13">
        <f>IF(B493="","",YEAR(B493))</f>
        <v/>
      </c>
      <c r="M493" s="13">
        <f>IF(B493="","",MONTH(B493))</f>
        <v/>
      </c>
      <c r="N493" s="9" t="n"/>
      <c r="O493" s="9" t="n"/>
      <c r="P493" s="9" t="n"/>
      <c r="Q493" s="9" t="n"/>
    </row>
    <row r="494">
      <c r="A494" s="9" t="n"/>
      <c r="B494" s="70" t="n"/>
      <c r="C494" s="9" t="n"/>
      <c r="D494" s="9" t="n"/>
      <c r="E494" s="9" t="n"/>
      <c r="F494" s="9" t="n"/>
      <c r="G494" s="9" t="n"/>
      <c r="H494" s="71" t="n"/>
      <c r="I494" s="9" t="n"/>
      <c r="J494" s="89">
        <f>IF(H494="","",IF(I494="Sí",ROUND(H494*Configuracion!$B$11,0),0))</f>
        <v/>
      </c>
      <c r="K494" s="89">
        <f>IF(H494="","",H494+J494)</f>
        <v/>
      </c>
      <c r="L494" s="13">
        <f>IF(B494="","",YEAR(B494))</f>
        <v/>
      </c>
      <c r="M494" s="13">
        <f>IF(B494="","",MONTH(B494))</f>
        <v/>
      </c>
      <c r="N494" s="9" t="n"/>
      <c r="O494" s="9" t="n"/>
      <c r="P494" s="9" t="n"/>
      <c r="Q494" s="9" t="n"/>
    </row>
    <row r="495">
      <c r="A495" s="9" t="n"/>
      <c r="B495" s="70" t="n"/>
      <c r="C495" s="9" t="n"/>
      <c r="D495" s="9" t="n"/>
      <c r="E495" s="9" t="n"/>
      <c r="F495" s="9" t="n"/>
      <c r="G495" s="9" t="n"/>
      <c r="H495" s="71" t="n"/>
      <c r="I495" s="9" t="n"/>
      <c r="J495" s="89">
        <f>IF(H495="","",IF(I495="Sí",ROUND(H495*Configuracion!$B$11,0),0))</f>
        <v/>
      </c>
      <c r="K495" s="89">
        <f>IF(H495="","",H495+J495)</f>
        <v/>
      </c>
      <c r="L495" s="13">
        <f>IF(B495="","",YEAR(B495))</f>
        <v/>
      </c>
      <c r="M495" s="13">
        <f>IF(B495="","",MONTH(B495))</f>
        <v/>
      </c>
      <c r="N495" s="9" t="n"/>
      <c r="O495" s="9" t="n"/>
      <c r="P495" s="9" t="n"/>
      <c r="Q495" s="9" t="n"/>
    </row>
    <row r="496">
      <c r="A496" s="9" t="n"/>
      <c r="B496" s="70" t="n"/>
      <c r="C496" s="9" t="n"/>
      <c r="D496" s="9" t="n"/>
      <c r="E496" s="9" t="n"/>
      <c r="F496" s="9" t="n"/>
      <c r="G496" s="9" t="n"/>
      <c r="H496" s="71" t="n"/>
      <c r="I496" s="9" t="n"/>
      <c r="J496" s="89">
        <f>IF(H496="","",IF(I496="Sí",ROUND(H496*Configuracion!$B$11,0),0))</f>
        <v/>
      </c>
      <c r="K496" s="89">
        <f>IF(H496="","",H496+J496)</f>
        <v/>
      </c>
      <c r="L496" s="13">
        <f>IF(B496="","",YEAR(B496))</f>
        <v/>
      </c>
      <c r="M496" s="13">
        <f>IF(B496="","",MONTH(B496))</f>
        <v/>
      </c>
      <c r="N496" s="9" t="n"/>
      <c r="O496" s="9" t="n"/>
      <c r="P496" s="9" t="n"/>
      <c r="Q496" s="9" t="n"/>
    </row>
    <row r="497">
      <c r="A497" s="9" t="n"/>
      <c r="B497" s="70" t="n"/>
      <c r="C497" s="9" t="n"/>
      <c r="D497" s="9" t="n"/>
      <c r="E497" s="9" t="n"/>
      <c r="F497" s="9" t="n"/>
      <c r="G497" s="9" t="n"/>
      <c r="H497" s="71" t="n"/>
      <c r="I497" s="9" t="n"/>
      <c r="J497" s="89">
        <f>IF(H497="","",IF(I497="Sí",ROUND(H497*Configuracion!$B$11,0),0))</f>
        <v/>
      </c>
      <c r="K497" s="89">
        <f>IF(H497="","",H497+J497)</f>
        <v/>
      </c>
      <c r="L497" s="13">
        <f>IF(B497="","",YEAR(B497))</f>
        <v/>
      </c>
      <c r="M497" s="13">
        <f>IF(B497="","",MONTH(B497))</f>
        <v/>
      </c>
      <c r="N497" s="9" t="n"/>
      <c r="O497" s="9" t="n"/>
      <c r="P497" s="9" t="n"/>
      <c r="Q497" s="9" t="n"/>
    </row>
    <row r="498">
      <c r="A498" s="9" t="n"/>
      <c r="B498" s="70" t="n"/>
      <c r="C498" s="9" t="n"/>
      <c r="D498" s="9" t="n"/>
      <c r="E498" s="9" t="n"/>
      <c r="F498" s="9" t="n"/>
      <c r="G498" s="9" t="n"/>
      <c r="H498" s="71" t="n"/>
      <c r="I498" s="9" t="n"/>
      <c r="J498" s="89">
        <f>IF(H498="","",IF(I498="Sí",ROUND(H498*Configuracion!$B$11,0),0))</f>
        <v/>
      </c>
      <c r="K498" s="89">
        <f>IF(H498="","",H498+J498)</f>
        <v/>
      </c>
      <c r="L498" s="13">
        <f>IF(B498="","",YEAR(B498))</f>
        <v/>
      </c>
      <c r="M498" s="13">
        <f>IF(B498="","",MONTH(B498))</f>
        <v/>
      </c>
      <c r="N498" s="9" t="n"/>
      <c r="O498" s="9" t="n"/>
      <c r="P498" s="9" t="n"/>
      <c r="Q498" s="9" t="n"/>
    </row>
    <row r="499">
      <c r="A499" s="9" t="n"/>
      <c r="B499" s="70" t="n"/>
      <c r="C499" s="9" t="n"/>
      <c r="D499" s="9" t="n"/>
      <c r="E499" s="9" t="n"/>
      <c r="F499" s="9" t="n"/>
      <c r="G499" s="9" t="n"/>
      <c r="H499" s="71" t="n"/>
      <c r="I499" s="9" t="n"/>
      <c r="J499" s="89">
        <f>IF(H499="","",IF(I499="Sí",ROUND(H499*Configuracion!$B$11,0),0))</f>
        <v/>
      </c>
      <c r="K499" s="89">
        <f>IF(H499="","",H499+J499)</f>
        <v/>
      </c>
      <c r="L499" s="13">
        <f>IF(B499="","",YEAR(B499))</f>
        <v/>
      </c>
      <c r="M499" s="13">
        <f>IF(B499="","",MONTH(B499))</f>
        <v/>
      </c>
      <c r="N499" s="9" t="n"/>
      <c r="O499" s="9" t="n"/>
      <c r="P499" s="9" t="n"/>
      <c r="Q499" s="9" t="n"/>
    </row>
    <row r="500">
      <c r="A500" s="9" t="n"/>
      <c r="B500" s="70" t="n"/>
      <c r="C500" s="9" t="n"/>
      <c r="D500" s="9" t="n"/>
      <c r="E500" s="9" t="n"/>
      <c r="F500" s="9" t="n"/>
      <c r="G500" s="9" t="n"/>
      <c r="H500" s="71" t="n"/>
      <c r="I500" s="9" t="n"/>
      <c r="J500" s="89">
        <f>IF(H500="","",IF(I500="Sí",ROUND(H500*Configuracion!$B$11,0),0))</f>
        <v/>
      </c>
      <c r="K500" s="89">
        <f>IF(H500="","",H500+J500)</f>
        <v/>
      </c>
      <c r="L500" s="13">
        <f>IF(B500="","",YEAR(B500))</f>
        <v/>
      </c>
      <c r="M500" s="13">
        <f>IF(B500="","",MONTH(B500))</f>
        <v/>
      </c>
      <c r="N500" s="9" t="n"/>
      <c r="O500" s="9" t="n"/>
      <c r="P500" s="9" t="n"/>
      <c r="Q500" s="9" t="n"/>
    </row>
    <row r="501">
      <c r="A501" s="9" t="n"/>
      <c r="B501" s="70" t="n"/>
      <c r="C501" s="9" t="n"/>
      <c r="D501" s="9" t="n"/>
      <c r="E501" s="9" t="n"/>
      <c r="F501" s="9" t="n"/>
      <c r="G501" s="9" t="n"/>
      <c r="H501" s="71" t="n"/>
      <c r="I501" s="9" t="n"/>
      <c r="J501" s="89">
        <f>IF(H501="","",IF(I501="Sí",ROUND(H501*Configuracion!$B$11,0),0))</f>
        <v/>
      </c>
      <c r="K501" s="89">
        <f>IF(H501="","",H501+J501)</f>
        <v/>
      </c>
      <c r="L501" s="13">
        <f>IF(B501="","",YEAR(B501))</f>
        <v/>
      </c>
      <c r="M501" s="13">
        <f>IF(B501="","",MONTH(B501))</f>
        <v/>
      </c>
      <c r="N501" s="9" t="n"/>
      <c r="O501" s="9" t="n"/>
      <c r="P501" s="9" t="n"/>
      <c r="Q501" s="9" t="n"/>
    </row>
    <row r="502">
      <c r="A502" s="9" t="n"/>
      <c r="B502" s="70" t="n"/>
      <c r="C502" s="9" t="n"/>
      <c r="D502" s="9" t="n"/>
      <c r="E502" s="9" t="n"/>
      <c r="F502" s="9" t="n"/>
      <c r="G502" s="9" t="n"/>
      <c r="H502" s="71" t="n"/>
      <c r="I502" s="9" t="n"/>
      <c r="J502" s="89">
        <f>IF(H502="","",IF(I502="Sí",ROUND(H502*Configuracion!$B$11,0),0))</f>
        <v/>
      </c>
      <c r="K502" s="89">
        <f>IF(H502="","",H502+J502)</f>
        <v/>
      </c>
      <c r="L502" s="13">
        <f>IF(B502="","",YEAR(B502))</f>
        <v/>
      </c>
      <c r="M502" s="13">
        <f>IF(B502="","",MONTH(B502))</f>
        <v/>
      </c>
      <c r="N502" s="9" t="n"/>
      <c r="O502" s="9" t="n"/>
      <c r="P502" s="9" t="n"/>
      <c r="Q502" s="9" t="n"/>
    </row>
    <row r="503">
      <c r="A503" s="9" t="n"/>
      <c r="B503" s="70" t="n"/>
      <c r="C503" s="9" t="n"/>
      <c r="D503" s="9" t="n"/>
      <c r="E503" s="9" t="n"/>
      <c r="F503" s="9" t="n"/>
      <c r="G503" s="9" t="n"/>
      <c r="H503" s="71" t="n"/>
      <c r="I503" s="9" t="n"/>
      <c r="J503" s="89">
        <f>IF(H503="","",IF(I503="Sí",ROUND(H503*Configuracion!$B$11,0),0))</f>
        <v/>
      </c>
      <c r="K503" s="89">
        <f>IF(H503="","",H503+J503)</f>
        <v/>
      </c>
      <c r="L503" s="13">
        <f>IF(B503="","",YEAR(B503))</f>
        <v/>
      </c>
      <c r="M503" s="13">
        <f>IF(B503="","",MONTH(B503))</f>
        <v/>
      </c>
      <c r="N503" s="9" t="n"/>
      <c r="O503" s="9" t="n"/>
      <c r="P503" s="9" t="n"/>
      <c r="Q503" s="9" t="n"/>
    </row>
    <row r="504">
      <c r="A504" s="9" t="n"/>
      <c r="B504" s="70" t="n"/>
      <c r="C504" s="9" t="n"/>
      <c r="D504" s="9" t="n"/>
      <c r="E504" s="9" t="n"/>
      <c r="F504" s="9" t="n"/>
      <c r="G504" s="9" t="n"/>
      <c r="H504" s="71" t="n"/>
      <c r="I504" s="9" t="n"/>
      <c r="J504" s="89">
        <f>IF(H504="","",IF(I504="Sí",ROUND(H504*Configuracion!$B$11,0),0))</f>
        <v/>
      </c>
      <c r="K504" s="89">
        <f>IF(H504="","",H504+J504)</f>
        <v/>
      </c>
      <c r="L504" s="13">
        <f>IF(B504="","",YEAR(B504))</f>
        <v/>
      </c>
      <c r="M504" s="13">
        <f>IF(B504="","",MONTH(B504))</f>
        <v/>
      </c>
      <c r="N504" s="9" t="n"/>
      <c r="O504" s="9" t="n"/>
      <c r="P504" s="9" t="n"/>
      <c r="Q504" s="9" t="n"/>
    </row>
    <row r="505">
      <c r="A505" s="9" t="n"/>
      <c r="B505" s="70" t="n"/>
      <c r="C505" s="9" t="n"/>
      <c r="D505" s="9" t="n"/>
      <c r="E505" s="9" t="n"/>
      <c r="F505" s="9" t="n"/>
      <c r="G505" s="9" t="n"/>
      <c r="H505" s="71" t="n"/>
      <c r="I505" s="9" t="n"/>
      <c r="J505" s="89">
        <f>IF(H505="","",IF(I505="Sí",ROUND(H505*Configuracion!$B$11,0),0))</f>
        <v/>
      </c>
      <c r="K505" s="89">
        <f>IF(H505="","",H505+J505)</f>
        <v/>
      </c>
      <c r="L505" s="13">
        <f>IF(B505="","",YEAR(B505))</f>
        <v/>
      </c>
      <c r="M505" s="13">
        <f>IF(B505="","",MONTH(B505))</f>
        <v/>
      </c>
      <c r="N505" s="9" t="n"/>
      <c r="O505" s="9" t="n"/>
      <c r="P505" s="9" t="n"/>
      <c r="Q505" s="9" t="n"/>
    </row>
    <row r="506">
      <c r="A506" s="9" t="n"/>
      <c r="B506" s="70" t="n"/>
      <c r="C506" s="9" t="n"/>
      <c r="D506" s="9" t="n"/>
      <c r="E506" s="9" t="n"/>
      <c r="F506" s="9" t="n"/>
      <c r="G506" s="9" t="n"/>
      <c r="H506" s="71" t="n"/>
      <c r="I506" s="9" t="n"/>
      <c r="J506" s="89">
        <f>IF(H506="","",IF(I506="Sí",ROUND(H506*Configuracion!$B$11,0),0))</f>
        <v/>
      </c>
      <c r="K506" s="89">
        <f>IF(H506="","",H506+J506)</f>
        <v/>
      </c>
      <c r="L506" s="13">
        <f>IF(B506="","",YEAR(B506))</f>
        <v/>
      </c>
      <c r="M506" s="13">
        <f>IF(B506="","",MONTH(B506))</f>
        <v/>
      </c>
      <c r="N506" s="9" t="n"/>
      <c r="O506" s="9" t="n"/>
      <c r="P506" s="9" t="n"/>
      <c r="Q506" s="9" t="n"/>
    </row>
    <row r="507">
      <c r="A507" s="9" t="n"/>
      <c r="B507" s="70" t="n"/>
      <c r="C507" s="9" t="n"/>
      <c r="D507" s="9" t="n"/>
      <c r="E507" s="9" t="n"/>
      <c r="F507" s="9" t="n"/>
      <c r="G507" s="9" t="n"/>
      <c r="H507" s="71" t="n"/>
      <c r="I507" s="9" t="n"/>
      <c r="J507" s="89">
        <f>IF(H507="","",IF(I507="Sí",ROUND(H507*Configuracion!$B$11,0),0))</f>
        <v/>
      </c>
      <c r="K507" s="89">
        <f>IF(H507="","",H507+J507)</f>
        <v/>
      </c>
      <c r="L507" s="13">
        <f>IF(B507="","",YEAR(B507))</f>
        <v/>
      </c>
      <c r="M507" s="13">
        <f>IF(B507="","",MONTH(B507))</f>
        <v/>
      </c>
      <c r="N507" s="9" t="n"/>
      <c r="O507" s="9" t="n"/>
      <c r="P507" s="9" t="n"/>
      <c r="Q507" s="9" t="n"/>
    </row>
    <row r="508">
      <c r="A508" s="9" t="n"/>
      <c r="B508" s="70" t="n"/>
      <c r="C508" s="9" t="n"/>
      <c r="D508" s="9" t="n"/>
      <c r="E508" s="9" t="n"/>
      <c r="F508" s="9" t="n"/>
      <c r="G508" s="9" t="n"/>
      <c r="H508" s="71" t="n"/>
      <c r="I508" s="9" t="n"/>
      <c r="J508" s="89">
        <f>IF(H508="","",IF(I508="Sí",ROUND(H508*Configuracion!$B$11,0),0))</f>
        <v/>
      </c>
      <c r="K508" s="89">
        <f>IF(H508="","",H508+J508)</f>
        <v/>
      </c>
      <c r="L508" s="13">
        <f>IF(B508="","",YEAR(B508))</f>
        <v/>
      </c>
      <c r="M508" s="13">
        <f>IF(B508="","",MONTH(B508))</f>
        <v/>
      </c>
      <c r="N508" s="9" t="n"/>
      <c r="O508" s="9" t="n"/>
      <c r="P508" s="9" t="n"/>
      <c r="Q508" s="9" t="n"/>
    </row>
    <row r="509">
      <c r="A509" s="9" t="n"/>
      <c r="B509" s="70" t="n"/>
      <c r="C509" s="9" t="n"/>
      <c r="D509" s="9" t="n"/>
      <c r="E509" s="9" t="n"/>
      <c r="F509" s="9" t="n"/>
      <c r="G509" s="9" t="n"/>
      <c r="H509" s="71" t="n"/>
      <c r="I509" s="9" t="n"/>
      <c r="J509" s="89">
        <f>IF(H509="","",IF(I509="Sí",ROUND(H509*Configuracion!$B$11,0),0))</f>
        <v/>
      </c>
      <c r="K509" s="89">
        <f>IF(H509="","",H509+J509)</f>
        <v/>
      </c>
      <c r="L509" s="13">
        <f>IF(B509="","",YEAR(B509))</f>
        <v/>
      </c>
      <c r="M509" s="13">
        <f>IF(B509="","",MONTH(B509))</f>
        <v/>
      </c>
      <c r="N509" s="9" t="n"/>
      <c r="O509" s="9" t="n"/>
      <c r="P509" s="9" t="n"/>
      <c r="Q509" s="9" t="n"/>
    </row>
    <row r="510">
      <c r="A510" s="9" t="n"/>
      <c r="B510" s="70" t="n"/>
      <c r="C510" s="9" t="n"/>
      <c r="D510" s="9" t="n"/>
      <c r="E510" s="9" t="n"/>
      <c r="F510" s="9" t="n"/>
      <c r="G510" s="9" t="n"/>
      <c r="H510" s="71" t="n"/>
      <c r="I510" s="9" t="n"/>
      <c r="J510" s="89">
        <f>IF(H510="","",IF(I510="Sí",ROUND(H510*Configuracion!$B$11,0),0))</f>
        <v/>
      </c>
      <c r="K510" s="89">
        <f>IF(H510="","",H510+J510)</f>
        <v/>
      </c>
      <c r="L510" s="13">
        <f>IF(B510="","",YEAR(B510))</f>
        <v/>
      </c>
      <c r="M510" s="13">
        <f>IF(B510="","",MONTH(B510))</f>
        <v/>
      </c>
      <c r="N510" s="9" t="n"/>
      <c r="O510" s="9" t="n"/>
      <c r="P510" s="9" t="n"/>
      <c r="Q510" s="9" t="n"/>
    </row>
    <row r="511">
      <c r="A511" s="9" t="n"/>
      <c r="B511" s="70" t="n"/>
      <c r="C511" s="9" t="n"/>
      <c r="D511" s="9" t="n"/>
      <c r="E511" s="9" t="n"/>
      <c r="F511" s="9" t="n"/>
      <c r="G511" s="9" t="n"/>
      <c r="H511" s="71" t="n"/>
      <c r="I511" s="9" t="n"/>
      <c r="J511" s="89">
        <f>IF(H511="","",IF(I511="Sí",ROUND(H511*Configuracion!$B$11,0),0))</f>
        <v/>
      </c>
      <c r="K511" s="89">
        <f>IF(H511="","",H511+J511)</f>
        <v/>
      </c>
      <c r="L511" s="13">
        <f>IF(B511="","",YEAR(B511))</f>
        <v/>
      </c>
      <c r="M511" s="13">
        <f>IF(B511="","",MONTH(B511))</f>
        <v/>
      </c>
      <c r="N511" s="9" t="n"/>
      <c r="O511" s="9" t="n"/>
      <c r="P511" s="9" t="n"/>
      <c r="Q511" s="9" t="n"/>
    </row>
    <row r="512">
      <c r="A512" s="9" t="n"/>
      <c r="B512" s="70" t="n"/>
      <c r="C512" s="9" t="n"/>
      <c r="D512" s="9" t="n"/>
      <c r="E512" s="9" t="n"/>
      <c r="F512" s="9" t="n"/>
      <c r="G512" s="9" t="n"/>
      <c r="H512" s="71" t="n"/>
      <c r="I512" s="9" t="n"/>
      <c r="J512" s="89">
        <f>IF(H512="","",IF(I512="Sí",ROUND(H512*Configuracion!$B$11,0),0))</f>
        <v/>
      </c>
      <c r="K512" s="89">
        <f>IF(H512="","",H512+J512)</f>
        <v/>
      </c>
      <c r="L512" s="13">
        <f>IF(B512="","",YEAR(B512))</f>
        <v/>
      </c>
      <c r="M512" s="13">
        <f>IF(B512="","",MONTH(B512))</f>
        <v/>
      </c>
      <c r="N512" s="9" t="n"/>
      <c r="O512" s="9" t="n"/>
      <c r="P512" s="9" t="n"/>
      <c r="Q512" s="9" t="n"/>
    </row>
    <row r="513">
      <c r="A513" s="9" t="n"/>
      <c r="B513" s="70" t="n"/>
      <c r="C513" s="9" t="n"/>
      <c r="D513" s="9" t="n"/>
      <c r="E513" s="9" t="n"/>
      <c r="F513" s="9" t="n"/>
      <c r="G513" s="9" t="n"/>
      <c r="H513" s="71" t="n"/>
      <c r="I513" s="9" t="n"/>
      <c r="J513" s="89">
        <f>IF(H513="","",IF(I513="Sí",ROUND(H513*Configuracion!$B$11,0),0))</f>
        <v/>
      </c>
      <c r="K513" s="89">
        <f>IF(H513="","",H513+J513)</f>
        <v/>
      </c>
      <c r="L513" s="13">
        <f>IF(B513="","",YEAR(B513))</f>
        <v/>
      </c>
      <c r="M513" s="13">
        <f>IF(B513="","",MONTH(B513))</f>
        <v/>
      </c>
      <c r="N513" s="9" t="n"/>
      <c r="O513" s="9" t="n"/>
      <c r="P513" s="9" t="n"/>
      <c r="Q513" s="9" t="n"/>
    </row>
    <row r="514">
      <c r="A514" s="9" t="n"/>
      <c r="B514" s="70" t="n"/>
      <c r="C514" s="9" t="n"/>
      <c r="D514" s="9" t="n"/>
      <c r="E514" s="9" t="n"/>
      <c r="F514" s="9" t="n"/>
      <c r="G514" s="9" t="n"/>
      <c r="H514" s="71" t="n"/>
      <c r="I514" s="9" t="n"/>
      <c r="J514" s="89">
        <f>IF(H514="","",IF(I514="Sí",ROUND(H514*Configuracion!$B$11,0),0))</f>
        <v/>
      </c>
      <c r="K514" s="89">
        <f>IF(H514="","",H514+J514)</f>
        <v/>
      </c>
      <c r="L514" s="13">
        <f>IF(B514="","",YEAR(B514))</f>
        <v/>
      </c>
      <c r="M514" s="13">
        <f>IF(B514="","",MONTH(B514))</f>
        <v/>
      </c>
      <c r="N514" s="9" t="n"/>
      <c r="O514" s="9" t="n"/>
      <c r="P514" s="9" t="n"/>
      <c r="Q514" s="9" t="n"/>
    </row>
    <row r="515">
      <c r="A515" s="9" t="n"/>
      <c r="B515" s="70" t="n"/>
      <c r="C515" s="9" t="n"/>
      <c r="D515" s="9" t="n"/>
      <c r="E515" s="9" t="n"/>
      <c r="F515" s="9" t="n"/>
      <c r="G515" s="9" t="n"/>
      <c r="H515" s="71" t="n"/>
      <c r="I515" s="9" t="n"/>
      <c r="J515" s="89">
        <f>IF(H515="","",IF(I515="Sí",ROUND(H515*Configuracion!$B$11,0),0))</f>
        <v/>
      </c>
      <c r="K515" s="89">
        <f>IF(H515="","",H515+J515)</f>
        <v/>
      </c>
      <c r="L515" s="13">
        <f>IF(B515="","",YEAR(B515))</f>
        <v/>
      </c>
      <c r="M515" s="13">
        <f>IF(B515="","",MONTH(B515))</f>
        <v/>
      </c>
      <c r="N515" s="9" t="n"/>
      <c r="O515" s="9" t="n"/>
      <c r="P515" s="9" t="n"/>
      <c r="Q515" s="9" t="n"/>
    </row>
    <row r="516">
      <c r="A516" s="9" t="n"/>
      <c r="B516" s="70" t="n"/>
      <c r="C516" s="9" t="n"/>
      <c r="D516" s="9" t="n"/>
      <c r="E516" s="9" t="n"/>
      <c r="F516" s="9" t="n"/>
      <c r="G516" s="9" t="n"/>
      <c r="H516" s="71" t="n"/>
      <c r="I516" s="9" t="n"/>
      <c r="J516" s="89">
        <f>IF(H516="","",IF(I516="Sí",ROUND(H516*Configuracion!$B$11,0),0))</f>
        <v/>
      </c>
      <c r="K516" s="89">
        <f>IF(H516="","",H516+J516)</f>
        <v/>
      </c>
      <c r="L516" s="13">
        <f>IF(B516="","",YEAR(B516))</f>
        <v/>
      </c>
      <c r="M516" s="13">
        <f>IF(B516="","",MONTH(B516))</f>
        <v/>
      </c>
      <c r="N516" s="9" t="n"/>
      <c r="O516" s="9" t="n"/>
      <c r="P516" s="9" t="n"/>
      <c r="Q516" s="9" t="n"/>
    </row>
    <row r="517">
      <c r="A517" s="9" t="n"/>
      <c r="B517" s="70" t="n"/>
      <c r="C517" s="9" t="n"/>
      <c r="D517" s="9" t="n"/>
      <c r="E517" s="9" t="n"/>
      <c r="F517" s="9" t="n"/>
      <c r="G517" s="9" t="n"/>
      <c r="H517" s="71" t="n"/>
      <c r="I517" s="9" t="n"/>
      <c r="J517" s="89">
        <f>IF(H517="","",IF(I517="Sí",ROUND(H517*Configuracion!$B$11,0),0))</f>
        <v/>
      </c>
      <c r="K517" s="89">
        <f>IF(H517="","",H517+J517)</f>
        <v/>
      </c>
      <c r="L517" s="13">
        <f>IF(B517="","",YEAR(B517))</f>
        <v/>
      </c>
      <c r="M517" s="13">
        <f>IF(B517="","",MONTH(B517))</f>
        <v/>
      </c>
      <c r="N517" s="9" t="n"/>
      <c r="O517" s="9" t="n"/>
      <c r="P517" s="9" t="n"/>
      <c r="Q517" s="9" t="n"/>
    </row>
    <row r="518">
      <c r="A518" s="9" t="n"/>
      <c r="B518" s="70" t="n"/>
      <c r="C518" s="9" t="n"/>
      <c r="D518" s="9" t="n"/>
      <c r="E518" s="9" t="n"/>
      <c r="F518" s="9" t="n"/>
      <c r="G518" s="9" t="n"/>
      <c r="H518" s="71" t="n"/>
      <c r="I518" s="9" t="n"/>
      <c r="J518" s="89">
        <f>IF(H518="","",IF(I518="Sí",ROUND(H518*Configuracion!$B$11,0),0))</f>
        <v/>
      </c>
      <c r="K518" s="89">
        <f>IF(H518="","",H518+J518)</f>
        <v/>
      </c>
      <c r="L518" s="13">
        <f>IF(B518="","",YEAR(B518))</f>
        <v/>
      </c>
      <c r="M518" s="13">
        <f>IF(B518="","",MONTH(B518))</f>
        <v/>
      </c>
      <c r="N518" s="9" t="n"/>
      <c r="O518" s="9" t="n"/>
      <c r="P518" s="9" t="n"/>
      <c r="Q518" s="9" t="n"/>
    </row>
    <row r="519">
      <c r="A519" s="9" t="n"/>
      <c r="B519" s="70" t="n"/>
      <c r="C519" s="9" t="n"/>
      <c r="D519" s="9" t="n"/>
      <c r="E519" s="9" t="n"/>
      <c r="F519" s="9" t="n"/>
      <c r="G519" s="9" t="n"/>
      <c r="H519" s="71" t="n"/>
      <c r="I519" s="9" t="n"/>
      <c r="J519" s="89">
        <f>IF(H519="","",IF(I519="Sí",ROUND(H519*Configuracion!$B$11,0),0))</f>
        <v/>
      </c>
      <c r="K519" s="89">
        <f>IF(H519="","",H519+J519)</f>
        <v/>
      </c>
      <c r="L519" s="13">
        <f>IF(B519="","",YEAR(B519))</f>
        <v/>
      </c>
      <c r="M519" s="13">
        <f>IF(B519="","",MONTH(B519))</f>
        <v/>
      </c>
      <c r="N519" s="9" t="n"/>
      <c r="O519" s="9" t="n"/>
      <c r="P519" s="9" t="n"/>
      <c r="Q519" s="9" t="n"/>
    </row>
    <row r="520">
      <c r="A520" s="9" t="n"/>
      <c r="B520" s="70" t="n"/>
      <c r="C520" s="9" t="n"/>
      <c r="D520" s="9" t="n"/>
      <c r="E520" s="9" t="n"/>
      <c r="F520" s="9" t="n"/>
      <c r="G520" s="9" t="n"/>
      <c r="H520" s="71" t="n"/>
      <c r="I520" s="9" t="n"/>
      <c r="J520" s="89">
        <f>IF(H520="","",IF(I520="Sí",ROUND(H520*Configuracion!$B$11,0),0))</f>
        <v/>
      </c>
      <c r="K520" s="89">
        <f>IF(H520="","",H520+J520)</f>
        <v/>
      </c>
      <c r="L520" s="13">
        <f>IF(B520="","",YEAR(B520))</f>
        <v/>
      </c>
      <c r="M520" s="13">
        <f>IF(B520="","",MONTH(B520))</f>
        <v/>
      </c>
      <c r="N520" s="9" t="n"/>
      <c r="O520" s="9" t="n"/>
      <c r="P520" s="9" t="n"/>
      <c r="Q520" s="9" t="n"/>
    </row>
    <row r="521">
      <c r="A521" s="9" t="n"/>
      <c r="B521" s="70" t="n"/>
      <c r="C521" s="9" t="n"/>
      <c r="D521" s="9" t="n"/>
      <c r="E521" s="9" t="n"/>
      <c r="F521" s="9" t="n"/>
      <c r="G521" s="9" t="n"/>
      <c r="H521" s="71" t="n"/>
      <c r="I521" s="9" t="n"/>
      <c r="J521" s="89">
        <f>IF(H521="","",IF(I521="Sí",ROUND(H521*Configuracion!$B$11,0),0))</f>
        <v/>
      </c>
      <c r="K521" s="89">
        <f>IF(H521="","",H521+J521)</f>
        <v/>
      </c>
      <c r="L521" s="13">
        <f>IF(B521="","",YEAR(B521))</f>
        <v/>
      </c>
      <c r="M521" s="13">
        <f>IF(B521="","",MONTH(B521))</f>
        <v/>
      </c>
      <c r="N521" s="9" t="n"/>
      <c r="O521" s="9" t="n"/>
      <c r="P521" s="9" t="n"/>
      <c r="Q521" s="9" t="n"/>
    </row>
    <row r="522">
      <c r="A522" s="9" t="n"/>
      <c r="B522" s="70" t="n"/>
      <c r="C522" s="9" t="n"/>
      <c r="D522" s="9" t="n"/>
      <c r="E522" s="9" t="n"/>
      <c r="F522" s="9" t="n"/>
      <c r="G522" s="9" t="n"/>
      <c r="H522" s="71" t="n"/>
      <c r="I522" s="9" t="n"/>
      <c r="J522" s="89">
        <f>IF(H522="","",IF(I522="Sí",ROUND(H522*Configuracion!$B$11,0),0))</f>
        <v/>
      </c>
      <c r="K522" s="89">
        <f>IF(H522="","",H522+J522)</f>
        <v/>
      </c>
      <c r="L522" s="13">
        <f>IF(B522="","",YEAR(B522))</f>
        <v/>
      </c>
      <c r="M522" s="13">
        <f>IF(B522="","",MONTH(B522))</f>
        <v/>
      </c>
      <c r="N522" s="9" t="n"/>
      <c r="O522" s="9" t="n"/>
      <c r="P522" s="9" t="n"/>
      <c r="Q522" s="9" t="n"/>
    </row>
    <row r="523">
      <c r="A523" s="9" t="n"/>
      <c r="B523" s="70" t="n"/>
      <c r="C523" s="9" t="n"/>
      <c r="D523" s="9" t="n"/>
      <c r="E523" s="9" t="n"/>
      <c r="F523" s="9" t="n"/>
      <c r="G523" s="9" t="n"/>
      <c r="H523" s="71" t="n"/>
      <c r="I523" s="9" t="n"/>
      <c r="J523" s="89">
        <f>IF(H523="","",IF(I523="Sí",ROUND(H523*Configuracion!$B$11,0),0))</f>
        <v/>
      </c>
      <c r="K523" s="89">
        <f>IF(H523="","",H523+J523)</f>
        <v/>
      </c>
      <c r="L523" s="13">
        <f>IF(B523="","",YEAR(B523))</f>
        <v/>
      </c>
      <c r="M523" s="13">
        <f>IF(B523="","",MONTH(B523))</f>
        <v/>
      </c>
      <c r="N523" s="9" t="n"/>
      <c r="O523" s="9" t="n"/>
      <c r="P523" s="9" t="n"/>
      <c r="Q523" s="9" t="n"/>
    </row>
    <row r="524">
      <c r="A524" s="9" t="n"/>
      <c r="B524" s="70" t="n"/>
      <c r="C524" s="9" t="n"/>
      <c r="D524" s="9" t="n"/>
      <c r="E524" s="9" t="n"/>
      <c r="F524" s="9" t="n"/>
      <c r="G524" s="9" t="n"/>
      <c r="H524" s="71" t="n"/>
      <c r="I524" s="9" t="n"/>
      <c r="J524" s="89">
        <f>IF(H524="","",IF(I524="Sí",ROUND(H524*Configuracion!$B$11,0),0))</f>
        <v/>
      </c>
      <c r="K524" s="89">
        <f>IF(H524="","",H524+J524)</f>
        <v/>
      </c>
      <c r="L524" s="13">
        <f>IF(B524="","",YEAR(B524))</f>
        <v/>
      </c>
      <c r="M524" s="13">
        <f>IF(B524="","",MONTH(B524))</f>
        <v/>
      </c>
      <c r="N524" s="9" t="n"/>
      <c r="O524" s="9" t="n"/>
      <c r="P524" s="9" t="n"/>
      <c r="Q524" s="9" t="n"/>
    </row>
    <row r="525">
      <c r="A525" s="9" t="n"/>
      <c r="B525" s="70" t="n"/>
      <c r="C525" s="9" t="n"/>
      <c r="D525" s="9" t="n"/>
      <c r="E525" s="9" t="n"/>
      <c r="F525" s="9" t="n"/>
      <c r="G525" s="9" t="n"/>
      <c r="H525" s="71" t="n"/>
      <c r="I525" s="9" t="n"/>
      <c r="J525" s="89">
        <f>IF(H525="","",IF(I525="Sí",ROUND(H525*Configuracion!$B$11,0),0))</f>
        <v/>
      </c>
      <c r="K525" s="89">
        <f>IF(H525="","",H525+J525)</f>
        <v/>
      </c>
      <c r="L525" s="13">
        <f>IF(B525="","",YEAR(B525))</f>
        <v/>
      </c>
      <c r="M525" s="13">
        <f>IF(B525="","",MONTH(B525))</f>
        <v/>
      </c>
      <c r="N525" s="9" t="n"/>
      <c r="O525" s="9" t="n"/>
      <c r="P525" s="9" t="n"/>
      <c r="Q525" s="9" t="n"/>
    </row>
    <row r="526">
      <c r="A526" s="9" t="n"/>
      <c r="B526" s="70" t="n"/>
      <c r="C526" s="9" t="n"/>
      <c r="D526" s="9" t="n"/>
      <c r="E526" s="9" t="n"/>
      <c r="F526" s="9" t="n"/>
      <c r="G526" s="9" t="n"/>
      <c r="H526" s="71" t="n"/>
      <c r="I526" s="9" t="n"/>
      <c r="J526" s="89">
        <f>IF(H526="","",IF(I526="Sí",ROUND(H526*Configuracion!$B$11,0),0))</f>
        <v/>
      </c>
      <c r="K526" s="89">
        <f>IF(H526="","",H526+J526)</f>
        <v/>
      </c>
      <c r="L526" s="13">
        <f>IF(B526="","",YEAR(B526))</f>
        <v/>
      </c>
      <c r="M526" s="13">
        <f>IF(B526="","",MONTH(B526))</f>
        <v/>
      </c>
      <c r="N526" s="9" t="n"/>
      <c r="O526" s="9" t="n"/>
      <c r="P526" s="9" t="n"/>
      <c r="Q526" s="9" t="n"/>
    </row>
    <row r="527">
      <c r="A527" s="9" t="n"/>
      <c r="B527" s="70" t="n"/>
      <c r="C527" s="9" t="n"/>
      <c r="D527" s="9" t="n"/>
      <c r="E527" s="9" t="n"/>
      <c r="F527" s="9" t="n"/>
      <c r="G527" s="9" t="n"/>
      <c r="H527" s="71" t="n"/>
      <c r="I527" s="9" t="n"/>
      <c r="J527" s="89">
        <f>IF(H527="","",IF(I527="Sí",ROUND(H527*Configuracion!$B$11,0),0))</f>
        <v/>
      </c>
      <c r="K527" s="89">
        <f>IF(H527="","",H527+J527)</f>
        <v/>
      </c>
      <c r="L527" s="13">
        <f>IF(B527="","",YEAR(B527))</f>
        <v/>
      </c>
      <c r="M527" s="13">
        <f>IF(B527="","",MONTH(B527))</f>
        <v/>
      </c>
      <c r="N527" s="9" t="n"/>
      <c r="O527" s="9" t="n"/>
      <c r="P527" s="9" t="n"/>
      <c r="Q527" s="9" t="n"/>
    </row>
    <row r="528">
      <c r="A528" s="9" t="n"/>
      <c r="B528" s="70" t="n"/>
      <c r="C528" s="9" t="n"/>
      <c r="D528" s="9" t="n"/>
      <c r="E528" s="9" t="n"/>
      <c r="F528" s="9" t="n"/>
      <c r="G528" s="9" t="n"/>
      <c r="H528" s="71" t="n"/>
      <c r="I528" s="9" t="n"/>
      <c r="J528" s="89">
        <f>IF(H528="","",IF(I528="Sí",ROUND(H528*Configuracion!$B$11,0),0))</f>
        <v/>
      </c>
      <c r="K528" s="89">
        <f>IF(H528="","",H528+J528)</f>
        <v/>
      </c>
      <c r="L528" s="13">
        <f>IF(B528="","",YEAR(B528))</f>
        <v/>
      </c>
      <c r="M528" s="13">
        <f>IF(B528="","",MONTH(B528))</f>
        <v/>
      </c>
      <c r="N528" s="9" t="n"/>
      <c r="O528" s="9" t="n"/>
      <c r="P528" s="9" t="n"/>
      <c r="Q528" s="9" t="n"/>
    </row>
    <row r="529">
      <c r="A529" s="9" t="n"/>
      <c r="B529" s="70" t="n"/>
      <c r="C529" s="9" t="n"/>
      <c r="D529" s="9" t="n"/>
      <c r="E529" s="9" t="n"/>
      <c r="F529" s="9" t="n"/>
      <c r="G529" s="9" t="n"/>
      <c r="H529" s="71" t="n"/>
      <c r="I529" s="9" t="n"/>
      <c r="J529" s="89">
        <f>IF(H529="","",IF(I529="Sí",ROUND(H529*Configuracion!$B$11,0),0))</f>
        <v/>
      </c>
      <c r="K529" s="89">
        <f>IF(H529="","",H529+J529)</f>
        <v/>
      </c>
      <c r="L529" s="13">
        <f>IF(B529="","",YEAR(B529))</f>
        <v/>
      </c>
      <c r="M529" s="13">
        <f>IF(B529="","",MONTH(B529))</f>
        <v/>
      </c>
      <c r="N529" s="9" t="n"/>
      <c r="O529" s="9" t="n"/>
      <c r="P529" s="9" t="n"/>
      <c r="Q529" s="9" t="n"/>
    </row>
    <row r="530">
      <c r="A530" s="9" t="n"/>
      <c r="B530" s="70" t="n"/>
      <c r="C530" s="9" t="n"/>
      <c r="D530" s="9" t="n"/>
      <c r="E530" s="9" t="n"/>
      <c r="F530" s="9" t="n"/>
      <c r="G530" s="9" t="n"/>
      <c r="H530" s="71" t="n"/>
      <c r="I530" s="9" t="n"/>
      <c r="J530" s="89">
        <f>IF(H530="","",IF(I530="Sí",ROUND(H530*Configuracion!$B$11,0),0))</f>
        <v/>
      </c>
      <c r="K530" s="89">
        <f>IF(H530="","",H530+J530)</f>
        <v/>
      </c>
      <c r="L530" s="13">
        <f>IF(B530="","",YEAR(B530))</f>
        <v/>
      </c>
      <c r="M530" s="13">
        <f>IF(B530="","",MONTH(B530))</f>
        <v/>
      </c>
      <c r="N530" s="9" t="n"/>
      <c r="O530" s="9" t="n"/>
      <c r="P530" s="9" t="n"/>
      <c r="Q530" s="9" t="n"/>
    </row>
    <row r="531">
      <c r="A531" s="9" t="n"/>
      <c r="B531" s="70" t="n"/>
      <c r="C531" s="9" t="n"/>
      <c r="D531" s="9" t="n"/>
      <c r="E531" s="9" t="n"/>
      <c r="F531" s="9" t="n"/>
      <c r="G531" s="9" t="n"/>
      <c r="H531" s="71" t="n"/>
      <c r="I531" s="9" t="n"/>
      <c r="J531" s="89">
        <f>IF(H531="","",IF(I531="Sí",ROUND(H531*Configuracion!$B$11,0),0))</f>
        <v/>
      </c>
      <c r="K531" s="89">
        <f>IF(H531="","",H531+J531)</f>
        <v/>
      </c>
      <c r="L531" s="13">
        <f>IF(B531="","",YEAR(B531))</f>
        <v/>
      </c>
      <c r="M531" s="13">
        <f>IF(B531="","",MONTH(B531))</f>
        <v/>
      </c>
      <c r="N531" s="9" t="n"/>
      <c r="O531" s="9" t="n"/>
      <c r="P531" s="9" t="n"/>
      <c r="Q531" s="9" t="n"/>
    </row>
    <row r="532">
      <c r="A532" s="9" t="n"/>
      <c r="B532" s="70" t="n"/>
      <c r="C532" s="9" t="n"/>
      <c r="D532" s="9" t="n"/>
      <c r="E532" s="9" t="n"/>
      <c r="F532" s="9" t="n"/>
      <c r="G532" s="9" t="n"/>
      <c r="H532" s="71" t="n"/>
      <c r="I532" s="9" t="n"/>
      <c r="J532" s="89">
        <f>IF(H532="","",IF(I532="Sí",ROUND(H532*Configuracion!$B$11,0),0))</f>
        <v/>
      </c>
      <c r="K532" s="89">
        <f>IF(H532="","",H532+J532)</f>
        <v/>
      </c>
      <c r="L532" s="13">
        <f>IF(B532="","",YEAR(B532))</f>
        <v/>
      </c>
      <c r="M532" s="13">
        <f>IF(B532="","",MONTH(B532))</f>
        <v/>
      </c>
      <c r="N532" s="9" t="n"/>
      <c r="O532" s="9" t="n"/>
      <c r="P532" s="9" t="n"/>
      <c r="Q532" s="9" t="n"/>
    </row>
    <row r="533">
      <c r="A533" s="9" t="n"/>
      <c r="B533" s="70" t="n"/>
      <c r="C533" s="9" t="n"/>
      <c r="D533" s="9" t="n"/>
      <c r="E533" s="9" t="n"/>
      <c r="F533" s="9" t="n"/>
      <c r="G533" s="9" t="n"/>
      <c r="H533" s="71" t="n"/>
      <c r="I533" s="9" t="n"/>
      <c r="J533" s="89">
        <f>IF(H533="","",IF(I533="Sí",ROUND(H533*Configuracion!$B$11,0),0))</f>
        <v/>
      </c>
      <c r="K533" s="89">
        <f>IF(H533="","",H533+J533)</f>
        <v/>
      </c>
      <c r="L533" s="13">
        <f>IF(B533="","",YEAR(B533))</f>
        <v/>
      </c>
      <c r="M533" s="13">
        <f>IF(B533="","",MONTH(B533))</f>
        <v/>
      </c>
      <c r="N533" s="9" t="n"/>
      <c r="O533" s="9" t="n"/>
      <c r="P533" s="9" t="n"/>
      <c r="Q533" s="9" t="n"/>
    </row>
    <row r="534">
      <c r="A534" s="9" t="n"/>
      <c r="B534" s="70" t="n"/>
      <c r="C534" s="9" t="n"/>
      <c r="D534" s="9" t="n"/>
      <c r="E534" s="9" t="n"/>
      <c r="F534" s="9" t="n"/>
      <c r="G534" s="9" t="n"/>
      <c r="H534" s="71" t="n"/>
      <c r="I534" s="9" t="n"/>
      <c r="J534" s="89">
        <f>IF(H534="","",IF(I534="Sí",ROUND(H534*Configuracion!$B$11,0),0))</f>
        <v/>
      </c>
      <c r="K534" s="89">
        <f>IF(H534="","",H534+J534)</f>
        <v/>
      </c>
      <c r="L534" s="13">
        <f>IF(B534="","",YEAR(B534))</f>
        <v/>
      </c>
      <c r="M534" s="13">
        <f>IF(B534="","",MONTH(B534))</f>
        <v/>
      </c>
      <c r="N534" s="9" t="n"/>
      <c r="O534" s="9" t="n"/>
      <c r="P534" s="9" t="n"/>
      <c r="Q534" s="9" t="n"/>
    </row>
    <row r="535">
      <c r="A535" s="9" t="n"/>
      <c r="B535" s="70" t="n"/>
      <c r="C535" s="9" t="n"/>
      <c r="D535" s="9" t="n"/>
      <c r="E535" s="9" t="n"/>
      <c r="F535" s="9" t="n"/>
      <c r="G535" s="9" t="n"/>
      <c r="H535" s="71" t="n"/>
      <c r="I535" s="9" t="n"/>
      <c r="J535" s="89">
        <f>IF(H535="","",IF(I535="Sí",ROUND(H535*Configuracion!$B$11,0),0))</f>
        <v/>
      </c>
      <c r="K535" s="89">
        <f>IF(H535="","",H535+J535)</f>
        <v/>
      </c>
      <c r="L535" s="13">
        <f>IF(B535="","",YEAR(B535))</f>
        <v/>
      </c>
      <c r="M535" s="13">
        <f>IF(B535="","",MONTH(B535))</f>
        <v/>
      </c>
      <c r="N535" s="9" t="n"/>
      <c r="O535" s="9" t="n"/>
      <c r="P535" s="9" t="n"/>
      <c r="Q535" s="9" t="n"/>
    </row>
    <row r="536">
      <c r="A536" s="9" t="n"/>
      <c r="B536" s="70" t="n"/>
      <c r="C536" s="9" t="n"/>
      <c r="D536" s="9" t="n"/>
      <c r="E536" s="9" t="n"/>
      <c r="F536" s="9" t="n"/>
      <c r="G536" s="9" t="n"/>
      <c r="H536" s="71" t="n"/>
      <c r="I536" s="9" t="n"/>
      <c r="J536" s="89">
        <f>IF(H536="","",IF(I536="Sí",ROUND(H536*Configuracion!$B$11,0),0))</f>
        <v/>
      </c>
      <c r="K536" s="89">
        <f>IF(H536="","",H536+J536)</f>
        <v/>
      </c>
      <c r="L536" s="13">
        <f>IF(B536="","",YEAR(B536))</f>
        <v/>
      </c>
      <c r="M536" s="13">
        <f>IF(B536="","",MONTH(B536))</f>
        <v/>
      </c>
      <c r="N536" s="9" t="n"/>
      <c r="O536" s="9" t="n"/>
      <c r="P536" s="9" t="n"/>
      <c r="Q536" s="9" t="n"/>
    </row>
    <row r="537">
      <c r="A537" s="9" t="n"/>
      <c r="B537" s="70" t="n"/>
      <c r="C537" s="9" t="n"/>
      <c r="D537" s="9" t="n"/>
      <c r="E537" s="9" t="n"/>
      <c r="F537" s="9" t="n"/>
      <c r="G537" s="9" t="n"/>
      <c r="H537" s="71" t="n"/>
      <c r="I537" s="9" t="n"/>
      <c r="J537" s="89">
        <f>IF(H537="","",IF(I537="Sí",ROUND(H537*Configuracion!$B$11,0),0))</f>
        <v/>
      </c>
      <c r="K537" s="89">
        <f>IF(H537="","",H537+J537)</f>
        <v/>
      </c>
      <c r="L537" s="13">
        <f>IF(B537="","",YEAR(B537))</f>
        <v/>
      </c>
      <c r="M537" s="13">
        <f>IF(B537="","",MONTH(B537))</f>
        <v/>
      </c>
      <c r="N537" s="9" t="n"/>
      <c r="O537" s="9" t="n"/>
      <c r="P537" s="9" t="n"/>
      <c r="Q537" s="9" t="n"/>
    </row>
    <row r="538">
      <c r="A538" s="9" t="n"/>
      <c r="B538" s="70" t="n"/>
      <c r="C538" s="9" t="n"/>
      <c r="D538" s="9" t="n"/>
      <c r="E538" s="9" t="n"/>
      <c r="F538" s="9" t="n"/>
      <c r="G538" s="9" t="n"/>
      <c r="H538" s="71" t="n"/>
      <c r="I538" s="9" t="n"/>
      <c r="J538" s="89">
        <f>IF(H538="","",IF(I538="Sí",ROUND(H538*Configuracion!$B$11,0),0))</f>
        <v/>
      </c>
      <c r="K538" s="89">
        <f>IF(H538="","",H538+J538)</f>
        <v/>
      </c>
      <c r="L538" s="13">
        <f>IF(B538="","",YEAR(B538))</f>
        <v/>
      </c>
      <c r="M538" s="13">
        <f>IF(B538="","",MONTH(B538))</f>
        <v/>
      </c>
      <c r="N538" s="9" t="n"/>
      <c r="O538" s="9" t="n"/>
      <c r="P538" s="9" t="n"/>
      <c r="Q538" s="9" t="n"/>
    </row>
    <row r="539">
      <c r="A539" s="9" t="n"/>
      <c r="B539" s="70" t="n"/>
      <c r="C539" s="9" t="n"/>
      <c r="D539" s="9" t="n"/>
      <c r="E539" s="9" t="n"/>
      <c r="F539" s="9" t="n"/>
      <c r="G539" s="9" t="n"/>
      <c r="H539" s="71" t="n"/>
      <c r="I539" s="9" t="n"/>
      <c r="J539" s="89">
        <f>IF(H539="","",IF(I539="Sí",ROUND(H539*Configuracion!$B$11,0),0))</f>
        <v/>
      </c>
      <c r="K539" s="89">
        <f>IF(H539="","",H539+J539)</f>
        <v/>
      </c>
      <c r="L539" s="13">
        <f>IF(B539="","",YEAR(B539))</f>
        <v/>
      </c>
      <c r="M539" s="13">
        <f>IF(B539="","",MONTH(B539))</f>
        <v/>
      </c>
      <c r="N539" s="9" t="n"/>
      <c r="O539" s="9" t="n"/>
      <c r="P539" s="9" t="n"/>
      <c r="Q539" s="9" t="n"/>
    </row>
    <row r="540">
      <c r="A540" s="9" t="n"/>
      <c r="B540" s="70" t="n"/>
      <c r="C540" s="9" t="n"/>
      <c r="D540" s="9" t="n"/>
      <c r="E540" s="9" t="n"/>
      <c r="F540" s="9" t="n"/>
      <c r="G540" s="9" t="n"/>
      <c r="H540" s="71" t="n"/>
      <c r="I540" s="9" t="n"/>
      <c r="J540" s="89">
        <f>IF(H540="","",IF(I540="Sí",ROUND(H540*Configuracion!$B$11,0),0))</f>
        <v/>
      </c>
      <c r="K540" s="89">
        <f>IF(H540="","",H540+J540)</f>
        <v/>
      </c>
      <c r="L540" s="13">
        <f>IF(B540="","",YEAR(B540))</f>
        <v/>
      </c>
      <c r="M540" s="13">
        <f>IF(B540="","",MONTH(B540))</f>
        <v/>
      </c>
      <c r="N540" s="9" t="n"/>
      <c r="O540" s="9" t="n"/>
      <c r="P540" s="9" t="n"/>
      <c r="Q540" s="9" t="n"/>
    </row>
    <row r="541">
      <c r="A541" s="9" t="n"/>
      <c r="B541" s="70" t="n"/>
      <c r="C541" s="9" t="n"/>
      <c r="D541" s="9" t="n"/>
      <c r="E541" s="9" t="n"/>
      <c r="F541" s="9" t="n"/>
      <c r="G541" s="9" t="n"/>
      <c r="H541" s="71" t="n"/>
      <c r="I541" s="9" t="n"/>
      <c r="J541" s="89">
        <f>IF(H541="","",IF(I541="Sí",ROUND(H541*Configuracion!$B$11,0),0))</f>
        <v/>
      </c>
      <c r="K541" s="89">
        <f>IF(H541="","",H541+J541)</f>
        <v/>
      </c>
      <c r="L541" s="13">
        <f>IF(B541="","",YEAR(B541))</f>
        <v/>
      </c>
      <c r="M541" s="13">
        <f>IF(B541="","",MONTH(B541))</f>
        <v/>
      </c>
      <c r="N541" s="9" t="n"/>
      <c r="O541" s="9" t="n"/>
      <c r="P541" s="9" t="n"/>
      <c r="Q541" s="9" t="n"/>
    </row>
    <row r="542">
      <c r="A542" s="9" t="n"/>
      <c r="B542" s="70" t="n"/>
      <c r="C542" s="9" t="n"/>
      <c r="D542" s="9" t="n"/>
      <c r="E542" s="9" t="n"/>
      <c r="F542" s="9" t="n"/>
      <c r="G542" s="9" t="n"/>
      <c r="H542" s="71" t="n"/>
      <c r="I542" s="9" t="n"/>
      <c r="J542" s="89">
        <f>IF(H542="","",IF(I542="Sí",ROUND(H542*Configuracion!$B$11,0),0))</f>
        <v/>
      </c>
      <c r="K542" s="89">
        <f>IF(H542="","",H542+J542)</f>
        <v/>
      </c>
      <c r="L542" s="13">
        <f>IF(B542="","",YEAR(B542))</f>
        <v/>
      </c>
      <c r="M542" s="13">
        <f>IF(B542="","",MONTH(B542))</f>
        <v/>
      </c>
      <c r="N542" s="9" t="n"/>
      <c r="O542" s="9" t="n"/>
      <c r="P542" s="9" t="n"/>
      <c r="Q542" s="9" t="n"/>
    </row>
    <row r="543">
      <c r="A543" s="9" t="n"/>
      <c r="B543" s="70" t="n"/>
      <c r="C543" s="9" t="n"/>
      <c r="D543" s="9" t="n"/>
      <c r="E543" s="9" t="n"/>
      <c r="F543" s="9" t="n"/>
      <c r="G543" s="9" t="n"/>
      <c r="H543" s="71" t="n"/>
      <c r="I543" s="9" t="n"/>
      <c r="J543" s="89">
        <f>IF(H543="","",IF(I543="Sí",ROUND(H543*Configuracion!$B$11,0),0))</f>
        <v/>
      </c>
      <c r="K543" s="89">
        <f>IF(H543="","",H543+J543)</f>
        <v/>
      </c>
      <c r="L543" s="13">
        <f>IF(B543="","",YEAR(B543))</f>
        <v/>
      </c>
      <c r="M543" s="13">
        <f>IF(B543="","",MONTH(B543))</f>
        <v/>
      </c>
      <c r="N543" s="9" t="n"/>
      <c r="O543" s="9" t="n"/>
      <c r="P543" s="9" t="n"/>
      <c r="Q543" s="9" t="n"/>
    </row>
    <row r="544">
      <c r="A544" s="9" t="n"/>
      <c r="B544" s="70" t="n"/>
      <c r="C544" s="9" t="n"/>
      <c r="D544" s="9" t="n"/>
      <c r="E544" s="9" t="n"/>
      <c r="F544" s="9" t="n"/>
      <c r="G544" s="9" t="n"/>
      <c r="H544" s="71" t="n"/>
      <c r="I544" s="9" t="n"/>
      <c r="J544" s="89">
        <f>IF(H544="","",IF(I544="Sí",ROUND(H544*Configuracion!$B$11,0),0))</f>
        <v/>
      </c>
      <c r="K544" s="89">
        <f>IF(H544="","",H544+J544)</f>
        <v/>
      </c>
      <c r="L544" s="13">
        <f>IF(B544="","",YEAR(B544))</f>
        <v/>
      </c>
      <c r="M544" s="13">
        <f>IF(B544="","",MONTH(B544))</f>
        <v/>
      </c>
      <c r="N544" s="9" t="n"/>
      <c r="O544" s="9" t="n"/>
      <c r="P544" s="9" t="n"/>
      <c r="Q544" s="9" t="n"/>
    </row>
    <row r="545">
      <c r="A545" s="9" t="n"/>
      <c r="B545" s="70" t="n"/>
      <c r="C545" s="9" t="n"/>
      <c r="D545" s="9" t="n"/>
      <c r="E545" s="9" t="n"/>
      <c r="F545" s="9" t="n"/>
      <c r="G545" s="9" t="n"/>
      <c r="H545" s="71" t="n"/>
      <c r="I545" s="9" t="n"/>
      <c r="J545" s="89">
        <f>IF(H545="","",IF(I545="Sí",ROUND(H545*Configuracion!$B$11,0),0))</f>
        <v/>
      </c>
      <c r="K545" s="89">
        <f>IF(H545="","",H545+J545)</f>
        <v/>
      </c>
      <c r="L545" s="13">
        <f>IF(B545="","",YEAR(B545))</f>
        <v/>
      </c>
      <c r="M545" s="13">
        <f>IF(B545="","",MONTH(B545))</f>
        <v/>
      </c>
      <c r="N545" s="9" t="n"/>
      <c r="O545" s="9" t="n"/>
      <c r="P545" s="9" t="n"/>
      <c r="Q545" s="9" t="n"/>
    </row>
    <row r="546">
      <c r="A546" s="9" t="n"/>
      <c r="B546" s="70" t="n"/>
      <c r="C546" s="9" t="n"/>
      <c r="D546" s="9" t="n"/>
      <c r="E546" s="9" t="n"/>
      <c r="F546" s="9" t="n"/>
      <c r="G546" s="9" t="n"/>
      <c r="H546" s="71" t="n"/>
      <c r="I546" s="9" t="n"/>
      <c r="J546" s="89">
        <f>IF(H546="","",IF(I546="Sí",ROUND(H546*Configuracion!$B$11,0),0))</f>
        <v/>
      </c>
      <c r="K546" s="89">
        <f>IF(H546="","",H546+J546)</f>
        <v/>
      </c>
      <c r="L546" s="13">
        <f>IF(B546="","",YEAR(B546))</f>
        <v/>
      </c>
      <c r="M546" s="13">
        <f>IF(B546="","",MONTH(B546))</f>
        <v/>
      </c>
      <c r="N546" s="9" t="n"/>
      <c r="O546" s="9" t="n"/>
      <c r="P546" s="9" t="n"/>
      <c r="Q546" s="9" t="n"/>
    </row>
    <row r="547">
      <c r="A547" s="9" t="n"/>
      <c r="B547" s="70" t="n"/>
      <c r="C547" s="9" t="n"/>
      <c r="D547" s="9" t="n"/>
      <c r="E547" s="9" t="n"/>
      <c r="F547" s="9" t="n"/>
      <c r="G547" s="9" t="n"/>
      <c r="H547" s="71" t="n"/>
      <c r="I547" s="9" t="n"/>
      <c r="J547" s="89">
        <f>IF(H547="","",IF(I547="Sí",ROUND(H547*Configuracion!$B$11,0),0))</f>
        <v/>
      </c>
      <c r="K547" s="89">
        <f>IF(H547="","",H547+J547)</f>
        <v/>
      </c>
      <c r="L547" s="13">
        <f>IF(B547="","",YEAR(B547))</f>
        <v/>
      </c>
      <c r="M547" s="13">
        <f>IF(B547="","",MONTH(B547))</f>
        <v/>
      </c>
      <c r="N547" s="9" t="n"/>
      <c r="O547" s="9" t="n"/>
      <c r="P547" s="9" t="n"/>
      <c r="Q547" s="9" t="n"/>
    </row>
    <row r="548">
      <c r="A548" s="9" t="n"/>
      <c r="B548" s="70" t="n"/>
      <c r="C548" s="9" t="n"/>
      <c r="D548" s="9" t="n"/>
      <c r="E548" s="9" t="n"/>
      <c r="F548" s="9" t="n"/>
      <c r="G548" s="9" t="n"/>
      <c r="H548" s="71" t="n"/>
      <c r="I548" s="9" t="n"/>
      <c r="J548" s="89">
        <f>IF(H548="","",IF(I548="Sí",ROUND(H548*Configuracion!$B$11,0),0))</f>
        <v/>
      </c>
      <c r="K548" s="89">
        <f>IF(H548="","",H548+J548)</f>
        <v/>
      </c>
      <c r="L548" s="13">
        <f>IF(B548="","",YEAR(B548))</f>
        <v/>
      </c>
      <c r="M548" s="13">
        <f>IF(B548="","",MONTH(B548))</f>
        <v/>
      </c>
      <c r="N548" s="9" t="n"/>
      <c r="O548" s="9" t="n"/>
      <c r="P548" s="9" t="n"/>
      <c r="Q548" s="9" t="n"/>
    </row>
    <row r="549">
      <c r="A549" s="9" t="n"/>
      <c r="B549" s="70" t="n"/>
      <c r="C549" s="9" t="n"/>
      <c r="D549" s="9" t="n"/>
      <c r="E549" s="9" t="n"/>
      <c r="F549" s="9" t="n"/>
      <c r="G549" s="9" t="n"/>
      <c r="H549" s="71" t="n"/>
      <c r="I549" s="9" t="n"/>
      <c r="J549" s="89">
        <f>IF(H549="","",IF(I549="Sí",ROUND(H549*Configuracion!$B$11,0),0))</f>
        <v/>
      </c>
      <c r="K549" s="89">
        <f>IF(H549="","",H549+J549)</f>
        <v/>
      </c>
      <c r="L549" s="13">
        <f>IF(B549="","",YEAR(B549))</f>
        <v/>
      </c>
      <c r="M549" s="13">
        <f>IF(B549="","",MONTH(B549))</f>
        <v/>
      </c>
      <c r="N549" s="9" t="n"/>
      <c r="O549" s="9" t="n"/>
      <c r="P549" s="9" t="n"/>
      <c r="Q549" s="9" t="n"/>
    </row>
    <row r="550">
      <c r="A550" s="9" t="n"/>
      <c r="B550" s="70" t="n"/>
      <c r="C550" s="9" t="n"/>
      <c r="D550" s="9" t="n"/>
      <c r="E550" s="9" t="n"/>
      <c r="F550" s="9" t="n"/>
      <c r="G550" s="9" t="n"/>
      <c r="H550" s="71" t="n"/>
      <c r="I550" s="9" t="n"/>
      <c r="J550" s="89">
        <f>IF(H550="","",IF(I550="Sí",ROUND(H550*Configuracion!$B$11,0),0))</f>
        <v/>
      </c>
      <c r="K550" s="89">
        <f>IF(H550="","",H550+J550)</f>
        <v/>
      </c>
      <c r="L550" s="13">
        <f>IF(B550="","",YEAR(B550))</f>
        <v/>
      </c>
      <c r="M550" s="13">
        <f>IF(B550="","",MONTH(B550))</f>
        <v/>
      </c>
      <c r="N550" s="9" t="n"/>
      <c r="O550" s="9" t="n"/>
      <c r="P550" s="9" t="n"/>
      <c r="Q550" s="9" t="n"/>
    </row>
    <row r="551">
      <c r="A551" s="9" t="n"/>
      <c r="B551" s="70" t="n"/>
      <c r="C551" s="9" t="n"/>
      <c r="D551" s="9" t="n"/>
      <c r="E551" s="9" t="n"/>
      <c r="F551" s="9" t="n"/>
      <c r="G551" s="9" t="n"/>
      <c r="H551" s="71" t="n"/>
      <c r="I551" s="9" t="n"/>
      <c r="J551" s="89">
        <f>IF(H551="","",IF(I551="Sí",ROUND(H551*Configuracion!$B$11,0),0))</f>
        <v/>
      </c>
      <c r="K551" s="89">
        <f>IF(H551="","",H551+J551)</f>
        <v/>
      </c>
      <c r="L551" s="13">
        <f>IF(B551="","",YEAR(B551))</f>
        <v/>
      </c>
      <c r="M551" s="13">
        <f>IF(B551="","",MONTH(B551))</f>
        <v/>
      </c>
      <c r="N551" s="9" t="n"/>
      <c r="O551" s="9" t="n"/>
      <c r="P551" s="9" t="n"/>
      <c r="Q551" s="9" t="n"/>
    </row>
    <row r="552">
      <c r="A552" s="9" t="n"/>
      <c r="B552" s="70" t="n"/>
      <c r="C552" s="9" t="n"/>
      <c r="D552" s="9" t="n"/>
      <c r="E552" s="9" t="n"/>
      <c r="F552" s="9" t="n"/>
      <c r="G552" s="9" t="n"/>
      <c r="H552" s="71" t="n"/>
      <c r="I552" s="9" t="n"/>
      <c r="J552" s="89">
        <f>IF(H552="","",IF(I552="Sí",ROUND(H552*Configuracion!$B$11,0),0))</f>
        <v/>
      </c>
      <c r="K552" s="89">
        <f>IF(H552="","",H552+J552)</f>
        <v/>
      </c>
      <c r="L552" s="13">
        <f>IF(B552="","",YEAR(B552))</f>
        <v/>
      </c>
      <c r="M552" s="13">
        <f>IF(B552="","",MONTH(B552))</f>
        <v/>
      </c>
      <c r="N552" s="9" t="n"/>
      <c r="O552" s="9" t="n"/>
      <c r="P552" s="9" t="n"/>
      <c r="Q552" s="9" t="n"/>
    </row>
    <row r="553">
      <c r="A553" s="9" t="n"/>
      <c r="B553" s="70" t="n"/>
      <c r="C553" s="9" t="n"/>
      <c r="D553" s="9" t="n"/>
      <c r="E553" s="9" t="n"/>
      <c r="F553" s="9" t="n"/>
      <c r="G553" s="9" t="n"/>
      <c r="H553" s="71" t="n"/>
      <c r="I553" s="9" t="n"/>
      <c r="J553" s="89">
        <f>IF(H553="","",IF(I553="Sí",ROUND(H553*Configuracion!$B$11,0),0))</f>
        <v/>
      </c>
      <c r="K553" s="89">
        <f>IF(H553="","",H553+J553)</f>
        <v/>
      </c>
      <c r="L553" s="13">
        <f>IF(B553="","",YEAR(B553))</f>
        <v/>
      </c>
      <c r="M553" s="13">
        <f>IF(B553="","",MONTH(B553))</f>
        <v/>
      </c>
      <c r="N553" s="9" t="n"/>
      <c r="O553" s="9" t="n"/>
      <c r="P553" s="9" t="n"/>
      <c r="Q553" s="9" t="n"/>
    </row>
    <row r="554">
      <c r="A554" s="9" t="n"/>
      <c r="B554" s="70" t="n"/>
      <c r="C554" s="9" t="n"/>
      <c r="D554" s="9" t="n"/>
      <c r="E554" s="9" t="n"/>
      <c r="F554" s="9" t="n"/>
      <c r="G554" s="9" t="n"/>
      <c r="H554" s="71" t="n"/>
      <c r="I554" s="9" t="n"/>
      <c r="J554" s="89">
        <f>IF(H554="","",IF(I554="Sí",ROUND(H554*Configuracion!$B$11,0),0))</f>
        <v/>
      </c>
      <c r="K554" s="89">
        <f>IF(H554="","",H554+J554)</f>
        <v/>
      </c>
      <c r="L554" s="13">
        <f>IF(B554="","",YEAR(B554))</f>
        <v/>
      </c>
      <c r="M554" s="13">
        <f>IF(B554="","",MONTH(B554))</f>
        <v/>
      </c>
      <c r="N554" s="9" t="n"/>
      <c r="O554" s="9" t="n"/>
      <c r="P554" s="9" t="n"/>
      <c r="Q554" s="9" t="n"/>
    </row>
    <row r="555">
      <c r="A555" s="9" t="n"/>
      <c r="B555" s="70" t="n"/>
      <c r="C555" s="9" t="n"/>
      <c r="D555" s="9" t="n"/>
      <c r="E555" s="9" t="n"/>
      <c r="F555" s="9" t="n"/>
      <c r="G555" s="9" t="n"/>
      <c r="H555" s="71" t="n"/>
      <c r="I555" s="9" t="n"/>
      <c r="J555" s="89">
        <f>IF(H555="","",IF(I555="Sí",ROUND(H555*Configuracion!$B$11,0),0))</f>
        <v/>
      </c>
      <c r="K555" s="89">
        <f>IF(H555="","",H555+J555)</f>
        <v/>
      </c>
      <c r="L555" s="13">
        <f>IF(B555="","",YEAR(B555))</f>
        <v/>
      </c>
      <c r="M555" s="13">
        <f>IF(B555="","",MONTH(B555))</f>
        <v/>
      </c>
      <c r="N555" s="9" t="n"/>
      <c r="O555" s="9" t="n"/>
      <c r="P555" s="9" t="n"/>
      <c r="Q555" s="9" t="n"/>
    </row>
    <row r="556">
      <c r="A556" s="9" t="n"/>
      <c r="B556" s="70" t="n"/>
      <c r="C556" s="9" t="n"/>
      <c r="D556" s="9" t="n"/>
      <c r="E556" s="9" t="n"/>
      <c r="F556" s="9" t="n"/>
      <c r="G556" s="9" t="n"/>
      <c r="H556" s="71" t="n"/>
      <c r="I556" s="9" t="n"/>
      <c r="J556" s="89">
        <f>IF(H556="","",IF(I556="Sí",ROUND(H556*Configuracion!$B$11,0),0))</f>
        <v/>
      </c>
      <c r="K556" s="89">
        <f>IF(H556="","",H556+J556)</f>
        <v/>
      </c>
      <c r="L556" s="13">
        <f>IF(B556="","",YEAR(B556))</f>
        <v/>
      </c>
      <c r="M556" s="13">
        <f>IF(B556="","",MONTH(B556))</f>
        <v/>
      </c>
      <c r="N556" s="9" t="n"/>
      <c r="O556" s="9" t="n"/>
      <c r="P556" s="9" t="n"/>
      <c r="Q556" s="9" t="n"/>
    </row>
    <row r="557">
      <c r="A557" s="9" t="n"/>
      <c r="B557" s="70" t="n"/>
      <c r="C557" s="9" t="n"/>
      <c r="D557" s="9" t="n"/>
      <c r="E557" s="9" t="n"/>
      <c r="F557" s="9" t="n"/>
      <c r="G557" s="9" t="n"/>
      <c r="H557" s="71" t="n"/>
      <c r="I557" s="9" t="n"/>
      <c r="J557" s="89">
        <f>IF(H557="","",IF(I557="Sí",ROUND(H557*Configuracion!$B$11,0),0))</f>
        <v/>
      </c>
      <c r="K557" s="89">
        <f>IF(H557="","",H557+J557)</f>
        <v/>
      </c>
      <c r="L557" s="13">
        <f>IF(B557="","",YEAR(B557))</f>
        <v/>
      </c>
      <c r="M557" s="13">
        <f>IF(B557="","",MONTH(B557))</f>
        <v/>
      </c>
      <c r="N557" s="9" t="n"/>
      <c r="O557" s="9" t="n"/>
      <c r="P557" s="9" t="n"/>
      <c r="Q557" s="9" t="n"/>
    </row>
    <row r="558">
      <c r="A558" s="9" t="n"/>
      <c r="B558" s="70" t="n"/>
      <c r="C558" s="9" t="n"/>
      <c r="D558" s="9" t="n"/>
      <c r="E558" s="9" t="n"/>
      <c r="F558" s="9" t="n"/>
      <c r="G558" s="9" t="n"/>
      <c r="H558" s="71" t="n"/>
      <c r="I558" s="9" t="n"/>
      <c r="J558" s="89">
        <f>IF(H558="","",IF(I558="Sí",ROUND(H558*Configuracion!$B$11,0),0))</f>
        <v/>
      </c>
      <c r="K558" s="89">
        <f>IF(H558="","",H558+J558)</f>
        <v/>
      </c>
      <c r="L558" s="13">
        <f>IF(B558="","",YEAR(B558))</f>
        <v/>
      </c>
      <c r="M558" s="13">
        <f>IF(B558="","",MONTH(B558))</f>
        <v/>
      </c>
      <c r="N558" s="9" t="n"/>
      <c r="O558" s="9" t="n"/>
      <c r="P558" s="9" t="n"/>
      <c r="Q558" s="9" t="n"/>
    </row>
    <row r="559">
      <c r="A559" s="9" t="n"/>
      <c r="B559" s="70" t="n"/>
      <c r="C559" s="9" t="n"/>
      <c r="D559" s="9" t="n"/>
      <c r="E559" s="9" t="n"/>
      <c r="F559" s="9" t="n"/>
      <c r="G559" s="9" t="n"/>
      <c r="H559" s="71" t="n"/>
      <c r="I559" s="9" t="n"/>
      <c r="J559" s="89">
        <f>IF(H559="","",IF(I559="Sí",ROUND(H559*Configuracion!$B$11,0),0))</f>
        <v/>
      </c>
      <c r="K559" s="89">
        <f>IF(H559="","",H559+J559)</f>
        <v/>
      </c>
      <c r="L559" s="13">
        <f>IF(B559="","",YEAR(B559))</f>
        <v/>
      </c>
      <c r="M559" s="13">
        <f>IF(B559="","",MONTH(B559))</f>
        <v/>
      </c>
      <c r="N559" s="9" t="n"/>
      <c r="O559" s="9" t="n"/>
      <c r="P559" s="9" t="n"/>
      <c r="Q559" s="9" t="n"/>
    </row>
    <row r="560">
      <c r="A560" s="9" t="n"/>
      <c r="B560" s="70" t="n"/>
      <c r="C560" s="9" t="n"/>
      <c r="D560" s="9" t="n"/>
      <c r="E560" s="9" t="n"/>
      <c r="F560" s="9" t="n"/>
      <c r="G560" s="9" t="n"/>
      <c r="H560" s="71" t="n"/>
      <c r="I560" s="9" t="n"/>
      <c r="J560" s="89">
        <f>IF(H560="","",IF(I560="Sí",ROUND(H560*Configuracion!$B$11,0),0))</f>
        <v/>
      </c>
      <c r="K560" s="89">
        <f>IF(H560="","",H560+J560)</f>
        <v/>
      </c>
      <c r="L560" s="13">
        <f>IF(B560="","",YEAR(B560))</f>
        <v/>
      </c>
      <c r="M560" s="13">
        <f>IF(B560="","",MONTH(B560))</f>
        <v/>
      </c>
      <c r="N560" s="9" t="n"/>
      <c r="O560" s="9" t="n"/>
      <c r="P560" s="9" t="n"/>
      <c r="Q560" s="9" t="n"/>
    </row>
    <row r="561">
      <c r="A561" s="9" t="n"/>
      <c r="B561" s="70" t="n"/>
      <c r="C561" s="9" t="n"/>
      <c r="D561" s="9" t="n"/>
      <c r="E561" s="9" t="n"/>
      <c r="F561" s="9" t="n"/>
      <c r="G561" s="9" t="n"/>
      <c r="H561" s="71" t="n"/>
      <c r="I561" s="9" t="n"/>
      <c r="J561" s="89">
        <f>IF(H561="","",IF(I561="Sí",ROUND(H561*Configuracion!$B$11,0),0))</f>
        <v/>
      </c>
      <c r="K561" s="89">
        <f>IF(H561="","",H561+J561)</f>
        <v/>
      </c>
      <c r="L561" s="13">
        <f>IF(B561="","",YEAR(B561))</f>
        <v/>
      </c>
      <c r="M561" s="13">
        <f>IF(B561="","",MONTH(B561))</f>
        <v/>
      </c>
      <c r="N561" s="9" t="n"/>
      <c r="O561" s="9" t="n"/>
      <c r="P561" s="9" t="n"/>
      <c r="Q561" s="9" t="n"/>
    </row>
    <row r="562">
      <c r="A562" s="9" t="n"/>
      <c r="B562" s="70" t="n"/>
      <c r="C562" s="9" t="n"/>
      <c r="D562" s="9" t="n"/>
      <c r="E562" s="9" t="n"/>
      <c r="F562" s="9" t="n"/>
      <c r="G562" s="9" t="n"/>
      <c r="H562" s="71" t="n"/>
      <c r="I562" s="9" t="n"/>
      <c r="J562" s="89">
        <f>IF(H562="","",IF(I562="Sí",ROUND(H562*Configuracion!$B$11,0),0))</f>
        <v/>
      </c>
      <c r="K562" s="89">
        <f>IF(H562="","",H562+J562)</f>
        <v/>
      </c>
      <c r="L562" s="13">
        <f>IF(B562="","",YEAR(B562))</f>
        <v/>
      </c>
      <c r="M562" s="13">
        <f>IF(B562="","",MONTH(B562))</f>
        <v/>
      </c>
      <c r="N562" s="9" t="n"/>
      <c r="O562" s="9" t="n"/>
      <c r="P562" s="9" t="n"/>
      <c r="Q562" s="9" t="n"/>
    </row>
    <row r="563">
      <c r="A563" s="9" t="n"/>
      <c r="B563" s="70" t="n"/>
      <c r="C563" s="9" t="n"/>
      <c r="D563" s="9" t="n"/>
      <c r="E563" s="9" t="n"/>
      <c r="F563" s="9" t="n"/>
      <c r="G563" s="9" t="n"/>
      <c r="H563" s="71" t="n"/>
      <c r="I563" s="9" t="n"/>
      <c r="J563" s="89">
        <f>IF(H563="","",IF(I563="Sí",ROUND(H563*Configuracion!$B$11,0),0))</f>
        <v/>
      </c>
      <c r="K563" s="89">
        <f>IF(H563="","",H563+J563)</f>
        <v/>
      </c>
      <c r="L563" s="13">
        <f>IF(B563="","",YEAR(B563))</f>
        <v/>
      </c>
      <c r="M563" s="13">
        <f>IF(B563="","",MONTH(B563))</f>
        <v/>
      </c>
      <c r="N563" s="9" t="n"/>
      <c r="O563" s="9" t="n"/>
      <c r="P563" s="9" t="n"/>
      <c r="Q563" s="9" t="n"/>
    </row>
    <row r="564">
      <c r="A564" s="9" t="n"/>
      <c r="B564" s="70" t="n"/>
      <c r="C564" s="9" t="n"/>
      <c r="D564" s="9" t="n"/>
      <c r="E564" s="9" t="n"/>
      <c r="F564" s="9" t="n"/>
      <c r="G564" s="9" t="n"/>
      <c r="H564" s="71" t="n"/>
      <c r="I564" s="9" t="n"/>
      <c r="J564" s="89">
        <f>IF(H564="","",IF(I564="Sí",ROUND(H564*Configuracion!$B$11,0),0))</f>
        <v/>
      </c>
      <c r="K564" s="89">
        <f>IF(H564="","",H564+J564)</f>
        <v/>
      </c>
      <c r="L564" s="13">
        <f>IF(B564="","",YEAR(B564))</f>
        <v/>
      </c>
      <c r="M564" s="13">
        <f>IF(B564="","",MONTH(B564))</f>
        <v/>
      </c>
      <c r="N564" s="9" t="n"/>
      <c r="O564" s="9" t="n"/>
      <c r="P564" s="9" t="n"/>
      <c r="Q564" s="9" t="n"/>
    </row>
    <row r="565">
      <c r="A565" s="9" t="n"/>
      <c r="B565" s="70" t="n"/>
      <c r="C565" s="9" t="n"/>
      <c r="D565" s="9" t="n"/>
      <c r="E565" s="9" t="n"/>
      <c r="F565" s="9" t="n"/>
      <c r="G565" s="9" t="n"/>
      <c r="H565" s="71" t="n"/>
      <c r="I565" s="9" t="n"/>
      <c r="J565" s="89">
        <f>IF(H565="","",IF(I565="Sí",ROUND(H565*Configuracion!$B$11,0),0))</f>
        <v/>
      </c>
      <c r="K565" s="89">
        <f>IF(H565="","",H565+J565)</f>
        <v/>
      </c>
      <c r="L565" s="13">
        <f>IF(B565="","",YEAR(B565))</f>
        <v/>
      </c>
      <c r="M565" s="13">
        <f>IF(B565="","",MONTH(B565))</f>
        <v/>
      </c>
      <c r="N565" s="9" t="n"/>
      <c r="O565" s="9" t="n"/>
      <c r="P565" s="9" t="n"/>
      <c r="Q565" s="9" t="n"/>
    </row>
    <row r="566">
      <c r="A566" s="9" t="n"/>
      <c r="B566" s="70" t="n"/>
      <c r="C566" s="9" t="n"/>
      <c r="D566" s="9" t="n"/>
      <c r="E566" s="9" t="n"/>
      <c r="F566" s="9" t="n"/>
      <c r="G566" s="9" t="n"/>
      <c r="H566" s="71" t="n"/>
      <c r="I566" s="9" t="n"/>
      <c r="J566" s="89">
        <f>IF(H566="","",IF(I566="Sí",ROUND(H566*Configuracion!$B$11,0),0))</f>
        <v/>
      </c>
      <c r="K566" s="89">
        <f>IF(H566="","",H566+J566)</f>
        <v/>
      </c>
      <c r="L566" s="13">
        <f>IF(B566="","",YEAR(B566))</f>
        <v/>
      </c>
      <c r="M566" s="13">
        <f>IF(B566="","",MONTH(B566))</f>
        <v/>
      </c>
      <c r="N566" s="9" t="n"/>
      <c r="O566" s="9" t="n"/>
      <c r="P566" s="9" t="n"/>
      <c r="Q566" s="9" t="n"/>
    </row>
    <row r="567">
      <c r="A567" s="9" t="n"/>
      <c r="B567" s="70" t="n"/>
      <c r="C567" s="9" t="n"/>
      <c r="D567" s="9" t="n"/>
      <c r="E567" s="9" t="n"/>
      <c r="F567" s="9" t="n"/>
      <c r="G567" s="9" t="n"/>
      <c r="H567" s="71" t="n"/>
      <c r="I567" s="9" t="n"/>
      <c r="J567" s="89">
        <f>IF(H567="","",IF(I567="Sí",ROUND(H567*Configuracion!$B$11,0),0))</f>
        <v/>
      </c>
      <c r="K567" s="89">
        <f>IF(H567="","",H567+J567)</f>
        <v/>
      </c>
      <c r="L567" s="13">
        <f>IF(B567="","",YEAR(B567))</f>
        <v/>
      </c>
      <c r="M567" s="13">
        <f>IF(B567="","",MONTH(B567))</f>
        <v/>
      </c>
      <c r="N567" s="9" t="n"/>
      <c r="O567" s="9" t="n"/>
      <c r="P567" s="9" t="n"/>
      <c r="Q567" s="9" t="n"/>
    </row>
    <row r="568">
      <c r="A568" s="9" t="n"/>
      <c r="B568" s="70" t="n"/>
      <c r="C568" s="9" t="n"/>
      <c r="D568" s="9" t="n"/>
      <c r="E568" s="9" t="n"/>
      <c r="F568" s="9" t="n"/>
      <c r="G568" s="9" t="n"/>
      <c r="H568" s="71" t="n"/>
      <c r="I568" s="9" t="n"/>
      <c r="J568" s="89">
        <f>IF(H568="","",IF(I568="Sí",ROUND(H568*Configuracion!$B$11,0),0))</f>
        <v/>
      </c>
      <c r="K568" s="89">
        <f>IF(H568="","",H568+J568)</f>
        <v/>
      </c>
      <c r="L568" s="13">
        <f>IF(B568="","",YEAR(B568))</f>
        <v/>
      </c>
      <c r="M568" s="13">
        <f>IF(B568="","",MONTH(B568))</f>
        <v/>
      </c>
      <c r="N568" s="9" t="n"/>
      <c r="O568" s="9" t="n"/>
      <c r="P568" s="9" t="n"/>
      <c r="Q568" s="9" t="n"/>
    </row>
    <row r="569">
      <c r="A569" s="9" t="n"/>
      <c r="B569" s="70" t="n"/>
      <c r="C569" s="9" t="n"/>
      <c r="D569" s="9" t="n"/>
      <c r="E569" s="9" t="n"/>
      <c r="F569" s="9" t="n"/>
      <c r="G569" s="9" t="n"/>
      <c r="H569" s="71" t="n"/>
      <c r="I569" s="9" t="n"/>
      <c r="J569" s="89">
        <f>IF(H569="","",IF(I569="Sí",ROUND(H569*Configuracion!$B$11,0),0))</f>
        <v/>
      </c>
      <c r="K569" s="89">
        <f>IF(H569="","",H569+J569)</f>
        <v/>
      </c>
      <c r="L569" s="13">
        <f>IF(B569="","",YEAR(B569))</f>
        <v/>
      </c>
      <c r="M569" s="13">
        <f>IF(B569="","",MONTH(B569))</f>
        <v/>
      </c>
      <c r="N569" s="9" t="n"/>
      <c r="O569" s="9" t="n"/>
      <c r="P569" s="9" t="n"/>
      <c r="Q569" s="9" t="n"/>
    </row>
    <row r="570">
      <c r="A570" s="9" t="n"/>
      <c r="B570" s="70" t="n"/>
      <c r="C570" s="9" t="n"/>
      <c r="D570" s="9" t="n"/>
      <c r="E570" s="9" t="n"/>
      <c r="F570" s="9" t="n"/>
      <c r="G570" s="9" t="n"/>
      <c r="H570" s="71" t="n"/>
      <c r="I570" s="9" t="n"/>
      <c r="J570" s="89">
        <f>IF(H570="","",IF(I570="Sí",ROUND(H570*Configuracion!$B$11,0),0))</f>
        <v/>
      </c>
      <c r="K570" s="89">
        <f>IF(H570="","",H570+J570)</f>
        <v/>
      </c>
      <c r="L570" s="13">
        <f>IF(B570="","",YEAR(B570))</f>
        <v/>
      </c>
      <c r="M570" s="13">
        <f>IF(B570="","",MONTH(B570))</f>
        <v/>
      </c>
      <c r="N570" s="9" t="n"/>
      <c r="O570" s="9" t="n"/>
      <c r="P570" s="9" t="n"/>
      <c r="Q570" s="9" t="n"/>
    </row>
    <row r="571">
      <c r="A571" s="9" t="n"/>
      <c r="B571" s="70" t="n"/>
      <c r="C571" s="9" t="n"/>
      <c r="D571" s="9" t="n"/>
      <c r="E571" s="9" t="n"/>
      <c r="F571" s="9" t="n"/>
      <c r="G571" s="9" t="n"/>
      <c r="H571" s="71" t="n"/>
      <c r="I571" s="9" t="n"/>
      <c r="J571" s="89">
        <f>IF(H571="","",IF(I571="Sí",ROUND(H571*Configuracion!$B$11,0),0))</f>
        <v/>
      </c>
      <c r="K571" s="89">
        <f>IF(H571="","",H571+J571)</f>
        <v/>
      </c>
      <c r="L571" s="13">
        <f>IF(B571="","",YEAR(B571))</f>
        <v/>
      </c>
      <c r="M571" s="13">
        <f>IF(B571="","",MONTH(B571))</f>
        <v/>
      </c>
      <c r="N571" s="9" t="n"/>
      <c r="O571" s="9" t="n"/>
      <c r="P571" s="9" t="n"/>
      <c r="Q571" s="9" t="n"/>
    </row>
    <row r="572">
      <c r="A572" s="9" t="n"/>
      <c r="B572" s="70" t="n"/>
      <c r="C572" s="9" t="n"/>
      <c r="D572" s="9" t="n"/>
      <c r="E572" s="9" t="n"/>
      <c r="F572" s="9" t="n"/>
      <c r="G572" s="9" t="n"/>
      <c r="H572" s="71" t="n"/>
      <c r="I572" s="9" t="n"/>
      <c r="J572" s="89">
        <f>IF(H572="","",IF(I572="Sí",ROUND(H572*Configuracion!$B$11,0),0))</f>
        <v/>
      </c>
      <c r="K572" s="89">
        <f>IF(H572="","",H572+J572)</f>
        <v/>
      </c>
      <c r="L572" s="13">
        <f>IF(B572="","",YEAR(B572))</f>
        <v/>
      </c>
      <c r="M572" s="13">
        <f>IF(B572="","",MONTH(B572))</f>
        <v/>
      </c>
      <c r="N572" s="9" t="n"/>
      <c r="O572" s="9" t="n"/>
      <c r="P572" s="9" t="n"/>
      <c r="Q572" s="9" t="n"/>
    </row>
    <row r="573">
      <c r="A573" s="9" t="n"/>
      <c r="B573" s="70" t="n"/>
      <c r="C573" s="9" t="n"/>
      <c r="D573" s="9" t="n"/>
      <c r="E573" s="9" t="n"/>
      <c r="F573" s="9" t="n"/>
      <c r="G573" s="9" t="n"/>
      <c r="H573" s="71" t="n"/>
      <c r="I573" s="9" t="n"/>
      <c r="J573" s="89">
        <f>IF(H573="","",IF(I573="Sí",ROUND(H573*Configuracion!$B$11,0),0))</f>
        <v/>
      </c>
      <c r="K573" s="89">
        <f>IF(H573="","",H573+J573)</f>
        <v/>
      </c>
      <c r="L573" s="13">
        <f>IF(B573="","",YEAR(B573))</f>
        <v/>
      </c>
      <c r="M573" s="13">
        <f>IF(B573="","",MONTH(B573))</f>
        <v/>
      </c>
      <c r="N573" s="9" t="n"/>
      <c r="O573" s="9" t="n"/>
      <c r="P573" s="9" t="n"/>
      <c r="Q573" s="9" t="n"/>
    </row>
    <row r="574">
      <c r="A574" s="9" t="n"/>
      <c r="B574" s="70" t="n"/>
      <c r="C574" s="9" t="n"/>
      <c r="D574" s="9" t="n"/>
      <c r="E574" s="9" t="n"/>
      <c r="F574" s="9" t="n"/>
      <c r="G574" s="9" t="n"/>
      <c r="H574" s="71" t="n"/>
      <c r="I574" s="9" t="n"/>
      <c r="J574" s="89">
        <f>IF(H574="","",IF(I574="Sí",ROUND(H574*Configuracion!$B$11,0),0))</f>
        <v/>
      </c>
      <c r="K574" s="89">
        <f>IF(H574="","",H574+J574)</f>
        <v/>
      </c>
      <c r="L574" s="13">
        <f>IF(B574="","",YEAR(B574))</f>
        <v/>
      </c>
      <c r="M574" s="13">
        <f>IF(B574="","",MONTH(B574))</f>
        <v/>
      </c>
      <c r="N574" s="9" t="n"/>
      <c r="O574" s="9" t="n"/>
      <c r="P574" s="9" t="n"/>
      <c r="Q574" s="9" t="n"/>
    </row>
    <row r="575">
      <c r="A575" s="9" t="n"/>
      <c r="B575" s="70" t="n"/>
      <c r="C575" s="9" t="n"/>
      <c r="D575" s="9" t="n"/>
      <c r="E575" s="9" t="n"/>
      <c r="F575" s="9" t="n"/>
      <c r="G575" s="9" t="n"/>
      <c r="H575" s="71" t="n"/>
      <c r="I575" s="9" t="n"/>
      <c r="J575" s="89">
        <f>IF(H575="","",IF(I575="Sí",ROUND(H575*Configuracion!$B$11,0),0))</f>
        <v/>
      </c>
      <c r="K575" s="89">
        <f>IF(H575="","",H575+J575)</f>
        <v/>
      </c>
      <c r="L575" s="13">
        <f>IF(B575="","",YEAR(B575))</f>
        <v/>
      </c>
      <c r="M575" s="13">
        <f>IF(B575="","",MONTH(B575))</f>
        <v/>
      </c>
      <c r="N575" s="9" t="n"/>
      <c r="O575" s="9" t="n"/>
      <c r="P575" s="9" t="n"/>
      <c r="Q575" s="9" t="n"/>
    </row>
    <row r="576">
      <c r="A576" s="9" t="n"/>
      <c r="B576" s="70" t="n"/>
      <c r="C576" s="9" t="n"/>
      <c r="D576" s="9" t="n"/>
      <c r="E576" s="9" t="n"/>
      <c r="F576" s="9" t="n"/>
      <c r="G576" s="9" t="n"/>
      <c r="H576" s="71" t="n"/>
      <c r="I576" s="9" t="n"/>
      <c r="J576" s="89">
        <f>IF(H576="","",IF(I576="Sí",ROUND(H576*Configuracion!$B$11,0),0))</f>
        <v/>
      </c>
      <c r="K576" s="89">
        <f>IF(H576="","",H576+J576)</f>
        <v/>
      </c>
      <c r="L576" s="13">
        <f>IF(B576="","",YEAR(B576))</f>
        <v/>
      </c>
      <c r="M576" s="13">
        <f>IF(B576="","",MONTH(B576))</f>
        <v/>
      </c>
      <c r="N576" s="9" t="n"/>
      <c r="O576" s="9" t="n"/>
      <c r="P576" s="9" t="n"/>
      <c r="Q576" s="9" t="n"/>
    </row>
    <row r="577">
      <c r="A577" s="9" t="n"/>
      <c r="B577" s="70" t="n"/>
      <c r="C577" s="9" t="n"/>
      <c r="D577" s="9" t="n"/>
      <c r="E577" s="9" t="n"/>
      <c r="F577" s="9" t="n"/>
      <c r="G577" s="9" t="n"/>
      <c r="H577" s="71" t="n"/>
      <c r="I577" s="9" t="n"/>
      <c r="J577" s="89">
        <f>IF(H577="","",IF(I577="Sí",ROUND(H577*Configuracion!$B$11,0),0))</f>
        <v/>
      </c>
      <c r="K577" s="89">
        <f>IF(H577="","",H577+J577)</f>
        <v/>
      </c>
      <c r="L577" s="13">
        <f>IF(B577="","",YEAR(B577))</f>
        <v/>
      </c>
      <c r="M577" s="13">
        <f>IF(B577="","",MONTH(B577))</f>
        <v/>
      </c>
      <c r="N577" s="9" t="n"/>
      <c r="O577" s="9" t="n"/>
      <c r="P577" s="9" t="n"/>
      <c r="Q577" s="9" t="n"/>
    </row>
    <row r="578">
      <c r="A578" s="9" t="n"/>
      <c r="B578" s="70" t="n"/>
      <c r="C578" s="9" t="n"/>
      <c r="D578" s="9" t="n"/>
      <c r="E578" s="9" t="n"/>
      <c r="F578" s="9" t="n"/>
      <c r="G578" s="9" t="n"/>
      <c r="H578" s="71" t="n"/>
      <c r="I578" s="9" t="n"/>
      <c r="J578" s="89">
        <f>IF(H578="","",IF(I578="Sí",ROUND(H578*Configuracion!$B$11,0),0))</f>
        <v/>
      </c>
      <c r="K578" s="89">
        <f>IF(H578="","",H578+J578)</f>
        <v/>
      </c>
      <c r="L578" s="13">
        <f>IF(B578="","",YEAR(B578))</f>
        <v/>
      </c>
      <c r="M578" s="13">
        <f>IF(B578="","",MONTH(B578))</f>
        <v/>
      </c>
      <c r="N578" s="9" t="n"/>
      <c r="O578" s="9" t="n"/>
      <c r="P578" s="9" t="n"/>
      <c r="Q578" s="9" t="n"/>
    </row>
    <row r="579">
      <c r="A579" s="9" t="n"/>
      <c r="B579" s="70" t="n"/>
      <c r="C579" s="9" t="n"/>
      <c r="D579" s="9" t="n"/>
      <c r="E579" s="9" t="n"/>
      <c r="F579" s="9" t="n"/>
      <c r="G579" s="9" t="n"/>
      <c r="H579" s="71" t="n"/>
      <c r="I579" s="9" t="n"/>
      <c r="J579" s="89">
        <f>IF(H579="","",IF(I579="Sí",ROUND(H579*Configuracion!$B$11,0),0))</f>
        <v/>
      </c>
      <c r="K579" s="89">
        <f>IF(H579="","",H579+J579)</f>
        <v/>
      </c>
      <c r="L579" s="13">
        <f>IF(B579="","",YEAR(B579))</f>
        <v/>
      </c>
      <c r="M579" s="13">
        <f>IF(B579="","",MONTH(B579))</f>
        <v/>
      </c>
      <c r="N579" s="9" t="n"/>
      <c r="O579" s="9" t="n"/>
      <c r="P579" s="9" t="n"/>
      <c r="Q579" s="9" t="n"/>
    </row>
    <row r="580">
      <c r="A580" s="9" t="n"/>
      <c r="B580" s="70" t="n"/>
      <c r="C580" s="9" t="n"/>
      <c r="D580" s="9" t="n"/>
      <c r="E580" s="9" t="n"/>
      <c r="F580" s="9" t="n"/>
      <c r="G580" s="9" t="n"/>
      <c r="H580" s="71" t="n"/>
      <c r="I580" s="9" t="n"/>
      <c r="J580" s="89">
        <f>IF(H580="","",IF(I580="Sí",ROUND(H580*Configuracion!$B$11,0),0))</f>
        <v/>
      </c>
      <c r="K580" s="89">
        <f>IF(H580="","",H580+J580)</f>
        <v/>
      </c>
      <c r="L580" s="13">
        <f>IF(B580="","",YEAR(B580))</f>
        <v/>
      </c>
      <c r="M580" s="13">
        <f>IF(B580="","",MONTH(B580))</f>
        <v/>
      </c>
      <c r="N580" s="9" t="n"/>
      <c r="O580" s="9" t="n"/>
      <c r="P580" s="9" t="n"/>
      <c r="Q580" s="9" t="n"/>
    </row>
    <row r="581">
      <c r="A581" s="9" t="n"/>
      <c r="B581" s="70" t="n"/>
      <c r="C581" s="9" t="n"/>
      <c r="D581" s="9" t="n"/>
      <c r="E581" s="9" t="n"/>
      <c r="F581" s="9" t="n"/>
      <c r="G581" s="9" t="n"/>
      <c r="H581" s="71" t="n"/>
      <c r="I581" s="9" t="n"/>
      <c r="J581" s="89">
        <f>IF(H581="","",IF(I581="Sí",ROUND(H581*Configuracion!$B$11,0),0))</f>
        <v/>
      </c>
      <c r="K581" s="89">
        <f>IF(H581="","",H581+J581)</f>
        <v/>
      </c>
      <c r="L581" s="13">
        <f>IF(B581="","",YEAR(B581))</f>
        <v/>
      </c>
      <c r="M581" s="13">
        <f>IF(B581="","",MONTH(B581))</f>
        <v/>
      </c>
      <c r="N581" s="9" t="n"/>
      <c r="O581" s="9" t="n"/>
      <c r="P581" s="9" t="n"/>
      <c r="Q581" s="9" t="n"/>
    </row>
    <row r="582">
      <c r="A582" s="9" t="n"/>
      <c r="B582" s="70" t="n"/>
      <c r="C582" s="9" t="n"/>
      <c r="D582" s="9" t="n"/>
      <c r="E582" s="9" t="n"/>
      <c r="F582" s="9" t="n"/>
      <c r="G582" s="9" t="n"/>
      <c r="H582" s="71" t="n"/>
      <c r="I582" s="9" t="n"/>
      <c r="J582" s="89">
        <f>IF(H582="","",IF(I582="Sí",ROUND(H582*Configuracion!$B$11,0),0))</f>
        <v/>
      </c>
      <c r="K582" s="89">
        <f>IF(H582="","",H582+J582)</f>
        <v/>
      </c>
      <c r="L582" s="13">
        <f>IF(B582="","",YEAR(B582))</f>
        <v/>
      </c>
      <c r="M582" s="13">
        <f>IF(B582="","",MONTH(B582))</f>
        <v/>
      </c>
      <c r="N582" s="9" t="n"/>
      <c r="O582" s="9" t="n"/>
      <c r="P582" s="9" t="n"/>
      <c r="Q582" s="9" t="n"/>
    </row>
    <row r="583">
      <c r="A583" s="9" t="n"/>
      <c r="B583" s="70" t="n"/>
      <c r="C583" s="9" t="n"/>
      <c r="D583" s="9" t="n"/>
      <c r="E583" s="9" t="n"/>
      <c r="F583" s="9" t="n"/>
      <c r="G583" s="9" t="n"/>
      <c r="H583" s="71" t="n"/>
      <c r="I583" s="9" t="n"/>
      <c r="J583" s="89">
        <f>IF(H583="","",IF(I583="Sí",ROUND(H583*Configuracion!$B$11,0),0))</f>
        <v/>
      </c>
      <c r="K583" s="89">
        <f>IF(H583="","",H583+J583)</f>
        <v/>
      </c>
      <c r="L583" s="13">
        <f>IF(B583="","",YEAR(B583))</f>
        <v/>
      </c>
      <c r="M583" s="13">
        <f>IF(B583="","",MONTH(B583))</f>
        <v/>
      </c>
      <c r="N583" s="9" t="n"/>
      <c r="O583" s="9" t="n"/>
      <c r="P583" s="9" t="n"/>
      <c r="Q583" s="9" t="n"/>
    </row>
    <row r="584">
      <c r="A584" s="9" t="n"/>
      <c r="B584" s="70" t="n"/>
      <c r="C584" s="9" t="n"/>
      <c r="D584" s="9" t="n"/>
      <c r="E584" s="9" t="n"/>
      <c r="F584" s="9" t="n"/>
      <c r="G584" s="9" t="n"/>
      <c r="H584" s="71" t="n"/>
      <c r="I584" s="9" t="n"/>
      <c r="J584" s="89">
        <f>IF(H584="","",IF(I584="Sí",ROUND(H584*Configuracion!$B$11,0),0))</f>
        <v/>
      </c>
      <c r="K584" s="89">
        <f>IF(H584="","",H584+J584)</f>
        <v/>
      </c>
      <c r="L584" s="13">
        <f>IF(B584="","",YEAR(B584))</f>
        <v/>
      </c>
      <c r="M584" s="13">
        <f>IF(B584="","",MONTH(B584))</f>
        <v/>
      </c>
      <c r="N584" s="9" t="n"/>
      <c r="O584" s="9" t="n"/>
      <c r="P584" s="9" t="n"/>
      <c r="Q584" s="9" t="n"/>
    </row>
    <row r="585">
      <c r="A585" s="9" t="n"/>
      <c r="B585" s="70" t="n"/>
      <c r="C585" s="9" t="n"/>
      <c r="D585" s="9" t="n"/>
      <c r="E585" s="9" t="n"/>
      <c r="F585" s="9" t="n"/>
      <c r="G585" s="9" t="n"/>
      <c r="H585" s="71" t="n"/>
      <c r="I585" s="9" t="n"/>
      <c r="J585" s="89">
        <f>IF(H585="","",IF(I585="Sí",ROUND(H585*Configuracion!$B$11,0),0))</f>
        <v/>
      </c>
      <c r="K585" s="89">
        <f>IF(H585="","",H585+J585)</f>
        <v/>
      </c>
      <c r="L585" s="13">
        <f>IF(B585="","",YEAR(B585))</f>
        <v/>
      </c>
      <c r="M585" s="13">
        <f>IF(B585="","",MONTH(B585))</f>
        <v/>
      </c>
      <c r="N585" s="9" t="n"/>
      <c r="O585" s="9" t="n"/>
      <c r="P585" s="9" t="n"/>
      <c r="Q585" s="9" t="n"/>
    </row>
    <row r="586">
      <c r="A586" s="9" t="n"/>
      <c r="B586" s="70" t="n"/>
      <c r="C586" s="9" t="n"/>
      <c r="D586" s="9" t="n"/>
      <c r="E586" s="9" t="n"/>
      <c r="F586" s="9" t="n"/>
      <c r="G586" s="9" t="n"/>
      <c r="H586" s="71" t="n"/>
      <c r="I586" s="9" t="n"/>
      <c r="J586" s="89">
        <f>IF(H586="","",IF(I586="Sí",ROUND(H586*Configuracion!$B$11,0),0))</f>
        <v/>
      </c>
      <c r="K586" s="89">
        <f>IF(H586="","",H586+J586)</f>
        <v/>
      </c>
      <c r="L586" s="13">
        <f>IF(B586="","",YEAR(B586))</f>
        <v/>
      </c>
      <c r="M586" s="13">
        <f>IF(B586="","",MONTH(B586))</f>
        <v/>
      </c>
      <c r="N586" s="9" t="n"/>
      <c r="O586" s="9" t="n"/>
      <c r="P586" s="9" t="n"/>
      <c r="Q586" s="9" t="n"/>
    </row>
    <row r="587">
      <c r="A587" s="9" t="n"/>
      <c r="B587" s="70" t="n"/>
      <c r="C587" s="9" t="n"/>
      <c r="D587" s="9" t="n"/>
      <c r="E587" s="9" t="n"/>
      <c r="F587" s="9" t="n"/>
      <c r="G587" s="9" t="n"/>
      <c r="H587" s="71" t="n"/>
      <c r="I587" s="9" t="n"/>
      <c r="J587" s="89">
        <f>IF(H587="","",IF(I587="Sí",ROUND(H587*Configuracion!$B$11,0),0))</f>
        <v/>
      </c>
      <c r="K587" s="89">
        <f>IF(H587="","",H587+J587)</f>
        <v/>
      </c>
      <c r="L587" s="13">
        <f>IF(B587="","",YEAR(B587))</f>
        <v/>
      </c>
      <c r="M587" s="13">
        <f>IF(B587="","",MONTH(B587))</f>
        <v/>
      </c>
      <c r="N587" s="9" t="n"/>
      <c r="O587" s="9" t="n"/>
      <c r="P587" s="9" t="n"/>
      <c r="Q587" s="9" t="n"/>
    </row>
    <row r="588">
      <c r="A588" s="9" t="n"/>
      <c r="B588" s="70" t="n"/>
      <c r="C588" s="9" t="n"/>
      <c r="D588" s="9" t="n"/>
      <c r="E588" s="9" t="n"/>
      <c r="F588" s="9" t="n"/>
      <c r="G588" s="9" t="n"/>
      <c r="H588" s="71" t="n"/>
      <c r="I588" s="9" t="n"/>
      <c r="J588" s="89">
        <f>IF(H588="","",IF(I588="Sí",ROUND(H588*Configuracion!$B$11,0),0))</f>
        <v/>
      </c>
      <c r="K588" s="89">
        <f>IF(H588="","",H588+J588)</f>
        <v/>
      </c>
      <c r="L588" s="13">
        <f>IF(B588="","",YEAR(B588))</f>
        <v/>
      </c>
      <c r="M588" s="13">
        <f>IF(B588="","",MONTH(B588))</f>
        <v/>
      </c>
      <c r="N588" s="9" t="n"/>
      <c r="O588" s="9" t="n"/>
      <c r="P588" s="9" t="n"/>
      <c r="Q588" s="9" t="n"/>
    </row>
    <row r="589">
      <c r="A589" s="9" t="n"/>
      <c r="B589" s="70" t="n"/>
      <c r="C589" s="9" t="n"/>
      <c r="D589" s="9" t="n"/>
      <c r="E589" s="9" t="n"/>
      <c r="F589" s="9" t="n"/>
      <c r="G589" s="9" t="n"/>
      <c r="H589" s="71" t="n"/>
      <c r="I589" s="9" t="n"/>
      <c r="J589" s="89">
        <f>IF(H589="","",IF(I589="Sí",ROUND(H589*Configuracion!$B$11,0),0))</f>
        <v/>
      </c>
      <c r="K589" s="89">
        <f>IF(H589="","",H589+J589)</f>
        <v/>
      </c>
      <c r="L589" s="13">
        <f>IF(B589="","",YEAR(B589))</f>
        <v/>
      </c>
      <c r="M589" s="13">
        <f>IF(B589="","",MONTH(B589))</f>
        <v/>
      </c>
      <c r="N589" s="9" t="n"/>
      <c r="O589" s="9" t="n"/>
      <c r="P589" s="9" t="n"/>
      <c r="Q589" s="9" t="n"/>
    </row>
    <row r="590">
      <c r="A590" s="9" t="n"/>
      <c r="B590" s="70" t="n"/>
      <c r="C590" s="9" t="n"/>
      <c r="D590" s="9" t="n"/>
      <c r="E590" s="9" t="n"/>
      <c r="F590" s="9" t="n"/>
      <c r="G590" s="9" t="n"/>
      <c r="H590" s="71" t="n"/>
      <c r="I590" s="9" t="n"/>
      <c r="J590" s="89">
        <f>IF(H590="","",IF(I590="Sí",ROUND(H590*Configuracion!$B$11,0),0))</f>
        <v/>
      </c>
      <c r="K590" s="89">
        <f>IF(H590="","",H590+J590)</f>
        <v/>
      </c>
      <c r="L590" s="13">
        <f>IF(B590="","",YEAR(B590))</f>
        <v/>
      </c>
      <c r="M590" s="13">
        <f>IF(B590="","",MONTH(B590))</f>
        <v/>
      </c>
      <c r="N590" s="9" t="n"/>
      <c r="O590" s="9" t="n"/>
      <c r="P590" s="9" t="n"/>
      <c r="Q590" s="9" t="n"/>
    </row>
    <row r="591">
      <c r="A591" s="9" t="n"/>
      <c r="B591" s="70" t="n"/>
      <c r="C591" s="9" t="n"/>
      <c r="D591" s="9" t="n"/>
      <c r="E591" s="9" t="n"/>
      <c r="F591" s="9" t="n"/>
      <c r="G591" s="9" t="n"/>
      <c r="H591" s="71" t="n"/>
      <c r="I591" s="9" t="n"/>
      <c r="J591" s="89">
        <f>IF(H591="","",IF(I591="Sí",ROUND(H591*Configuracion!$B$11,0),0))</f>
        <v/>
      </c>
      <c r="K591" s="89">
        <f>IF(H591="","",H591+J591)</f>
        <v/>
      </c>
      <c r="L591" s="13">
        <f>IF(B591="","",YEAR(B591))</f>
        <v/>
      </c>
      <c r="M591" s="13">
        <f>IF(B591="","",MONTH(B591))</f>
        <v/>
      </c>
      <c r="N591" s="9" t="n"/>
      <c r="O591" s="9" t="n"/>
      <c r="P591" s="9" t="n"/>
      <c r="Q591" s="9" t="n"/>
    </row>
    <row r="592">
      <c r="A592" s="9" t="n"/>
      <c r="B592" s="70" t="n"/>
      <c r="C592" s="9" t="n"/>
      <c r="D592" s="9" t="n"/>
      <c r="E592" s="9" t="n"/>
      <c r="F592" s="9" t="n"/>
      <c r="G592" s="9" t="n"/>
      <c r="H592" s="71" t="n"/>
      <c r="I592" s="9" t="n"/>
      <c r="J592" s="89">
        <f>IF(H592="","",IF(I592="Sí",ROUND(H592*Configuracion!$B$11,0),0))</f>
        <v/>
      </c>
      <c r="K592" s="89">
        <f>IF(H592="","",H592+J592)</f>
        <v/>
      </c>
      <c r="L592" s="13">
        <f>IF(B592="","",YEAR(B592))</f>
        <v/>
      </c>
      <c r="M592" s="13">
        <f>IF(B592="","",MONTH(B592))</f>
        <v/>
      </c>
      <c r="N592" s="9" t="n"/>
      <c r="O592" s="9" t="n"/>
      <c r="P592" s="9" t="n"/>
      <c r="Q592" s="9" t="n"/>
    </row>
    <row r="593">
      <c r="A593" s="9" t="n"/>
      <c r="B593" s="70" t="n"/>
      <c r="C593" s="9" t="n"/>
      <c r="D593" s="9" t="n"/>
      <c r="E593" s="9" t="n"/>
      <c r="F593" s="9" t="n"/>
      <c r="G593" s="9" t="n"/>
      <c r="H593" s="71" t="n"/>
      <c r="I593" s="9" t="n"/>
      <c r="J593" s="89">
        <f>IF(H593="","",IF(I593="Sí",ROUND(H593*Configuracion!$B$11,0),0))</f>
        <v/>
      </c>
      <c r="K593" s="89">
        <f>IF(H593="","",H593+J593)</f>
        <v/>
      </c>
      <c r="L593" s="13">
        <f>IF(B593="","",YEAR(B593))</f>
        <v/>
      </c>
      <c r="M593" s="13">
        <f>IF(B593="","",MONTH(B593))</f>
        <v/>
      </c>
      <c r="N593" s="9" t="n"/>
      <c r="O593" s="9" t="n"/>
      <c r="P593" s="9" t="n"/>
      <c r="Q593" s="9" t="n"/>
    </row>
    <row r="594">
      <c r="A594" s="9" t="n"/>
      <c r="B594" s="70" t="n"/>
      <c r="C594" s="9" t="n"/>
      <c r="D594" s="9" t="n"/>
      <c r="E594" s="9" t="n"/>
      <c r="F594" s="9" t="n"/>
      <c r="G594" s="9" t="n"/>
      <c r="H594" s="71" t="n"/>
      <c r="I594" s="9" t="n"/>
      <c r="J594" s="89">
        <f>IF(H594="","",IF(I594="Sí",ROUND(H594*Configuracion!$B$11,0),0))</f>
        <v/>
      </c>
      <c r="K594" s="89">
        <f>IF(H594="","",H594+J594)</f>
        <v/>
      </c>
      <c r="L594" s="13">
        <f>IF(B594="","",YEAR(B594))</f>
        <v/>
      </c>
      <c r="M594" s="13">
        <f>IF(B594="","",MONTH(B594))</f>
        <v/>
      </c>
      <c r="N594" s="9" t="n"/>
      <c r="O594" s="9" t="n"/>
      <c r="P594" s="9" t="n"/>
      <c r="Q594" s="9" t="n"/>
    </row>
    <row r="595">
      <c r="A595" s="9" t="n"/>
      <c r="B595" s="70" t="n"/>
      <c r="C595" s="9" t="n"/>
      <c r="D595" s="9" t="n"/>
      <c r="E595" s="9" t="n"/>
      <c r="F595" s="9" t="n"/>
      <c r="G595" s="9" t="n"/>
      <c r="H595" s="71" t="n"/>
      <c r="I595" s="9" t="n"/>
      <c r="J595" s="89">
        <f>IF(H595="","",IF(I595="Sí",ROUND(H595*Configuracion!$B$11,0),0))</f>
        <v/>
      </c>
      <c r="K595" s="89">
        <f>IF(H595="","",H595+J595)</f>
        <v/>
      </c>
      <c r="L595" s="13">
        <f>IF(B595="","",YEAR(B595))</f>
        <v/>
      </c>
      <c r="M595" s="13">
        <f>IF(B595="","",MONTH(B595))</f>
        <v/>
      </c>
      <c r="N595" s="9" t="n"/>
      <c r="O595" s="9" t="n"/>
      <c r="P595" s="9" t="n"/>
      <c r="Q595" s="9" t="n"/>
    </row>
    <row r="596">
      <c r="A596" s="9" t="n"/>
      <c r="B596" s="70" t="n"/>
      <c r="C596" s="9" t="n"/>
      <c r="D596" s="9" t="n"/>
      <c r="E596" s="9" t="n"/>
      <c r="F596" s="9" t="n"/>
      <c r="G596" s="9" t="n"/>
      <c r="H596" s="71" t="n"/>
      <c r="I596" s="9" t="n"/>
      <c r="J596" s="89">
        <f>IF(H596="","",IF(I596="Sí",ROUND(H596*Configuracion!$B$11,0),0))</f>
        <v/>
      </c>
      <c r="K596" s="89">
        <f>IF(H596="","",H596+J596)</f>
        <v/>
      </c>
      <c r="L596" s="13">
        <f>IF(B596="","",YEAR(B596))</f>
        <v/>
      </c>
      <c r="M596" s="13">
        <f>IF(B596="","",MONTH(B596))</f>
        <v/>
      </c>
      <c r="N596" s="9" t="n"/>
      <c r="O596" s="9" t="n"/>
      <c r="P596" s="9" t="n"/>
      <c r="Q596" s="9" t="n"/>
    </row>
    <row r="597">
      <c r="A597" s="9" t="n"/>
      <c r="B597" s="70" t="n"/>
      <c r="C597" s="9" t="n"/>
      <c r="D597" s="9" t="n"/>
      <c r="E597" s="9" t="n"/>
      <c r="F597" s="9" t="n"/>
      <c r="G597" s="9" t="n"/>
      <c r="H597" s="71" t="n"/>
      <c r="I597" s="9" t="n"/>
      <c r="J597" s="89">
        <f>IF(H597="","",IF(I597="Sí",ROUND(H597*Configuracion!$B$11,0),0))</f>
        <v/>
      </c>
      <c r="K597" s="89">
        <f>IF(H597="","",H597+J597)</f>
        <v/>
      </c>
      <c r="L597" s="13">
        <f>IF(B597="","",YEAR(B597))</f>
        <v/>
      </c>
      <c r="M597" s="13">
        <f>IF(B597="","",MONTH(B597))</f>
        <v/>
      </c>
      <c r="N597" s="9" t="n"/>
      <c r="O597" s="9" t="n"/>
      <c r="P597" s="9" t="n"/>
      <c r="Q597" s="9" t="n"/>
    </row>
    <row r="598">
      <c r="A598" s="9" t="n"/>
      <c r="B598" s="70" t="n"/>
      <c r="C598" s="9" t="n"/>
      <c r="D598" s="9" t="n"/>
      <c r="E598" s="9" t="n"/>
      <c r="F598" s="9" t="n"/>
      <c r="G598" s="9" t="n"/>
      <c r="H598" s="71" t="n"/>
      <c r="I598" s="9" t="n"/>
      <c r="J598" s="89">
        <f>IF(H598="","",IF(I598="Sí",ROUND(H598*Configuracion!$B$11,0),0))</f>
        <v/>
      </c>
      <c r="K598" s="89">
        <f>IF(H598="","",H598+J598)</f>
        <v/>
      </c>
      <c r="L598" s="13">
        <f>IF(B598="","",YEAR(B598))</f>
        <v/>
      </c>
      <c r="M598" s="13">
        <f>IF(B598="","",MONTH(B598))</f>
        <v/>
      </c>
      <c r="N598" s="9" t="n"/>
      <c r="O598" s="9" t="n"/>
      <c r="P598" s="9" t="n"/>
      <c r="Q598" s="9" t="n"/>
    </row>
    <row r="599">
      <c r="A599" s="9" t="n"/>
      <c r="B599" s="70" t="n"/>
      <c r="C599" s="9" t="n"/>
      <c r="D599" s="9" t="n"/>
      <c r="E599" s="9" t="n"/>
      <c r="F599" s="9" t="n"/>
      <c r="G599" s="9" t="n"/>
      <c r="H599" s="71" t="n"/>
      <c r="I599" s="9" t="n"/>
      <c r="J599" s="89">
        <f>IF(H599="","",IF(I599="Sí",ROUND(H599*Configuracion!$B$11,0),0))</f>
        <v/>
      </c>
      <c r="K599" s="89">
        <f>IF(H599="","",H599+J599)</f>
        <v/>
      </c>
      <c r="L599" s="13">
        <f>IF(B599="","",YEAR(B599))</f>
        <v/>
      </c>
      <c r="M599" s="13">
        <f>IF(B599="","",MONTH(B599))</f>
        <v/>
      </c>
      <c r="N599" s="9" t="n"/>
      <c r="O599" s="9" t="n"/>
      <c r="P599" s="9" t="n"/>
      <c r="Q599" s="9" t="n"/>
    </row>
    <row r="600">
      <c r="A600" s="9" t="n"/>
      <c r="B600" s="70" t="n"/>
      <c r="C600" s="9" t="n"/>
      <c r="D600" s="9" t="n"/>
      <c r="E600" s="9" t="n"/>
      <c r="F600" s="9" t="n"/>
      <c r="G600" s="9" t="n"/>
      <c r="H600" s="71" t="n"/>
      <c r="I600" s="9" t="n"/>
      <c r="J600" s="89">
        <f>IF(H600="","",IF(I600="Sí",ROUND(H600*Configuracion!$B$11,0),0))</f>
        <v/>
      </c>
      <c r="K600" s="89">
        <f>IF(H600="","",H600+J600)</f>
        <v/>
      </c>
      <c r="L600" s="13">
        <f>IF(B600="","",YEAR(B600))</f>
        <v/>
      </c>
      <c r="M600" s="13">
        <f>IF(B600="","",MONTH(B600))</f>
        <v/>
      </c>
      <c r="N600" s="9" t="n"/>
      <c r="O600" s="9" t="n"/>
      <c r="P600" s="9" t="n"/>
      <c r="Q600" s="9" t="n"/>
    </row>
    <row r="601">
      <c r="A601" s="9" t="n"/>
      <c r="B601" s="70" t="n"/>
      <c r="C601" s="9" t="n"/>
      <c r="D601" s="9" t="n"/>
      <c r="E601" s="9" t="n"/>
      <c r="F601" s="9" t="n"/>
      <c r="G601" s="9" t="n"/>
      <c r="H601" s="71" t="n"/>
      <c r="I601" s="9" t="n"/>
      <c r="J601" s="89">
        <f>IF(H601="","",IF(I601="Sí",ROUND(H601*Configuracion!$B$11,0),0))</f>
        <v/>
      </c>
      <c r="K601" s="89">
        <f>IF(H601="","",H601+J601)</f>
        <v/>
      </c>
      <c r="L601" s="13">
        <f>IF(B601="","",YEAR(B601))</f>
        <v/>
      </c>
      <c r="M601" s="13">
        <f>IF(B601="","",MONTH(B601))</f>
        <v/>
      </c>
      <c r="N601" s="9" t="n"/>
      <c r="O601" s="9" t="n"/>
      <c r="P601" s="9" t="n"/>
      <c r="Q601" s="9" t="n"/>
    </row>
    <row r="602">
      <c r="A602" s="9" t="n"/>
      <c r="B602" s="70" t="n"/>
      <c r="C602" s="9" t="n"/>
      <c r="D602" s="9" t="n"/>
      <c r="E602" s="9" t="n"/>
      <c r="F602" s="9" t="n"/>
      <c r="G602" s="9" t="n"/>
      <c r="H602" s="71" t="n"/>
      <c r="I602" s="9" t="n"/>
      <c r="J602" s="89">
        <f>IF(H602="","",IF(I602="Sí",ROUND(H602*Configuracion!$B$11,0),0))</f>
        <v/>
      </c>
      <c r="K602" s="89">
        <f>IF(H602="","",H602+J602)</f>
        <v/>
      </c>
      <c r="L602" s="13">
        <f>IF(B602="","",YEAR(B602))</f>
        <v/>
      </c>
      <c r="M602" s="13">
        <f>IF(B602="","",MONTH(B602))</f>
        <v/>
      </c>
      <c r="N602" s="9" t="n"/>
      <c r="O602" s="9" t="n"/>
      <c r="P602" s="9" t="n"/>
      <c r="Q602" s="9" t="n"/>
    </row>
    <row r="603">
      <c r="A603" s="9" t="n"/>
      <c r="B603" s="70" t="n"/>
      <c r="C603" s="9" t="n"/>
      <c r="D603" s="9" t="n"/>
      <c r="E603" s="9" t="n"/>
      <c r="F603" s="9" t="n"/>
      <c r="G603" s="9" t="n"/>
      <c r="H603" s="71" t="n"/>
      <c r="I603" s="9" t="n"/>
      <c r="J603" s="89">
        <f>IF(H603="","",IF(I603="Sí",ROUND(H603*Configuracion!$B$11,0),0))</f>
        <v/>
      </c>
      <c r="K603" s="89">
        <f>IF(H603="","",H603+J603)</f>
        <v/>
      </c>
      <c r="L603" s="13">
        <f>IF(B603="","",YEAR(B603))</f>
        <v/>
      </c>
      <c r="M603" s="13">
        <f>IF(B603="","",MONTH(B603))</f>
        <v/>
      </c>
      <c r="N603" s="9" t="n"/>
      <c r="O603" s="9" t="n"/>
      <c r="P603" s="9" t="n"/>
      <c r="Q603" s="9" t="n"/>
    </row>
    <row r="604">
      <c r="A604" s="9" t="n"/>
      <c r="B604" s="70" t="n"/>
      <c r="C604" s="9" t="n"/>
      <c r="D604" s="9" t="n"/>
      <c r="E604" s="9" t="n"/>
      <c r="F604" s="9" t="n"/>
      <c r="G604" s="9" t="n"/>
      <c r="H604" s="71" t="n"/>
      <c r="I604" s="9" t="n"/>
      <c r="J604" s="89">
        <f>IF(H604="","",IF(I604="Sí",ROUND(H604*Configuracion!$B$11,0),0))</f>
        <v/>
      </c>
      <c r="K604" s="89">
        <f>IF(H604="","",H604+J604)</f>
        <v/>
      </c>
      <c r="L604" s="13">
        <f>IF(B604="","",YEAR(B604))</f>
        <v/>
      </c>
      <c r="M604" s="13">
        <f>IF(B604="","",MONTH(B604))</f>
        <v/>
      </c>
      <c r="N604" s="9" t="n"/>
      <c r="O604" s="9" t="n"/>
      <c r="P604" s="9" t="n"/>
      <c r="Q604" s="9" t="n"/>
    </row>
    <row r="605">
      <c r="A605" s="9" t="n"/>
      <c r="B605" s="70" t="n"/>
      <c r="C605" s="9" t="n"/>
      <c r="D605" s="9" t="n"/>
      <c r="E605" s="9" t="n"/>
      <c r="F605" s="9" t="n"/>
      <c r="G605" s="9" t="n"/>
      <c r="H605" s="71" t="n"/>
      <c r="I605" s="9" t="n"/>
      <c r="J605" s="89">
        <f>IF(H605="","",IF(I605="Sí",ROUND(H605*Configuracion!$B$11,0),0))</f>
        <v/>
      </c>
      <c r="K605" s="89">
        <f>IF(H605="","",H605+J605)</f>
        <v/>
      </c>
      <c r="L605" s="13">
        <f>IF(B605="","",YEAR(B605))</f>
        <v/>
      </c>
      <c r="M605" s="13">
        <f>IF(B605="","",MONTH(B605))</f>
        <v/>
      </c>
      <c r="N605" s="9" t="n"/>
      <c r="O605" s="9" t="n"/>
      <c r="P605" s="9" t="n"/>
      <c r="Q605" s="9" t="n"/>
    </row>
    <row r="606">
      <c r="A606" s="9" t="n"/>
      <c r="B606" s="70" t="n"/>
      <c r="C606" s="9" t="n"/>
      <c r="D606" s="9" t="n"/>
      <c r="E606" s="9" t="n"/>
      <c r="F606" s="9" t="n"/>
      <c r="G606" s="9" t="n"/>
      <c r="H606" s="71" t="n"/>
      <c r="I606" s="9" t="n"/>
      <c r="J606" s="89">
        <f>IF(H606="","",IF(I606="Sí",ROUND(H606*Configuracion!$B$11,0),0))</f>
        <v/>
      </c>
      <c r="K606" s="89">
        <f>IF(H606="","",H606+J606)</f>
        <v/>
      </c>
      <c r="L606" s="13">
        <f>IF(B606="","",YEAR(B606))</f>
        <v/>
      </c>
      <c r="M606" s="13">
        <f>IF(B606="","",MONTH(B606))</f>
        <v/>
      </c>
      <c r="N606" s="9" t="n"/>
      <c r="O606" s="9" t="n"/>
      <c r="P606" s="9" t="n"/>
      <c r="Q606" s="9" t="n"/>
    </row>
    <row r="607">
      <c r="A607" s="9" t="n"/>
      <c r="B607" s="70" t="n"/>
      <c r="C607" s="9" t="n"/>
      <c r="D607" s="9" t="n"/>
      <c r="E607" s="9" t="n"/>
      <c r="F607" s="9" t="n"/>
      <c r="G607" s="9" t="n"/>
      <c r="H607" s="71" t="n"/>
      <c r="I607" s="9" t="n"/>
      <c r="J607" s="89">
        <f>IF(H607="","",IF(I607="Sí",ROUND(H607*Configuracion!$B$11,0),0))</f>
        <v/>
      </c>
      <c r="K607" s="89">
        <f>IF(H607="","",H607+J607)</f>
        <v/>
      </c>
      <c r="L607" s="13">
        <f>IF(B607="","",YEAR(B607))</f>
        <v/>
      </c>
      <c r="M607" s="13">
        <f>IF(B607="","",MONTH(B607))</f>
        <v/>
      </c>
      <c r="N607" s="9" t="n"/>
      <c r="O607" s="9" t="n"/>
      <c r="P607" s="9" t="n"/>
      <c r="Q607" s="9" t="n"/>
    </row>
    <row r="608">
      <c r="A608" s="9" t="n"/>
      <c r="B608" s="70" t="n"/>
      <c r="C608" s="9" t="n"/>
      <c r="D608" s="9" t="n"/>
      <c r="E608" s="9" t="n"/>
      <c r="F608" s="9" t="n"/>
      <c r="G608" s="9" t="n"/>
      <c r="H608" s="71" t="n"/>
      <c r="I608" s="9" t="n"/>
      <c r="J608" s="89">
        <f>IF(H608="","",IF(I608="Sí",ROUND(H608*Configuracion!$B$11,0),0))</f>
        <v/>
      </c>
      <c r="K608" s="89">
        <f>IF(H608="","",H608+J608)</f>
        <v/>
      </c>
      <c r="L608" s="13">
        <f>IF(B608="","",YEAR(B608))</f>
        <v/>
      </c>
      <c r="M608" s="13">
        <f>IF(B608="","",MONTH(B608))</f>
        <v/>
      </c>
      <c r="N608" s="9" t="n"/>
      <c r="O608" s="9" t="n"/>
      <c r="P608" s="9" t="n"/>
      <c r="Q608" s="9" t="n"/>
    </row>
    <row r="609">
      <c r="A609" s="9" t="n"/>
      <c r="B609" s="70" t="n"/>
      <c r="C609" s="9" t="n"/>
      <c r="D609" s="9" t="n"/>
      <c r="E609" s="9" t="n"/>
      <c r="F609" s="9" t="n"/>
      <c r="G609" s="9" t="n"/>
      <c r="H609" s="71" t="n"/>
      <c r="I609" s="9" t="n"/>
      <c r="J609" s="89">
        <f>IF(H609="","",IF(I609="Sí",ROUND(H609*Configuracion!$B$11,0),0))</f>
        <v/>
      </c>
      <c r="K609" s="89">
        <f>IF(H609="","",H609+J609)</f>
        <v/>
      </c>
      <c r="L609" s="13">
        <f>IF(B609="","",YEAR(B609))</f>
        <v/>
      </c>
      <c r="M609" s="13">
        <f>IF(B609="","",MONTH(B609))</f>
        <v/>
      </c>
      <c r="N609" s="9" t="n"/>
      <c r="O609" s="9" t="n"/>
      <c r="P609" s="9" t="n"/>
      <c r="Q609" s="9" t="n"/>
    </row>
    <row r="610">
      <c r="A610" s="9" t="n"/>
      <c r="B610" s="70" t="n"/>
      <c r="C610" s="9" t="n"/>
      <c r="D610" s="9" t="n"/>
      <c r="E610" s="9" t="n"/>
      <c r="F610" s="9" t="n"/>
      <c r="G610" s="9" t="n"/>
      <c r="H610" s="71" t="n"/>
      <c r="I610" s="9" t="n"/>
      <c r="J610" s="89">
        <f>IF(H610="","",IF(I610="Sí",ROUND(H610*Configuracion!$B$11,0),0))</f>
        <v/>
      </c>
      <c r="K610" s="89">
        <f>IF(H610="","",H610+J610)</f>
        <v/>
      </c>
      <c r="L610" s="13">
        <f>IF(B610="","",YEAR(B610))</f>
        <v/>
      </c>
      <c r="M610" s="13">
        <f>IF(B610="","",MONTH(B610))</f>
        <v/>
      </c>
      <c r="N610" s="9" t="n"/>
      <c r="O610" s="9" t="n"/>
      <c r="P610" s="9" t="n"/>
      <c r="Q610" s="9" t="n"/>
    </row>
    <row r="611">
      <c r="A611" s="9" t="n"/>
      <c r="B611" s="70" t="n"/>
      <c r="C611" s="9" t="n"/>
      <c r="D611" s="9" t="n"/>
      <c r="E611" s="9" t="n"/>
      <c r="F611" s="9" t="n"/>
      <c r="G611" s="9" t="n"/>
      <c r="H611" s="71" t="n"/>
      <c r="I611" s="9" t="n"/>
      <c r="J611" s="89">
        <f>IF(H611="","",IF(I611="Sí",ROUND(H611*Configuracion!$B$11,0),0))</f>
        <v/>
      </c>
      <c r="K611" s="89">
        <f>IF(H611="","",H611+J611)</f>
        <v/>
      </c>
      <c r="L611" s="13">
        <f>IF(B611="","",YEAR(B611))</f>
        <v/>
      </c>
      <c r="M611" s="13">
        <f>IF(B611="","",MONTH(B611))</f>
        <v/>
      </c>
      <c r="N611" s="9" t="n"/>
      <c r="O611" s="9" t="n"/>
      <c r="P611" s="9" t="n"/>
      <c r="Q611" s="9" t="n"/>
    </row>
    <row r="612">
      <c r="A612" s="9" t="n"/>
      <c r="B612" s="70" t="n"/>
      <c r="C612" s="9" t="n"/>
      <c r="D612" s="9" t="n"/>
      <c r="E612" s="9" t="n"/>
      <c r="F612" s="9" t="n"/>
      <c r="G612" s="9" t="n"/>
      <c r="H612" s="71" t="n"/>
      <c r="I612" s="9" t="n"/>
      <c r="J612" s="89">
        <f>IF(H612="","",IF(I612="Sí",ROUND(H612*Configuracion!$B$11,0),0))</f>
        <v/>
      </c>
      <c r="K612" s="89">
        <f>IF(H612="","",H612+J612)</f>
        <v/>
      </c>
      <c r="L612" s="13">
        <f>IF(B612="","",YEAR(B612))</f>
        <v/>
      </c>
      <c r="M612" s="13">
        <f>IF(B612="","",MONTH(B612))</f>
        <v/>
      </c>
      <c r="N612" s="9" t="n"/>
      <c r="O612" s="9" t="n"/>
      <c r="P612" s="9" t="n"/>
      <c r="Q612" s="9" t="n"/>
    </row>
    <row r="613">
      <c r="A613" s="9" t="n"/>
      <c r="B613" s="70" t="n"/>
      <c r="C613" s="9" t="n"/>
      <c r="D613" s="9" t="n"/>
      <c r="E613" s="9" t="n"/>
      <c r="F613" s="9" t="n"/>
      <c r="G613" s="9" t="n"/>
      <c r="H613" s="71" t="n"/>
      <c r="I613" s="9" t="n"/>
      <c r="J613" s="89">
        <f>IF(H613="","",IF(I613="Sí",ROUND(H613*Configuracion!$B$11,0),0))</f>
        <v/>
      </c>
      <c r="K613" s="89">
        <f>IF(H613="","",H613+J613)</f>
        <v/>
      </c>
      <c r="L613" s="13">
        <f>IF(B613="","",YEAR(B613))</f>
        <v/>
      </c>
      <c r="M613" s="13">
        <f>IF(B613="","",MONTH(B613))</f>
        <v/>
      </c>
      <c r="N613" s="9" t="n"/>
      <c r="O613" s="9" t="n"/>
      <c r="P613" s="9" t="n"/>
      <c r="Q613" s="9" t="n"/>
    </row>
    <row r="614">
      <c r="A614" s="9" t="n"/>
      <c r="B614" s="70" t="n"/>
      <c r="C614" s="9" t="n"/>
      <c r="D614" s="9" t="n"/>
      <c r="E614" s="9" t="n"/>
      <c r="F614" s="9" t="n"/>
      <c r="G614" s="9" t="n"/>
      <c r="H614" s="71" t="n"/>
      <c r="I614" s="9" t="n"/>
      <c r="J614" s="89">
        <f>IF(H614="","",IF(I614="Sí",ROUND(H614*Configuracion!$B$11,0),0))</f>
        <v/>
      </c>
      <c r="K614" s="89">
        <f>IF(H614="","",H614+J614)</f>
        <v/>
      </c>
      <c r="L614" s="13">
        <f>IF(B614="","",YEAR(B614))</f>
        <v/>
      </c>
      <c r="M614" s="13">
        <f>IF(B614="","",MONTH(B614))</f>
        <v/>
      </c>
      <c r="N614" s="9" t="n"/>
      <c r="O614" s="9" t="n"/>
      <c r="P614" s="9" t="n"/>
      <c r="Q614" s="9" t="n"/>
    </row>
    <row r="615">
      <c r="A615" s="9" t="n"/>
      <c r="B615" s="70" t="n"/>
      <c r="C615" s="9" t="n"/>
      <c r="D615" s="9" t="n"/>
      <c r="E615" s="9" t="n"/>
      <c r="F615" s="9" t="n"/>
      <c r="G615" s="9" t="n"/>
      <c r="H615" s="71" t="n"/>
      <c r="I615" s="9" t="n"/>
      <c r="J615" s="89">
        <f>IF(H615="","",IF(I615="Sí",ROUND(H615*Configuracion!$B$11,0),0))</f>
        <v/>
      </c>
      <c r="K615" s="89">
        <f>IF(H615="","",H615+J615)</f>
        <v/>
      </c>
      <c r="L615" s="13">
        <f>IF(B615="","",YEAR(B615))</f>
        <v/>
      </c>
      <c r="M615" s="13">
        <f>IF(B615="","",MONTH(B615))</f>
        <v/>
      </c>
      <c r="N615" s="9" t="n"/>
      <c r="O615" s="9" t="n"/>
      <c r="P615" s="9" t="n"/>
      <c r="Q615" s="9" t="n"/>
    </row>
    <row r="616">
      <c r="A616" s="9" t="n"/>
      <c r="B616" s="70" t="n"/>
      <c r="C616" s="9" t="n"/>
      <c r="D616" s="9" t="n"/>
      <c r="E616" s="9" t="n"/>
      <c r="F616" s="9" t="n"/>
      <c r="G616" s="9" t="n"/>
      <c r="H616" s="71" t="n"/>
      <c r="I616" s="9" t="n"/>
      <c r="J616" s="89">
        <f>IF(H616="","",IF(I616="Sí",ROUND(H616*Configuracion!$B$11,0),0))</f>
        <v/>
      </c>
      <c r="K616" s="89">
        <f>IF(H616="","",H616+J616)</f>
        <v/>
      </c>
      <c r="L616" s="13">
        <f>IF(B616="","",YEAR(B616))</f>
        <v/>
      </c>
      <c r="M616" s="13">
        <f>IF(B616="","",MONTH(B616))</f>
        <v/>
      </c>
      <c r="N616" s="9" t="n"/>
      <c r="O616" s="9" t="n"/>
      <c r="P616" s="9" t="n"/>
      <c r="Q616" s="9" t="n"/>
    </row>
    <row r="617">
      <c r="A617" s="9" t="n"/>
      <c r="B617" s="70" t="n"/>
      <c r="C617" s="9" t="n"/>
      <c r="D617" s="9" t="n"/>
      <c r="E617" s="9" t="n"/>
      <c r="F617" s="9" t="n"/>
      <c r="G617" s="9" t="n"/>
      <c r="H617" s="71" t="n"/>
      <c r="I617" s="9" t="n"/>
      <c r="J617" s="89">
        <f>IF(H617="","",IF(I617="Sí",ROUND(H617*Configuracion!$B$11,0),0))</f>
        <v/>
      </c>
      <c r="K617" s="89">
        <f>IF(H617="","",H617+J617)</f>
        <v/>
      </c>
      <c r="L617" s="13">
        <f>IF(B617="","",YEAR(B617))</f>
        <v/>
      </c>
      <c r="M617" s="13">
        <f>IF(B617="","",MONTH(B617))</f>
        <v/>
      </c>
      <c r="N617" s="9" t="n"/>
      <c r="O617" s="9" t="n"/>
      <c r="P617" s="9" t="n"/>
      <c r="Q617" s="9" t="n"/>
    </row>
    <row r="618">
      <c r="A618" s="9" t="n"/>
      <c r="B618" s="70" t="n"/>
      <c r="C618" s="9" t="n"/>
      <c r="D618" s="9" t="n"/>
      <c r="E618" s="9" t="n"/>
      <c r="F618" s="9" t="n"/>
      <c r="G618" s="9" t="n"/>
      <c r="H618" s="71" t="n"/>
      <c r="I618" s="9" t="n"/>
      <c r="J618" s="89">
        <f>IF(H618="","",IF(I618="Sí",ROUND(H618*Configuracion!$B$11,0),0))</f>
        <v/>
      </c>
      <c r="K618" s="89">
        <f>IF(H618="","",H618+J618)</f>
        <v/>
      </c>
      <c r="L618" s="13">
        <f>IF(B618="","",YEAR(B618))</f>
        <v/>
      </c>
      <c r="M618" s="13">
        <f>IF(B618="","",MONTH(B618))</f>
        <v/>
      </c>
      <c r="N618" s="9" t="n"/>
      <c r="O618" s="9" t="n"/>
      <c r="P618" s="9" t="n"/>
      <c r="Q618" s="9" t="n"/>
    </row>
    <row r="619">
      <c r="A619" s="9" t="n"/>
      <c r="B619" s="70" t="n"/>
      <c r="C619" s="9" t="n"/>
      <c r="D619" s="9" t="n"/>
      <c r="E619" s="9" t="n"/>
      <c r="F619" s="9" t="n"/>
      <c r="G619" s="9" t="n"/>
      <c r="H619" s="71" t="n"/>
      <c r="I619" s="9" t="n"/>
      <c r="J619" s="89">
        <f>IF(H619="","",IF(I619="Sí",ROUND(H619*Configuracion!$B$11,0),0))</f>
        <v/>
      </c>
      <c r="K619" s="89">
        <f>IF(H619="","",H619+J619)</f>
        <v/>
      </c>
      <c r="L619" s="13">
        <f>IF(B619="","",YEAR(B619))</f>
        <v/>
      </c>
      <c r="M619" s="13">
        <f>IF(B619="","",MONTH(B619))</f>
        <v/>
      </c>
      <c r="N619" s="9" t="n"/>
      <c r="O619" s="9" t="n"/>
      <c r="P619" s="9" t="n"/>
      <c r="Q619" s="9" t="n"/>
    </row>
    <row r="620">
      <c r="A620" s="9" t="n"/>
      <c r="B620" s="70" t="n"/>
      <c r="C620" s="9" t="n"/>
      <c r="D620" s="9" t="n"/>
      <c r="E620" s="9" t="n"/>
      <c r="F620" s="9" t="n"/>
      <c r="G620" s="9" t="n"/>
      <c r="H620" s="71" t="n"/>
      <c r="I620" s="9" t="n"/>
      <c r="J620" s="89">
        <f>IF(H620="","",IF(I620="Sí",ROUND(H620*Configuracion!$B$11,0),0))</f>
        <v/>
      </c>
      <c r="K620" s="89">
        <f>IF(H620="","",H620+J620)</f>
        <v/>
      </c>
      <c r="L620" s="13">
        <f>IF(B620="","",YEAR(B620))</f>
        <v/>
      </c>
      <c r="M620" s="13">
        <f>IF(B620="","",MONTH(B620))</f>
        <v/>
      </c>
      <c r="N620" s="9" t="n"/>
      <c r="O620" s="9" t="n"/>
      <c r="P620" s="9" t="n"/>
      <c r="Q620" s="9" t="n"/>
    </row>
    <row r="621">
      <c r="A621" s="9" t="n"/>
      <c r="B621" s="70" t="n"/>
      <c r="C621" s="9" t="n"/>
      <c r="D621" s="9" t="n"/>
      <c r="E621" s="9" t="n"/>
      <c r="F621" s="9" t="n"/>
      <c r="G621" s="9" t="n"/>
      <c r="H621" s="71" t="n"/>
      <c r="I621" s="9" t="n"/>
      <c r="J621" s="89">
        <f>IF(H621="","",IF(I621="Sí",ROUND(H621*Configuracion!$B$11,0),0))</f>
        <v/>
      </c>
      <c r="K621" s="89">
        <f>IF(H621="","",H621+J621)</f>
        <v/>
      </c>
      <c r="L621" s="13">
        <f>IF(B621="","",YEAR(B621))</f>
        <v/>
      </c>
      <c r="M621" s="13">
        <f>IF(B621="","",MONTH(B621))</f>
        <v/>
      </c>
      <c r="N621" s="9" t="n"/>
      <c r="O621" s="9" t="n"/>
      <c r="P621" s="9" t="n"/>
      <c r="Q621" s="9" t="n"/>
    </row>
    <row r="622">
      <c r="A622" s="9" t="n"/>
      <c r="B622" s="70" t="n"/>
      <c r="C622" s="9" t="n"/>
      <c r="D622" s="9" t="n"/>
      <c r="E622" s="9" t="n"/>
      <c r="F622" s="9" t="n"/>
      <c r="G622" s="9" t="n"/>
      <c r="H622" s="71" t="n"/>
      <c r="I622" s="9" t="n"/>
      <c r="J622" s="89">
        <f>IF(H622="","",IF(I622="Sí",ROUND(H622*Configuracion!$B$11,0),0))</f>
        <v/>
      </c>
      <c r="K622" s="89">
        <f>IF(H622="","",H622+J622)</f>
        <v/>
      </c>
      <c r="L622" s="13">
        <f>IF(B622="","",YEAR(B622))</f>
        <v/>
      </c>
      <c r="M622" s="13">
        <f>IF(B622="","",MONTH(B622))</f>
        <v/>
      </c>
      <c r="N622" s="9" t="n"/>
      <c r="O622" s="9" t="n"/>
      <c r="P622" s="9" t="n"/>
      <c r="Q622" s="9" t="n"/>
    </row>
    <row r="623">
      <c r="A623" s="9" t="n"/>
      <c r="B623" s="70" t="n"/>
      <c r="C623" s="9" t="n"/>
      <c r="D623" s="9" t="n"/>
      <c r="E623" s="9" t="n"/>
      <c r="F623" s="9" t="n"/>
      <c r="G623" s="9" t="n"/>
      <c r="H623" s="71" t="n"/>
      <c r="I623" s="9" t="n"/>
      <c r="J623" s="89">
        <f>IF(H623="","",IF(I623="Sí",ROUND(H623*Configuracion!$B$11,0),0))</f>
        <v/>
      </c>
      <c r="K623" s="89">
        <f>IF(H623="","",H623+J623)</f>
        <v/>
      </c>
      <c r="L623" s="13">
        <f>IF(B623="","",YEAR(B623))</f>
        <v/>
      </c>
      <c r="M623" s="13">
        <f>IF(B623="","",MONTH(B623))</f>
        <v/>
      </c>
      <c r="N623" s="9" t="n"/>
      <c r="O623" s="9" t="n"/>
      <c r="P623" s="9" t="n"/>
      <c r="Q623" s="9" t="n"/>
    </row>
    <row r="624">
      <c r="A624" s="9" t="n"/>
      <c r="B624" s="70" t="n"/>
      <c r="C624" s="9" t="n"/>
      <c r="D624" s="9" t="n"/>
      <c r="E624" s="9" t="n"/>
      <c r="F624" s="9" t="n"/>
      <c r="G624" s="9" t="n"/>
      <c r="H624" s="71" t="n"/>
      <c r="I624" s="9" t="n"/>
      <c r="J624" s="89">
        <f>IF(H624="","",IF(I624="Sí",ROUND(H624*Configuracion!$B$11,0),0))</f>
        <v/>
      </c>
      <c r="K624" s="89">
        <f>IF(H624="","",H624+J624)</f>
        <v/>
      </c>
      <c r="L624" s="13">
        <f>IF(B624="","",YEAR(B624))</f>
        <v/>
      </c>
      <c r="M624" s="13">
        <f>IF(B624="","",MONTH(B624))</f>
        <v/>
      </c>
      <c r="N624" s="9" t="n"/>
      <c r="O624" s="9" t="n"/>
      <c r="P624" s="9" t="n"/>
      <c r="Q624" s="9" t="n"/>
    </row>
    <row r="625">
      <c r="A625" s="9" t="n"/>
      <c r="B625" s="70" t="n"/>
      <c r="C625" s="9" t="n"/>
      <c r="D625" s="9" t="n"/>
      <c r="E625" s="9" t="n"/>
      <c r="F625" s="9" t="n"/>
      <c r="G625" s="9" t="n"/>
      <c r="H625" s="71" t="n"/>
      <c r="I625" s="9" t="n"/>
      <c r="J625" s="89">
        <f>IF(H625="","",IF(I625="Sí",ROUND(H625*Configuracion!$B$11,0),0))</f>
        <v/>
      </c>
      <c r="K625" s="89">
        <f>IF(H625="","",H625+J625)</f>
        <v/>
      </c>
      <c r="L625" s="13">
        <f>IF(B625="","",YEAR(B625))</f>
        <v/>
      </c>
      <c r="M625" s="13">
        <f>IF(B625="","",MONTH(B625))</f>
        <v/>
      </c>
      <c r="N625" s="9" t="n"/>
      <c r="O625" s="9" t="n"/>
      <c r="P625" s="9" t="n"/>
      <c r="Q625" s="9" t="n"/>
    </row>
    <row r="626">
      <c r="A626" s="9" t="n"/>
      <c r="B626" s="70" t="n"/>
      <c r="C626" s="9" t="n"/>
      <c r="D626" s="9" t="n"/>
      <c r="E626" s="9" t="n"/>
      <c r="F626" s="9" t="n"/>
      <c r="G626" s="9" t="n"/>
      <c r="H626" s="71" t="n"/>
      <c r="I626" s="9" t="n"/>
      <c r="J626" s="89">
        <f>IF(H626="","",IF(I626="Sí",ROUND(H626*Configuracion!$B$11,0),0))</f>
        <v/>
      </c>
      <c r="K626" s="89">
        <f>IF(H626="","",H626+J626)</f>
        <v/>
      </c>
      <c r="L626" s="13">
        <f>IF(B626="","",YEAR(B626))</f>
        <v/>
      </c>
      <c r="M626" s="13">
        <f>IF(B626="","",MONTH(B626))</f>
        <v/>
      </c>
      <c r="N626" s="9" t="n"/>
      <c r="O626" s="9" t="n"/>
      <c r="P626" s="9" t="n"/>
      <c r="Q626" s="9" t="n"/>
    </row>
    <row r="627">
      <c r="A627" s="9" t="n"/>
      <c r="B627" s="70" t="n"/>
      <c r="C627" s="9" t="n"/>
      <c r="D627" s="9" t="n"/>
      <c r="E627" s="9" t="n"/>
      <c r="F627" s="9" t="n"/>
      <c r="G627" s="9" t="n"/>
      <c r="H627" s="71" t="n"/>
      <c r="I627" s="9" t="n"/>
      <c r="J627" s="89">
        <f>IF(H627="","",IF(I627="Sí",ROUND(H627*Configuracion!$B$11,0),0))</f>
        <v/>
      </c>
      <c r="K627" s="89">
        <f>IF(H627="","",H627+J627)</f>
        <v/>
      </c>
      <c r="L627" s="13">
        <f>IF(B627="","",YEAR(B627))</f>
        <v/>
      </c>
      <c r="M627" s="13">
        <f>IF(B627="","",MONTH(B627))</f>
        <v/>
      </c>
      <c r="N627" s="9" t="n"/>
      <c r="O627" s="9" t="n"/>
      <c r="P627" s="9" t="n"/>
      <c r="Q627" s="9" t="n"/>
    </row>
    <row r="628">
      <c r="A628" s="9" t="n"/>
      <c r="B628" s="70" t="n"/>
      <c r="C628" s="9" t="n"/>
      <c r="D628" s="9" t="n"/>
      <c r="E628" s="9" t="n"/>
      <c r="F628" s="9" t="n"/>
      <c r="G628" s="9" t="n"/>
      <c r="H628" s="71" t="n"/>
      <c r="I628" s="9" t="n"/>
      <c r="J628" s="89">
        <f>IF(H628="","",IF(I628="Sí",ROUND(H628*Configuracion!$B$11,0),0))</f>
        <v/>
      </c>
      <c r="K628" s="89">
        <f>IF(H628="","",H628+J628)</f>
        <v/>
      </c>
      <c r="L628" s="13">
        <f>IF(B628="","",YEAR(B628))</f>
        <v/>
      </c>
      <c r="M628" s="13">
        <f>IF(B628="","",MONTH(B628))</f>
        <v/>
      </c>
      <c r="N628" s="9" t="n"/>
      <c r="O628" s="9" t="n"/>
      <c r="P628" s="9" t="n"/>
      <c r="Q628" s="9" t="n"/>
    </row>
    <row r="629">
      <c r="A629" s="9" t="n"/>
      <c r="B629" s="70" t="n"/>
      <c r="C629" s="9" t="n"/>
      <c r="D629" s="9" t="n"/>
      <c r="E629" s="9" t="n"/>
      <c r="F629" s="9" t="n"/>
      <c r="G629" s="9" t="n"/>
      <c r="H629" s="71" t="n"/>
      <c r="I629" s="9" t="n"/>
      <c r="J629" s="89">
        <f>IF(H629="","",IF(I629="Sí",ROUND(H629*Configuracion!$B$11,0),0))</f>
        <v/>
      </c>
      <c r="K629" s="89">
        <f>IF(H629="","",H629+J629)</f>
        <v/>
      </c>
      <c r="L629" s="13">
        <f>IF(B629="","",YEAR(B629))</f>
        <v/>
      </c>
      <c r="M629" s="13">
        <f>IF(B629="","",MONTH(B629))</f>
        <v/>
      </c>
      <c r="N629" s="9" t="n"/>
      <c r="O629" s="9" t="n"/>
      <c r="P629" s="9" t="n"/>
      <c r="Q629" s="9" t="n"/>
    </row>
    <row r="630">
      <c r="A630" s="9" t="n"/>
      <c r="B630" s="70" t="n"/>
      <c r="C630" s="9" t="n"/>
      <c r="D630" s="9" t="n"/>
      <c r="E630" s="9" t="n"/>
      <c r="F630" s="9" t="n"/>
      <c r="G630" s="9" t="n"/>
      <c r="H630" s="71" t="n"/>
      <c r="I630" s="9" t="n"/>
      <c r="J630" s="89">
        <f>IF(H630="","",IF(I630="Sí",ROUND(H630*Configuracion!$B$11,0),0))</f>
        <v/>
      </c>
      <c r="K630" s="89">
        <f>IF(H630="","",H630+J630)</f>
        <v/>
      </c>
      <c r="L630" s="13">
        <f>IF(B630="","",YEAR(B630))</f>
        <v/>
      </c>
      <c r="M630" s="13">
        <f>IF(B630="","",MONTH(B630))</f>
        <v/>
      </c>
      <c r="N630" s="9" t="n"/>
      <c r="O630" s="9" t="n"/>
      <c r="P630" s="9" t="n"/>
      <c r="Q630" s="9" t="n"/>
    </row>
    <row r="631">
      <c r="A631" s="9" t="n"/>
      <c r="B631" s="70" t="n"/>
      <c r="C631" s="9" t="n"/>
      <c r="D631" s="9" t="n"/>
      <c r="E631" s="9" t="n"/>
      <c r="F631" s="9" t="n"/>
      <c r="G631" s="9" t="n"/>
      <c r="H631" s="71" t="n"/>
      <c r="I631" s="9" t="n"/>
      <c r="J631" s="89">
        <f>IF(H631="","",IF(I631="Sí",ROUND(H631*Configuracion!$B$11,0),0))</f>
        <v/>
      </c>
      <c r="K631" s="89">
        <f>IF(H631="","",H631+J631)</f>
        <v/>
      </c>
      <c r="L631" s="13">
        <f>IF(B631="","",YEAR(B631))</f>
        <v/>
      </c>
      <c r="M631" s="13">
        <f>IF(B631="","",MONTH(B631))</f>
        <v/>
      </c>
      <c r="N631" s="9" t="n"/>
      <c r="O631" s="9" t="n"/>
      <c r="P631" s="9" t="n"/>
      <c r="Q631" s="9" t="n"/>
    </row>
    <row r="632">
      <c r="A632" s="9" t="n"/>
      <c r="B632" s="70" t="n"/>
      <c r="C632" s="9" t="n"/>
      <c r="D632" s="9" t="n"/>
      <c r="E632" s="9" t="n"/>
      <c r="F632" s="9" t="n"/>
      <c r="G632" s="9" t="n"/>
      <c r="H632" s="71" t="n"/>
      <c r="I632" s="9" t="n"/>
      <c r="J632" s="89">
        <f>IF(H632="","",IF(I632="Sí",ROUND(H632*Configuracion!$B$11,0),0))</f>
        <v/>
      </c>
      <c r="K632" s="89">
        <f>IF(H632="","",H632+J632)</f>
        <v/>
      </c>
      <c r="L632" s="13">
        <f>IF(B632="","",YEAR(B632))</f>
        <v/>
      </c>
      <c r="M632" s="13">
        <f>IF(B632="","",MONTH(B632))</f>
        <v/>
      </c>
      <c r="N632" s="9" t="n"/>
      <c r="O632" s="9" t="n"/>
      <c r="P632" s="9" t="n"/>
      <c r="Q632" s="9" t="n"/>
    </row>
    <row r="633">
      <c r="A633" s="9" t="n"/>
      <c r="B633" s="70" t="n"/>
      <c r="C633" s="9" t="n"/>
      <c r="D633" s="9" t="n"/>
      <c r="E633" s="9" t="n"/>
      <c r="F633" s="9" t="n"/>
      <c r="G633" s="9" t="n"/>
      <c r="H633" s="71" t="n"/>
      <c r="I633" s="9" t="n"/>
      <c r="J633" s="89">
        <f>IF(H633="","",IF(I633="Sí",ROUND(H633*Configuracion!$B$11,0),0))</f>
        <v/>
      </c>
      <c r="K633" s="89">
        <f>IF(H633="","",H633+J633)</f>
        <v/>
      </c>
      <c r="L633" s="13">
        <f>IF(B633="","",YEAR(B633))</f>
        <v/>
      </c>
      <c r="M633" s="13">
        <f>IF(B633="","",MONTH(B633))</f>
        <v/>
      </c>
      <c r="N633" s="9" t="n"/>
      <c r="O633" s="9" t="n"/>
      <c r="P633" s="9" t="n"/>
      <c r="Q633" s="9" t="n"/>
    </row>
    <row r="634">
      <c r="A634" s="9" t="n"/>
      <c r="B634" s="70" t="n"/>
      <c r="C634" s="9" t="n"/>
      <c r="D634" s="9" t="n"/>
      <c r="E634" s="9" t="n"/>
      <c r="F634" s="9" t="n"/>
      <c r="G634" s="9" t="n"/>
      <c r="H634" s="71" t="n"/>
      <c r="I634" s="9" t="n"/>
      <c r="J634" s="89">
        <f>IF(H634="","",IF(I634="Sí",ROUND(H634*Configuracion!$B$11,0),0))</f>
        <v/>
      </c>
      <c r="K634" s="89">
        <f>IF(H634="","",H634+J634)</f>
        <v/>
      </c>
      <c r="L634" s="13">
        <f>IF(B634="","",YEAR(B634))</f>
        <v/>
      </c>
      <c r="M634" s="13">
        <f>IF(B634="","",MONTH(B634))</f>
        <v/>
      </c>
      <c r="N634" s="9" t="n"/>
      <c r="O634" s="9" t="n"/>
      <c r="P634" s="9" t="n"/>
      <c r="Q634" s="9" t="n"/>
    </row>
    <row r="635">
      <c r="A635" s="9" t="n"/>
      <c r="B635" s="70" t="n"/>
      <c r="C635" s="9" t="n"/>
      <c r="D635" s="9" t="n"/>
      <c r="E635" s="9" t="n"/>
      <c r="F635" s="9" t="n"/>
      <c r="G635" s="9" t="n"/>
      <c r="H635" s="71" t="n"/>
      <c r="I635" s="9" t="n"/>
      <c r="J635" s="89">
        <f>IF(H635="","",IF(I635="Sí",ROUND(H635*Configuracion!$B$11,0),0))</f>
        <v/>
      </c>
      <c r="K635" s="89">
        <f>IF(H635="","",H635+J635)</f>
        <v/>
      </c>
      <c r="L635" s="13">
        <f>IF(B635="","",YEAR(B635))</f>
        <v/>
      </c>
      <c r="M635" s="13">
        <f>IF(B635="","",MONTH(B635))</f>
        <v/>
      </c>
      <c r="N635" s="9" t="n"/>
      <c r="O635" s="9" t="n"/>
      <c r="P635" s="9" t="n"/>
      <c r="Q635" s="9" t="n"/>
    </row>
    <row r="636">
      <c r="A636" s="9" t="n"/>
      <c r="B636" s="70" t="n"/>
      <c r="C636" s="9" t="n"/>
      <c r="D636" s="9" t="n"/>
      <c r="E636" s="9" t="n"/>
      <c r="F636" s="9" t="n"/>
      <c r="G636" s="9" t="n"/>
      <c r="H636" s="71" t="n"/>
      <c r="I636" s="9" t="n"/>
      <c r="J636" s="89">
        <f>IF(H636="","",IF(I636="Sí",ROUND(H636*Configuracion!$B$11,0),0))</f>
        <v/>
      </c>
      <c r="K636" s="89">
        <f>IF(H636="","",H636+J636)</f>
        <v/>
      </c>
      <c r="L636" s="13">
        <f>IF(B636="","",YEAR(B636))</f>
        <v/>
      </c>
      <c r="M636" s="13">
        <f>IF(B636="","",MONTH(B636))</f>
        <v/>
      </c>
      <c r="N636" s="9" t="n"/>
      <c r="O636" s="9" t="n"/>
      <c r="P636" s="9" t="n"/>
      <c r="Q636" s="9" t="n"/>
    </row>
    <row r="637">
      <c r="A637" s="9" t="n"/>
      <c r="B637" s="70" t="n"/>
      <c r="C637" s="9" t="n"/>
      <c r="D637" s="9" t="n"/>
      <c r="E637" s="9" t="n"/>
      <c r="F637" s="9" t="n"/>
      <c r="G637" s="9" t="n"/>
      <c r="H637" s="71" t="n"/>
      <c r="I637" s="9" t="n"/>
      <c r="J637" s="89">
        <f>IF(H637="","",IF(I637="Sí",ROUND(H637*Configuracion!$B$11,0),0))</f>
        <v/>
      </c>
      <c r="K637" s="89">
        <f>IF(H637="","",H637+J637)</f>
        <v/>
      </c>
      <c r="L637" s="13">
        <f>IF(B637="","",YEAR(B637))</f>
        <v/>
      </c>
      <c r="M637" s="13">
        <f>IF(B637="","",MONTH(B637))</f>
        <v/>
      </c>
      <c r="N637" s="9" t="n"/>
      <c r="O637" s="9" t="n"/>
      <c r="P637" s="9" t="n"/>
      <c r="Q637" s="9" t="n"/>
    </row>
    <row r="638">
      <c r="A638" s="9" t="n"/>
      <c r="B638" s="70" t="n"/>
      <c r="C638" s="9" t="n"/>
      <c r="D638" s="9" t="n"/>
      <c r="E638" s="9" t="n"/>
      <c r="F638" s="9" t="n"/>
      <c r="G638" s="9" t="n"/>
      <c r="H638" s="71" t="n"/>
      <c r="I638" s="9" t="n"/>
      <c r="J638" s="89">
        <f>IF(H638="","",IF(I638="Sí",ROUND(H638*Configuracion!$B$11,0),0))</f>
        <v/>
      </c>
      <c r="K638" s="89">
        <f>IF(H638="","",H638+J638)</f>
        <v/>
      </c>
      <c r="L638" s="13">
        <f>IF(B638="","",YEAR(B638))</f>
        <v/>
      </c>
      <c r="M638" s="13">
        <f>IF(B638="","",MONTH(B638))</f>
        <v/>
      </c>
      <c r="N638" s="9" t="n"/>
      <c r="O638" s="9" t="n"/>
      <c r="P638" s="9" t="n"/>
      <c r="Q638" s="9" t="n"/>
    </row>
    <row r="639">
      <c r="A639" s="9" t="n"/>
      <c r="B639" s="70" t="n"/>
      <c r="C639" s="9" t="n"/>
      <c r="D639" s="9" t="n"/>
      <c r="E639" s="9" t="n"/>
      <c r="F639" s="9" t="n"/>
      <c r="G639" s="9" t="n"/>
      <c r="H639" s="71" t="n"/>
      <c r="I639" s="9" t="n"/>
      <c r="J639" s="89">
        <f>IF(H639="","",IF(I639="Sí",ROUND(H639*Configuracion!$B$11,0),0))</f>
        <v/>
      </c>
      <c r="K639" s="89">
        <f>IF(H639="","",H639+J639)</f>
        <v/>
      </c>
      <c r="L639" s="13">
        <f>IF(B639="","",YEAR(B639))</f>
        <v/>
      </c>
      <c r="M639" s="13">
        <f>IF(B639="","",MONTH(B639))</f>
        <v/>
      </c>
      <c r="N639" s="9" t="n"/>
      <c r="O639" s="9" t="n"/>
      <c r="P639" s="9" t="n"/>
      <c r="Q639" s="9" t="n"/>
    </row>
    <row r="640">
      <c r="A640" s="9" t="n"/>
      <c r="B640" s="70" t="n"/>
      <c r="C640" s="9" t="n"/>
      <c r="D640" s="9" t="n"/>
      <c r="E640" s="9" t="n"/>
      <c r="F640" s="9" t="n"/>
      <c r="G640" s="9" t="n"/>
      <c r="H640" s="71" t="n"/>
      <c r="I640" s="9" t="n"/>
      <c r="J640" s="89">
        <f>IF(H640="","",IF(I640="Sí",ROUND(H640*Configuracion!$B$11,0),0))</f>
        <v/>
      </c>
      <c r="K640" s="89">
        <f>IF(H640="","",H640+J640)</f>
        <v/>
      </c>
      <c r="L640" s="13">
        <f>IF(B640="","",YEAR(B640))</f>
        <v/>
      </c>
      <c r="M640" s="13">
        <f>IF(B640="","",MONTH(B640))</f>
        <v/>
      </c>
      <c r="N640" s="9" t="n"/>
      <c r="O640" s="9" t="n"/>
      <c r="P640" s="9" t="n"/>
      <c r="Q640" s="9" t="n"/>
    </row>
    <row r="641">
      <c r="A641" s="9" t="n"/>
      <c r="B641" s="70" t="n"/>
      <c r="C641" s="9" t="n"/>
      <c r="D641" s="9" t="n"/>
      <c r="E641" s="9" t="n"/>
      <c r="F641" s="9" t="n"/>
      <c r="G641" s="9" t="n"/>
      <c r="H641" s="71" t="n"/>
      <c r="I641" s="9" t="n"/>
      <c r="J641" s="89">
        <f>IF(H641="","",IF(I641="Sí",ROUND(H641*Configuracion!$B$11,0),0))</f>
        <v/>
      </c>
      <c r="K641" s="89">
        <f>IF(H641="","",H641+J641)</f>
        <v/>
      </c>
      <c r="L641" s="13">
        <f>IF(B641="","",YEAR(B641))</f>
        <v/>
      </c>
      <c r="M641" s="13">
        <f>IF(B641="","",MONTH(B641))</f>
        <v/>
      </c>
      <c r="N641" s="9" t="n"/>
      <c r="O641" s="9" t="n"/>
      <c r="P641" s="9" t="n"/>
      <c r="Q641" s="9" t="n"/>
    </row>
    <row r="642">
      <c r="A642" s="9" t="n"/>
      <c r="B642" s="70" t="n"/>
      <c r="C642" s="9" t="n"/>
      <c r="D642" s="9" t="n"/>
      <c r="E642" s="9" t="n"/>
      <c r="F642" s="9" t="n"/>
      <c r="G642" s="9" t="n"/>
      <c r="H642" s="71" t="n"/>
      <c r="I642" s="9" t="n"/>
      <c r="J642" s="89">
        <f>IF(H642="","",IF(I642="Sí",ROUND(H642*Configuracion!$B$11,0),0))</f>
        <v/>
      </c>
      <c r="K642" s="89">
        <f>IF(H642="","",H642+J642)</f>
        <v/>
      </c>
      <c r="L642" s="13">
        <f>IF(B642="","",YEAR(B642))</f>
        <v/>
      </c>
      <c r="M642" s="13">
        <f>IF(B642="","",MONTH(B642))</f>
        <v/>
      </c>
      <c r="N642" s="9" t="n"/>
      <c r="O642" s="9" t="n"/>
      <c r="P642" s="9" t="n"/>
      <c r="Q642" s="9" t="n"/>
    </row>
    <row r="643">
      <c r="A643" s="9" t="n"/>
      <c r="B643" s="70" t="n"/>
      <c r="C643" s="9" t="n"/>
      <c r="D643" s="9" t="n"/>
      <c r="E643" s="9" t="n"/>
      <c r="F643" s="9" t="n"/>
      <c r="G643" s="9" t="n"/>
      <c r="H643" s="71" t="n"/>
      <c r="I643" s="9" t="n"/>
      <c r="J643" s="89">
        <f>IF(H643="","",IF(I643="Sí",ROUND(H643*Configuracion!$B$11,0),0))</f>
        <v/>
      </c>
      <c r="K643" s="89">
        <f>IF(H643="","",H643+J643)</f>
        <v/>
      </c>
      <c r="L643" s="13">
        <f>IF(B643="","",YEAR(B643))</f>
        <v/>
      </c>
      <c r="M643" s="13">
        <f>IF(B643="","",MONTH(B643))</f>
        <v/>
      </c>
      <c r="N643" s="9" t="n"/>
      <c r="O643" s="9" t="n"/>
      <c r="P643" s="9" t="n"/>
      <c r="Q643" s="9" t="n"/>
    </row>
    <row r="644">
      <c r="A644" s="9" t="n"/>
      <c r="B644" s="70" t="n"/>
      <c r="C644" s="9" t="n"/>
      <c r="D644" s="9" t="n"/>
      <c r="E644" s="9" t="n"/>
      <c r="F644" s="9" t="n"/>
      <c r="G644" s="9" t="n"/>
      <c r="H644" s="71" t="n"/>
      <c r="I644" s="9" t="n"/>
      <c r="J644" s="89">
        <f>IF(H644="","",IF(I644="Sí",ROUND(H644*Configuracion!$B$11,0),0))</f>
        <v/>
      </c>
      <c r="K644" s="89">
        <f>IF(H644="","",H644+J644)</f>
        <v/>
      </c>
      <c r="L644" s="13">
        <f>IF(B644="","",YEAR(B644))</f>
        <v/>
      </c>
      <c r="M644" s="13">
        <f>IF(B644="","",MONTH(B644))</f>
        <v/>
      </c>
      <c r="N644" s="9" t="n"/>
      <c r="O644" s="9" t="n"/>
      <c r="P644" s="9" t="n"/>
      <c r="Q644" s="9" t="n"/>
    </row>
    <row r="645">
      <c r="A645" s="9" t="n"/>
      <c r="B645" s="70" t="n"/>
      <c r="C645" s="9" t="n"/>
      <c r="D645" s="9" t="n"/>
      <c r="E645" s="9" t="n"/>
      <c r="F645" s="9" t="n"/>
      <c r="G645" s="9" t="n"/>
      <c r="H645" s="71" t="n"/>
      <c r="I645" s="9" t="n"/>
      <c r="J645" s="89">
        <f>IF(H645="","",IF(I645="Sí",ROUND(H645*Configuracion!$B$11,0),0))</f>
        <v/>
      </c>
      <c r="K645" s="89">
        <f>IF(H645="","",H645+J645)</f>
        <v/>
      </c>
      <c r="L645" s="13">
        <f>IF(B645="","",YEAR(B645))</f>
        <v/>
      </c>
      <c r="M645" s="13">
        <f>IF(B645="","",MONTH(B645))</f>
        <v/>
      </c>
      <c r="N645" s="9" t="n"/>
      <c r="O645" s="9" t="n"/>
      <c r="P645" s="9" t="n"/>
      <c r="Q645" s="9" t="n"/>
    </row>
    <row r="646">
      <c r="A646" s="9" t="n"/>
      <c r="B646" s="70" t="n"/>
      <c r="C646" s="9" t="n"/>
      <c r="D646" s="9" t="n"/>
      <c r="E646" s="9" t="n"/>
      <c r="F646" s="9" t="n"/>
      <c r="G646" s="9" t="n"/>
      <c r="H646" s="71" t="n"/>
      <c r="I646" s="9" t="n"/>
      <c r="J646" s="89">
        <f>IF(H646="","",IF(I646="Sí",ROUND(H646*Configuracion!$B$11,0),0))</f>
        <v/>
      </c>
      <c r="K646" s="89">
        <f>IF(H646="","",H646+J646)</f>
        <v/>
      </c>
      <c r="L646" s="13">
        <f>IF(B646="","",YEAR(B646))</f>
        <v/>
      </c>
      <c r="M646" s="13">
        <f>IF(B646="","",MONTH(B646))</f>
        <v/>
      </c>
      <c r="N646" s="9" t="n"/>
      <c r="O646" s="9" t="n"/>
      <c r="P646" s="9" t="n"/>
      <c r="Q646" s="9" t="n"/>
    </row>
    <row r="647">
      <c r="A647" s="9" t="n"/>
      <c r="B647" s="70" t="n"/>
      <c r="C647" s="9" t="n"/>
      <c r="D647" s="9" t="n"/>
      <c r="E647" s="9" t="n"/>
      <c r="F647" s="9" t="n"/>
      <c r="G647" s="9" t="n"/>
      <c r="H647" s="71" t="n"/>
      <c r="I647" s="9" t="n"/>
      <c r="J647" s="89">
        <f>IF(H647="","",IF(I647="Sí",ROUND(H647*Configuracion!$B$11,0),0))</f>
        <v/>
      </c>
      <c r="K647" s="89">
        <f>IF(H647="","",H647+J647)</f>
        <v/>
      </c>
      <c r="L647" s="13">
        <f>IF(B647="","",YEAR(B647))</f>
        <v/>
      </c>
      <c r="M647" s="13">
        <f>IF(B647="","",MONTH(B647))</f>
        <v/>
      </c>
      <c r="N647" s="9" t="n"/>
      <c r="O647" s="9" t="n"/>
      <c r="P647" s="9" t="n"/>
      <c r="Q647" s="9" t="n"/>
    </row>
    <row r="648">
      <c r="A648" s="9" t="n"/>
      <c r="B648" s="70" t="n"/>
      <c r="C648" s="9" t="n"/>
      <c r="D648" s="9" t="n"/>
      <c r="E648" s="9" t="n"/>
      <c r="F648" s="9" t="n"/>
      <c r="G648" s="9" t="n"/>
      <c r="H648" s="71" t="n"/>
      <c r="I648" s="9" t="n"/>
      <c r="J648" s="89">
        <f>IF(H648="","",IF(I648="Sí",ROUND(H648*Configuracion!$B$11,0),0))</f>
        <v/>
      </c>
      <c r="K648" s="89">
        <f>IF(H648="","",H648+J648)</f>
        <v/>
      </c>
      <c r="L648" s="13">
        <f>IF(B648="","",YEAR(B648))</f>
        <v/>
      </c>
      <c r="M648" s="13">
        <f>IF(B648="","",MONTH(B648))</f>
        <v/>
      </c>
      <c r="N648" s="9" t="n"/>
      <c r="O648" s="9" t="n"/>
      <c r="P648" s="9" t="n"/>
      <c r="Q648" s="9" t="n"/>
    </row>
    <row r="649">
      <c r="A649" s="9" t="n"/>
      <c r="B649" s="70" t="n"/>
      <c r="C649" s="9" t="n"/>
      <c r="D649" s="9" t="n"/>
      <c r="E649" s="9" t="n"/>
      <c r="F649" s="9" t="n"/>
      <c r="G649" s="9" t="n"/>
      <c r="H649" s="71" t="n"/>
      <c r="I649" s="9" t="n"/>
      <c r="J649" s="89">
        <f>IF(H649="","",IF(I649="Sí",ROUND(H649*Configuracion!$B$11,0),0))</f>
        <v/>
      </c>
      <c r="K649" s="89">
        <f>IF(H649="","",H649+J649)</f>
        <v/>
      </c>
      <c r="L649" s="13">
        <f>IF(B649="","",YEAR(B649))</f>
        <v/>
      </c>
      <c r="M649" s="13">
        <f>IF(B649="","",MONTH(B649))</f>
        <v/>
      </c>
      <c r="N649" s="9" t="n"/>
      <c r="O649" s="9" t="n"/>
      <c r="P649" s="9" t="n"/>
      <c r="Q649" s="9" t="n"/>
    </row>
    <row r="650">
      <c r="A650" s="9" t="n"/>
      <c r="B650" s="70" t="n"/>
      <c r="C650" s="9" t="n"/>
      <c r="D650" s="9" t="n"/>
      <c r="E650" s="9" t="n"/>
      <c r="F650" s="9" t="n"/>
      <c r="G650" s="9" t="n"/>
      <c r="H650" s="71" t="n"/>
      <c r="I650" s="9" t="n"/>
      <c r="J650" s="89">
        <f>IF(H650="","",IF(I650="Sí",ROUND(H650*Configuracion!$B$11,0),0))</f>
        <v/>
      </c>
      <c r="K650" s="89">
        <f>IF(H650="","",H650+J650)</f>
        <v/>
      </c>
      <c r="L650" s="13">
        <f>IF(B650="","",YEAR(B650))</f>
        <v/>
      </c>
      <c r="M650" s="13">
        <f>IF(B650="","",MONTH(B650))</f>
        <v/>
      </c>
      <c r="N650" s="9" t="n"/>
      <c r="O650" s="9" t="n"/>
      <c r="P650" s="9" t="n"/>
      <c r="Q650" s="9" t="n"/>
    </row>
    <row r="651">
      <c r="A651" s="9" t="n"/>
      <c r="B651" s="70" t="n"/>
      <c r="C651" s="9" t="n"/>
      <c r="D651" s="9" t="n"/>
      <c r="E651" s="9" t="n"/>
      <c r="F651" s="9" t="n"/>
      <c r="G651" s="9" t="n"/>
      <c r="H651" s="71" t="n"/>
      <c r="I651" s="9" t="n"/>
      <c r="J651" s="89">
        <f>IF(H651="","",IF(I651="Sí",ROUND(H651*Configuracion!$B$11,0),0))</f>
        <v/>
      </c>
      <c r="K651" s="89">
        <f>IF(H651="","",H651+J651)</f>
        <v/>
      </c>
      <c r="L651" s="13">
        <f>IF(B651="","",YEAR(B651))</f>
        <v/>
      </c>
      <c r="M651" s="13">
        <f>IF(B651="","",MONTH(B651))</f>
        <v/>
      </c>
      <c r="N651" s="9" t="n"/>
      <c r="O651" s="9" t="n"/>
      <c r="P651" s="9" t="n"/>
      <c r="Q651" s="9" t="n"/>
    </row>
    <row r="652">
      <c r="A652" s="9" t="n"/>
      <c r="B652" s="70" t="n"/>
      <c r="C652" s="9" t="n"/>
      <c r="D652" s="9" t="n"/>
      <c r="E652" s="9" t="n"/>
      <c r="F652" s="9" t="n"/>
      <c r="G652" s="9" t="n"/>
      <c r="H652" s="71" t="n"/>
      <c r="I652" s="9" t="n"/>
      <c r="J652" s="89">
        <f>IF(H652="","",IF(I652="Sí",ROUND(H652*Configuracion!$B$11,0),0))</f>
        <v/>
      </c>
      <c r="K652" s="89">
        <f>IF(H652="","",H652+J652)</f>
        <v/>
      </c>
      <c r="L652" s="13">
        <f>IF(B652="","",YEAR(B652))</f>
        <v/>
      </c>
      <c r="M652" s="13">
        <f>IF(B652="","",MONTH(B652))</f>
        <v/>
      </c>
      <c r="N652" s="9" t="n"/>
      <c r="O652" s="9" t="n"/>
      <c r="P652" s="9" t="n"/>
      <c r="Q652" s="9" t="n"/>
    </row>
    <row r="653">
      <c r="A653" s="9" t="n"/>
      <c r="B653" s="70" t="n"/>
      <c r="C653" s="9" t="n"/>
      <c r="D653" s="9" t="n"/>
      <c r="E653" s="9" t="n"/>
      <c r="F653" s="9" t="n"/>
      <c r="G653" s="9" t="n"/>
      <c r="H653" s="71" t="n"/>
      <c r="I653" s="9" t="n"/>
      <c r="J653" s="89">
        <f>IF(H653="","",IF(I653="Sí",ROUND(H653*Configuracion!$B$11,0),0))</f>
        <v/>
      </c>
      <c r="K653" s="89">
        <f>IF(H653="","",H653+J653)</f>
        <v/>
      </c>
      <c r="L653" s="13">
        <f>IF(B653="","",YEAR(B653))</f>
        <v/>
      </c>
      <c r="M653" s="13">
        <f>IF(B653="","",MONTH(B653))</f>
        <v/>
      </c>
      <c r="N653" s="9" t="n"/>
      <c r="O653" s="9" t="n"/>
      <c r="P653" s="9" t="n"/>
      <c r="Q653" s="9" t="n"/>
    </row>
    <row r="654">
      <c r="A654" s="9" t="n"/>
      <c r="B654" s="70" t="n"/>
      <c r="C654" s="9" t="n"/>
      <c r="D654" s="9" t="n"/>
      <c r="E654" s="9" t="n"/>
      <c r="F654" s="9" t="n"/>
      <c r="G654" s="9" t="n"/>
      <c r="H654" s="71" t="n"/>
      <c r="I654" s="9" t="n"/>
      <c r="J654" s="89">
        <f>IF(H654="","",IF(I654="Sí",ROUND(H654*Configuracion!$B$11,0),0))</f>
        <v/>
      </c>
      <c r="K654" s="89">
        <f>IF(H654="","",H654+J654)</f>
        <v/>
      </c>
      <c r="L654" s="13">
        <f>IF(B654="","",YEAR(B654))</f>
        <v/>
      </c>
      <c r="M654" s="13">
        <f>IF(B654="","",MONTH(B654))</f>
        <v/>
      </c>
      <c r="N654" s="9" t="n"/>
      <c r="O654" s="9" t="n"/>
      <c r="P654" s="9" t="n"/>
      <c r="Q654" s="9" t="n"/>
    </row>
    <row r="655">
      <c r="A655" s="9" t="n"/>
      <c r="B655" s="70" t="n"/>
      <c r="C655" s="9" t="n"/>
      <c r="D655" s="9" t="n"/>
      <c r="E655" s="9" t="n"/>
      <c r="F655" s="9" t="n"/>
      <c r="G655" s="9" t="n"/>
      <c r="H655" s="71" t="n"/>
      <c r="I655" s="9" t="n"/>
      <c r="J655" s="89">
        <f>IF(H655="","",IF(I655="Sí",ROUND(H655*Configuracion!$B$11,0),0))</f>
        <v/>
      </c>
      <c r="K655" s="89">
        <f>IF(H655="","",H655+J655)</f>
        <v/>
      </c>
      <c r="L655" s="13">
        <f>IF(B655="","",YEAR(B655))</f>
        <v/>
      </c>
      <c r="M655" s="13">
        <f>IF(B655="","",MONTH(B655))</f>
        <v/>
      </c>
      <c r="N655" s="9" t="n"/>
      <c r="O655" s="9" t="n"/>
      <c r="P655" s="9" t="n"/>
      <c r="Q655" s="9" t="n"/>
    </row>
    <row r="656">
      <c r="A656" s="9" t="n"/>
      <c r="B656" s="70" t="n"/>
      <c r="C656" s="9" t="n"/>
      <c r="D656" s="9" t="n"/>
      <c r="E656" s="9" t="n"/>
      <c r="F656" s="9" t="n"/>
      <c r="G656" s="9" t="n"/>
      <c r="H656" s="71" t="n"/>
      <c r="I656" s="9" t="n"/>
      <c r="J656" s="89">
        <f>IF(H656="","",IF(I656="Sí",ROUND(H656*Configuracion!$B$11,0),0))</f>
        <v/>
      </c>
      <c r="K656" s="89">
        <f>IF(H656="","",H656+J656)</f>
        <v/>
      </c>
      <c r="L656" s="13">
        <f>IF(B656="","",YEAR(B656))</f>
        <v/>
      </c>
      <c r="M656" s="13">
        <f>IF(B656="","",MONTH(B656))</f>
        <v/>
      </c>
      <c r="N656" s="9" t="n"/>
      <c r="O656" s="9" t="n"/>
      <c r="P656" s="9" t="n"/>
      <c r="Q656" s="9" t="n"/>
    </row>
    <row r="657">
      <c r="A657" s="9" t="n"/>
      <c r="B657" s="70" t="n"/>
      <c r="C657" s="9" t="n"/>
      <c r="D657" s="9" t="n"/>
      <c r="E657" s="9" t="n"/>
      <c r="F657" s="9" t="n"/>
      <c r="G657" s="9" t="n"/>
      <c r="H657" s="71" t="n"/>
      <c r="I657" s="9" t="n"/>
      <c r="J657" s="89">
        <f>IF(H657="","",IF(I657="Sí",ROUND(H657*Configuracion!$B$11,0),0))</f>
        <v/>
      </c>
      <c r="K657" s="89">
        <f>IF(H657="","",H657+J657)</f>
        <v/>
      </c>
      <c r="L657" s="13">
        <f>IF(B657="","",YEAR(B657))</f>
        <v/>
      </c>
      <c r="M657" s="13">
        <f>IF(B657="","",MONTH(B657))</f>
        <v/>
      </c>
      <c r="N657" s="9" t="n"/>
      <c r="O657" s="9" t="n"/>
      <c r="P657" s="9" t="n"/>
      <c r="Q657" s="9" t="n"/>
    </row>
    <row r="658">
      <c r="A658" s="9" t="n"/>
      <c r="B658" s="70" t="n"/>
      <c r="C658" s="9" t="n"/>
      <c r="D658" s="9" t="n"/>
      <c r="E658" s="9" t="n"/>
      <c r="F658" s="9" t="n"/>
      <c r="G658" s="9" t="n"/>
      <c r="H658" s="71" t="n"/>
      <c r="I658" s="9" t="n"/>
      <c r="J658" s="89">
        <f>IF(H658="","",IF(I658="Sí",ROUND(H658*Configuracion!$B$11,0),0))</f>
        <v/>
      </c>
      <c r="K658" s="89">
        <f>IF(H658="","",H658+J658)</f>
        <v/>
      </c>
      <c r="L658" s="13">
        <f>IF(B658="","",YEAR(B658))</f>
        <v/>
      </c>
      <c r="M658" s="13">
        <f>IF(B658="","",MONTH(B658))</f>
        <v/>
      </c>
      <c r="N658" s="9" t="n"/>
      <c r="O658" s="9" t="n"/>
      <c r="P658" s="9" t="n"/>
      <c r="Q658" s="9" t="n"/>
    </row>
    <row r="659">
      <c r="A659" s="9" t="n"/>
      <c r="B659" s="70" t="n"/>
      <c r="C659" s="9" t="n"/>
      <c r="D659" s="9" t="n"/>
      <c r="E659" s="9" t="n"/>
      <c r="F659" s="9" t="n"/>
      <c r="G659" s="9" t="n"/>
      <c r="H659" s="71" t="n"/>
      <c r="I659" s="9" t="n"/>
      <c r="J659" s="89">
        <f>IF(H659="","",IF(I659="Sí",ROUND(H659*Configuracion!$B$11,0),0))</f>
        <v/>
      </c>
      <c r="K659" s="89">
        <f>IF(H659="","",H659+J659)</f>
        <v/>
      </c>
      <c r="L659" s="13">
        <f>IF(B659="","",YEAR(B659))</f>
        <v/>
      </c>
      <c r="M659" s="13">
        <f>IF(B659="","",MONTH(B659))</f>
        <v/>
      </c>
      <c r="N659" s="9" t="n"/>
      <c r="O659" s="9" t="n"/>
      <c r="P659" s="9" t="n"/>
      <c r="Q659" s="9" t="n"/>
    </row>
    <row r="660">
      <c r="A660" s="9" t="n"/>
      <c r="B660" s="70" t="n"/>
      <c r="C660" s="9" t="n"/>
      <c r="D660" s="9" t="n"/>
      <c r="E660" s="9" t="n"/>
      <c r="F660" s="9" t="n"/>
      <c r="G660" s="9" t="n"/>
      <c r="H660" s="71" t="n"/>
      <c r="I660" s="9" t="n"/>
      <c r="J660" s="89">
        <f>IF(H660="","",IF(I660="Sí",ROUND(H660*Configuracion!$B$11,0),0))</f>
        <v/>
      </c>
      <c r="K660" s="89">
        <f>IF(H660="","",H660+J660)</f>
        <v/>
      </c>
      <c r="L660" s="13">
        <f>IF(B660="","",YEAR(B660))</f>
        <v/>
      </c>
      <c r="M660" s="13">
        <f>IF(B660="","",MONTH(B660))</f>
        <v/>
      </c>
      <c r="N660" s="9" t="n"/>
      <c r="O660" s="9" t="n"/>
      <c r="P660" s="9" t="n"/>
      <c r="Q660" s="9" t="n"/>
    </row>
    <row r="661">
      <c r="A661" s="9" t="n"/>
      <c r="B661" s="70" t="n"/>
      <c r="C661" s="9" t="n"/>
      <c r="D661" s="9" t="n"/>
      <c r="E661" s="9" t="n"/>
      <c r="F661" s="9" t="n"/>
      <c r="G661" s="9" t="n"/>
      <c r="H661" s="71" t="n"/>
      <c r="I661" s="9" t="n"/>
      <c r="J661" s="89">
        <f>IF(H661="","",IF(I661="Sí",ROUND(H661*Configuracion!$B$11,0),0))</f>
        <v/>
      </c>
      <c r="K661" s="89">
        <f>IF(H661="","",H661+J661)</f>
        <v/>
      </c>
      <c r="L661" s="13">
        <f>IF(B661="","",YEAR(B661))</f>
        <v/>
      </c>
      <c r="M661" s="13">
        <f>IF(B661="","",MONTH(B661))</f>
        <v/>
      </c>
      <c r="N661" s="9" t="n"/>
      <c r="O661" s="9" t="n"/>
      <c r="P661" s="9" t="n"/>
      <c r="Q661" s="9" t="n"/>
    </row>
    <row r="662">
      <c r="A662" s="9" t="n"/>
      <c r="B662" s="70" t="n"/>
      <c r="C662" s="9" t="n"/>
      <c r="D662" s="9" t="n"/>
      <c r="E662" s="9" t="n"/>
      <c r="F662" s="9" t="n"/>
      <c r="G662" s="9" t="n"/>
      <c r="H662" s="71" t="n"/>
      <c r="I662" s="9" t="n"/>
      <c r="J662" s="89">
        <f>IF(H662="","",IF(I662="Sí",ROUND(H662*Configuracion!$B$11,0),0))</f>
        <v/>
      </c>
      <c r="K662" s="89">
        <f>IF(H662="","",H662+J662)</f>
        <v/>
      </c>
      <c r="L662" s="13">
        <f>IF(B662="","",YEAR(B662))</f>
        <v/>
      </c>
      <c r="M662" s="13">
        <f>IF(B662="","",MONTH(B662))</f>
        <v/>
      </c>
      <c r="N662" s="9" t="n"/>
      <c r="O662" s="9" t="n"/>
      <c r="P662" s="9" t="n"/>
      <c r="Q662" s="9" t="n"/>
    </row>
    <row r="663">
      <c r="A663" s="9" t="n"/>
      <c r="B663" s="70" t="n"/>
      <c r="C663" s="9" t="n"/>
      <c r="D663" s="9" t="n"/>
      <c r="E663" s="9" t="n"/>
      <c r="F663" s="9" t="n"/>
      <c r="G663" s="9" t="n"/>
      <c r="H663" s="71" t="n"/>
      <c r="I663" s="9" t="n"/>
      <c r="J663" s="89">
        <f>IF(H663="","",IF(I663="Sí",ROUND(H663*Configuracion!$B$11,0),0))</f>
        <v/>
      </c>
      <c r="K663" s="89">
        <f>IF(H663="","",H663+J663)</f>
        <v/>
      </c>
      <c r="L663" s="13">
        <f>IF(B663="","",YEAR(B663))</f>
        <v/>
      </c>
      <c r="M663" s="13">
        <f>IF(B663="","",MONTH(B663))</f>
        <v/>
      </c>
      <c r="N663" s="9" t="n"/>
      <c r="O663" s="9" t="n"/>
      <c r="P663" s="9" t="n"/>
      <c r="Q663" s="9" t="n"/>
    </row>
    <row r="664">
      <c r="A664" s="9" t="n"/>
      <c r="B664" s="70" t="n"/>
      <c r="C664" s="9" t="n"/>
      <c r="D664" s="9" t="n"/>
      <c r="E664" s="9" t="n"/>
      <c r="F664" s="9" t="n"/>
      <c r="G664" s="9" t="n"/>
      <c r="H664" s="71" t="n"/>
      <c r="I664" s="9" t="n"/>
      <c r="J664" s="89">
        <f>IF(H664="","",IF(I664="Sí",ROUND(H664*Configuracion!$B$11,0),0))</f>
        <v/>
      </c>
      <c r="K664" s="89">
        <f>IF(H664="","",H664+J664)</f>
        <v/>
      </c>
      <c r="L664" s="13">
        <f>IF(B664="","",YEAR(B664))</f>
        <v/>
      </c>
      <c r="M664" s="13">
        <f>IF(B664="","",MONTH(B664))</f>
        <v/>
      </c>
      <c r="N664" s="9" t="n"/>
      <c r="O664" s="9" t="n"/>
      <c r="P664" s="9" t="n"/>
      <c r="Q664" s="9" t="n"/>
    </row>
    <row r="665">
      <c r="A665" s="9" t="n"/>
      <c r="B665" s="70" t="n"/>
      <c r="C665" s="9" t="n"/>
      <c r="D665" s="9" t="n"/>
      <c r="E665" s="9" t="n"/>
      <c r="F665" s="9" t="n"/>
      <c r="G665" s="9" t="n"/>
      <c r="H665" s="71" t="n"/>
      <c r="I665" s="9" t="n"/>
      <c r="J665" s="89">
        <f>IF(H665="","",IF(I665="Sí",ROUND(H665*Configuracion!$B$11,0),0))</f>
        <v/>
      </c>
      <c r="K665" s="89">
        <f>IF(H665="","",H665+J665)</f>
        <v/>
      </c>
      <c r="L665" s="13">
        <f>IF(B665="","",YEAR(B665))</f>
        <v/>
      </c>
      <c r="M665" s="13">
        <f>IF(B665="","",MONTH(B665))</f>
        <v/>
      </c>
      <c r="N665" s="9" t="n"/>
      <c r="O665" s="9" t="n"/>
      <c r="P665" s="9" t="n"/>
      <c r="Q665" s="9" t="n"/>
    </row>
    <row r="666">
      <c r="A666" s="9" t="n"/>
      <c r="B666" s="70" t="n"/>
      <c r="C666" s="9" t="n"/>
      <c r="D666" s="9" t="n"/>
      <c r="E666" s="9" t="n"/>
      <c r="F666" s="9" t="n"/>
      <c r="G666" s="9" t="n"/>
      <c r="H666" s="71" t="n"/>
      <c r="I666" s="9" t="n"/>
      <c r="J666" s="89">
        <f>IF(H666="","",IF(I666="Sí",ROUND(H666*Configuracion!$B$11,0),0))</f>
        <v/>
      </c>
      <c r="K666" s="89">
        <f>IF(H666="","",H666+J666)</f>
        <v/>
      </c>
      <c r="L666" s="13">
        <f>IF(B666="","",YEAR(B666))</f>
        <v/>
      </c>
      <c r="M666" s="13">
        <f>IF(B666="","",MONTH(B666))</f>
        <v/>
      </c>
      <c r="N666" s="9" t="n"/>
      <c r="O666" s="9" t="n"/>
      <c r="P666" s="9" t="n"/>
      <c r="Q666" s="9" t="n"/>
    </row>
    <row r="667">
      <c r="A667" s="9" t="n"/>
      <c r="B667" s="70" t="n"/>
      <c r="C667" s="9" t="n"/>
      <c r="D667" s="9" t="n"/>
      <c r="E667" s="9" t="n"/>
      <c r="F667" s="9" t="n"/>
      <c r="G667" s="9" t="n"/>
      <c r="H667" s="71" t="n"/>
      <c r="I667" s="9" t="n"/>
      <c r="J667" s="89">
        <f>IF(H667="","",IF(I667="Sí",ROUND(H667*Configuracion!$B$11,0),0))</f>
        <v/>
      </c>
      <c r="K667" s="89">
        <f>IF(H667="","",H667+J667)</f>
        <v/>
      </c>
      <c r="L667" s="13">
        <f>IF(B667="","",YEAR(B667))</f>
        <v/>
      </c>
      <c r="M667" s="13">
        <f>IF(B667="","",MONTH(B667))</f>
        <v/>
      </c>
      <c r="N667" s="9" t="n"/>
      <c r="O667" s="9" t="n"/>
      <c r="P667" s="9" t="n"/>
      <c r="Q667" s="9" t="n"/>
    </row>
    <row r="668">
      <c r="A668" s="9" t="n"/>
      <c r="B668" s="70" t="n"/>
      <c r="C668" s="9" t="n"/>
      <c r="D668" s="9" t="n"/>
      <c r="E668" s="9" t="n"/>
      <c r="F668" s="9" t="n"/>
      <c r="G668" s="9" t="n"/>
      <c r="H668" s="71" t="n"/>
      <c r="I668" s="9" t="n"/>
      <c r="J668" s="89">
        <f>IF(H668="","",IF(I668="Sí",ROUND(H668*Configuracion!$B$11,0),0))</f>
        <v/>
      </c>
      <c r="K668" s="89">
        <f>IF(H668="","",H668+J668)</f>
        <v/>
      </c>
      <c r="L668" s="13">
        <f>IF(B668="","",YEAR(B668))</f>
        <v/>
      </c>
      <c r="M668" s="13">
        <f>IF(B668="","",MONTH(B668))</f>
        <v/>
      </c>
      <c r="N668" s="9" t="n"/>
      <c r="O668" s="9" t="n"/>
      <c r="P668" s="9" t="n"/>
      <c r="Q668" s="9" t="n"/>
    </row>
    <row r="669">
      <c r="A669" s="9" t="n"/>
      <c r="B669" s="70" t="n"/>
      <c r="C669" s="9" t="n"/>
      <c r="D669" s="9" t="n"/>
      <c r="E669" s="9" t="n"/>
      <c r="F669" s="9" t="n"/>
      <c r="G669" s="9" t="n"/>
      <c r="H669" s="71" t="n"/>
      <c r="I669" s="9" t="n"/>
      <c r="J669" s="89">
        <f>IF(H669="","",IF(I669="Sí",ROUND(H669*Configuracion!$B$11,0),0))</f>
        <v/>
      </c>
      <c r="K669" s="89">
        <f>IF(H669="","",H669+J669)</f>
        <v/>
      </c>
      <c r="L669" s="13">
        <f>IF(B669="","",YEAR(B669))</f>
        <v/>
      </c>
      <c r="M669" s="13">
        <f>IF(B669="","",MONTH(B669))</f>
        <v/>
      </c>
      <c r="N669" s="9" t="n"/>
      <c r="O669" s="9" t="n"/>
      <c r="P669" s="9" t="n"/>
      <c r="Q669" s="9" t="n"/>
    </row>
    <row r="670">
      <c r="A670" s="9" t="n"/>
      <c r="B670" s="70" t="n"/>
      <c r="C670" s="9" t="n"/>
      <c r="D670" s="9" t="n"/>
      <c r="E670" s="9" t="n"/>
      <c r="F670" s="9" t="n"/>
      <c r="G670" s="9" t="n"/>
      <c r="H670" s="71" t="n"/>
      <c r="I670" s="9" t="n"/>
      <c r="J670" s="89">
        <f>IF(H670="","",IF(I670="Sí",ROUND(H670*Configuracion!$B$11,0),0))</f>
        <v/>
      </c>
      <c r="K670" s="89">
        <f>IF(H670="","",H670+J670)</f>
        <v/>
      </c>
      <c r="L670" s="13">
        <f>IF(B670="","",YEAR(B670))</f>
        <v/>
      </c>
      <c r="M670" s="13">
        <f>IF(B670="","",MONTH(B670))</f>
        <v/>
      </c>
      <c r="N670" s="9" t="n"/>
      <c r="O670" s="9" t="n"/>
      <c r="P670" s="9" t="n"/>
      <c r="Q670" s="9" t="n"/>
    </row>
    <row r="671">
      <c r="A671" s="9" t="n"/>
      <c r="B671" s="70" t="n"/>
      <c r="C671" s="9" t="n"/>
      <c r="D671" s="9" t="n"/>
      <c r="E671" s="9" t="n"/>
      <c r="F671" s="9" t="n"/>
      <c r="G671" s="9" t="n"/>
      <c r="H671" s="71" t="n"/>
      <c r="I671" s="9" t="n"/>
      <c r="J671" s="89">
        <f>IF(H671="","",IF(I671="Sí",ROUND(H671*Configuracion!$B$11,0),0))</f>
        <v/>
      </c>
      <c r="K671" s="89">
        <f>IF(H671="","",H671+J671)</f>
        <v/>
      </c>
      <c r="L671" s="13">
        <f>IF(B671="","",YEAR(B671))</f>
        <v/>
      </c>
      <c r="M671" s="13">
        <f>IF(B671="","",MONTH(B671))</f>
        <v/>
      </c>
      <c r="N671" s="9" t="n"/>
      <c r="O671" s="9" t="n"/>
      <c r="P671" s="9" t="n"/>
      <c r="Q671" s="9" t="n"/>
    </row>
    <row r="672">
      <c r="A672" s="9" t="n"/>
      <c r="B672" s="70" t="n"/>
      <c r="C672" s="9" t="n"/>
      <c r="D672" s="9" t="n"/>
      <c r="E672" s="9" t="n"/>
      <c r="F672" s="9" t="n"/>
      <c r="G672" s="9" t="n"/>
      <c r="H672" s="71" t="n"/>
      <c r="I672" s="9" t="n"/>
      <c r="J672" s="89">
        <f>IF(H672="","",IF(I672="Sí",ROUND(H672*Configuracion!$B$11,0),0))</f>
        <v/>
      </c>
      <c r="K672" s="89">
        <f>IF(H672="","",H672+J672)</f>
        <v/>
      </c>
      <c r="L672" s="13">
        <f>IF(B672="","",YEAR(B672))</f>
        <v/>
      </c>
      <c r="M672" s="13">
        <f>IF(B672="","",MONTH(B672))</f>
        <v/>
      </c>
      <c r="N672" s="9" t="n"/>
      <c r="O672" s="9" t="n"/>
      <c r="P672" s="9" t="n"/>
      <c r="Q672" s="9" t="n"/>
    </row>
    <row r="673">
      <c r="A673" s="9" t="n"/>
      <c r="B673" s="70" t="n"/>
      <c r="C673" s="9" t="n"/>
      <c r="D673" s="9" t="n"/>
      <c r="E673" s="9" t="n"/>
      <c r="F673" s="9" t="n"/>
      <c r="G673" s="9" t="n"/>
      <c r="H673" s="71" t="n"/>
      <c r="I673" s="9" t="n"/>
      <c r="J673" s="89">
        <f>IF(H673="","",IF(I673="Sí",ROUND(H673*Configuracion!$B$11,0),0))</f>
        <v/>
      </c>
      <c r="K673" s="89">
        <f>IF(H673="","",H673+J673)</f>
        <v/>
      </c>
      <c r="L673" s="13">
        <f>IF(B673="","",YEAR(B673))</f>
        <v/>
      </c>
      <c r="M673" s="13">
        <f>IF(B673="","",MONTH(B673))</f>
        <v/>
      </c>
      <c r="N673" s="9" t="n"/>
      <c r="O673" s="9" t="n"/>
      <c r="P673" s="9" t="n"/>
      <c r="Q673" s="9" t="n"/>
    </row>
    <row r="674">
      <c r="A674" s="9" t="n"/>
      <c r="B674" s="70" t="n"/>
      <c r="C674" s="9" t="n"/>
      <c r="D674" s="9" t="n"/>
      <c r="E674" s="9" t="n"/>
      <c r="F674" s="9" t="n"/>
      <c r="G674" s="9" t="n"/>
      <c r="H674" s="71" t="n"/>
      <c r="I674" s="9" t="n"/>
      <c r="J674" s="89">
        <f>IF(H674="","",IF(I674="Sí",ROUND(H674*Configuracion!$B$11,0),0))</f>
        <v/>
      </c>
      <c r="K674" s="89">
        <f>IF(H674="","",H674+J674)</f>
        <v/>
      </c>
      <c r="L674" s="13">
        <f>IF(B674="","",YEAR(B674))</f>
        <v/>
      </c>
      <c r="M674" s="13">
        <f>IF(B674="","",MONTH(B674))</f>
        <v/>
      </c>
      <c r="N674" s="9" t="n"/>
      <c r="O674" s="9" t="n"/>
      <c r="P674" s="9" t="n"/>
      <c r="Q674" s="9" t="n"/>
    </row>
    <row r="675">
      <c r="A675" s="9" t="n"/>
      <c r="B675" s="70" t="n"/>
      <c r="C675" s="9" t="n"/>
      <c r="D675" s="9" t="n"/>
      <c r="E675" s="9" t="n"/>
      <c r="F675" s="9" t="n"/>
      <c r="G675" s="9" t="n"/>
      <c r="H675" s="71" t="n"/>
      <c r="I675" s="9" t="n"/>
      <c r="J675" s="89">
        <f>IF(H675="","",IF(I675="Sí",ROUND(H675*Configuracion!$B$11,0),0))</f>
        <v/>
      </c>
      <c r="K675" s="89">
        <f>IF(H675="","",H675+J675)</f>
        <v/>
      </c>
      <c r="L675" s="13">
        <f>IF(B675="","",YEAR(B675))</f>
        <v/>
      </c>
      <c r="M675" s="13">
        <f>IF(B675="","",MONTH(B675))</f>
        <v/>
      </c>
      <c r="N675" s="9" t="n"/>
      <c r="O675" s="9" t="n"/>
      <c r="P675" s="9" t="n"/>
      <c r="Q675" s="9" t="n"/>
    </row>
    <row r="676">
      <c r="A676" s="9" t="n"/>
      <c r="B676" s="70" t="n"/>
      <c r="C676" s="9" t="n"/>
      <c r="D676" s="9" t="n"/>
      <c r="E676" s="9" t="n"/>
      <c r="F676" s="9" t="n"/>
      <c r="G676" s="9" t="n"/>
      <c r="H676" s="71" t="n"/>
      <c r="I676" s="9" t="n"/>
      <c r="J676" s="89">
        <f>IF(H676="","",IF(I676="Sí",ROUND(H676*Configuracion!$B$11,0),0))</f>
        <v/>
      </c>
      <c r="K676" s="89">
        <f>IF(H676="","",H676+J676)</f>
        <v/>
      </c>
      <c r="L676" s="13">
        <f>IF(B676="","",YEAR(B676))</f>
        <v/>
      </c>
      <c r="M676" s="13">
        <f>IF(B676="","",MONTH(B676))</f>
        <v/>
      </c>
      <c r="N676" s="9" t="n"/>
      <c r="O676" s="9" t="n"/>
      <c r="P676" s="9" t="n"/>
      <c r="Q676" s="9" t="n"/>
    </row>
    <row r="677">
      <c r="A677" s="9" t="n"/>
      <c r="B677" s="70" t="n"/>
      <c r="C677" s="9" t="n"/>
      <c r="D677" s="9" t="n"/>
      <c r="E677" s="9" t="n"/>
      <c r="F677" s="9" t="n"/>
      <c r="G677" s="9" t="n"/>
      <c r="H677" s="71" t="n"/>
      <c r="I677" s="9" t="n"/>
      <c r="J677" s="89">
        <f>IF(H677="","",IF(I677="Sí",ROUND(H677*Configuracion!$B$11,0),0))</f>
        <v/>
      </c>
      <c r="K677" s="89">
        <f>IF(H677="","",H677+J677)</f>
        <v/>
      </c>
      <c r="L677" s="13">
        <f>IF(B677="","",YEAR(B677))</f>
        <v/>
      </c>
      <c r="M677" s="13">
        <f>IF(B677="","",MONTH(B677))</f>
        <v/>
      </c>
      <c r="N677" s="9" t="n"/>
      <c r="O677" s="9" t="n"/>
      <c r="P677" s="9" t="n"/>
      <c r="Q677" s="9" t="n"/>
    </row>
    <row r="678">
      <c r="A678" s="9" t="n"/>
      <c r="B678" s="70" t="n"/>
      <c r="C678" s="9" t="n"/>
      <c r="D678" s="9" t="n"/>
      <c r="E678" s="9" t="n"/>
      <c r="F678" s="9" t="n"/>
      <c r="G678" s="9" t="n"/>
      <c r="H678" s="71" t="n"/>
      <c r="I678" s="9" t="n"/>
      <c r="J678" s="89">
        <f>IF(H678="","",IF(I678="Sí",ROUND(H678*Configuracion!$B$11,0),0))</f>
        <v/>
      </c>
      <c r="K678" s="89">
        <f>IF(H678="","",H678+J678)</f>
        <v/>
      </c>
      <c r="L678" s="13">
        <f>IF(B678="","",YEAR(B678))</f>
        <v/>
      </c>
      <c r="M678" s="13">
        <f>IF(B678="","",MONTH(B678))</f>
        <v/>
      </c>
      <c r="N678" s="9" t="n"/>
      <c r="O678" s="9" t="n"/>
      <c r="P678" s="9" t="n"/>
      <c r="Q678" s="9" t="n"/>
    </row>
    <row r="679">
      <c r="A679" s="9" t="n"/>
      <c r="B679" s="70" t="n"/>
      <c r="C679" s="9" t="n"/>
      <c r="D679" s="9" t="n"/>
      <c r="E679" s="9" t="n"/>
      <c r="F679" s="9" t="n"/>
      <c r="G679" s="9" t="n"/>
      <c r="H679" s="71" t="n"/>
      <c r="I679" s="9" t="n"/>
      <c r="J679" s="89">
        <f>IF(H679="","",IF(I679="Sí",ROUND(H679*Configuracion!$B$11,0),0))</f>
        <v/>
      </c>
      <c r="K679" s="89">
        <f>IF(H679="","",H679+J679)</f>
        <v/>
      </c>
      <c r="L679" s="13">
        <f>IF(B679="","",YEAR(B679))</f>
        <v/>
      </c>
      <c r="M679" s="13">
        <f>IF(B679="","",MONTH(B679))</f>
        <v/>
      </c>
      <c r="N679" s="9" t="n"/>
      <c r="O679" s="9" t="n"/>
      <c r="P679" s="9" t="n"/>
      <c r="Q679" s="9" t="n"/>
    </row>
    <row r="680">
      <c r="A680" s="9" t="n"/>
      <c r="B680" s="70" t="n"/>
      <c r="C680" s="9" t="n"/>
      <c r="D680" s="9" t="n"/>
      <c r="E680" s="9" t="n"/>
      <c r="F680" s="9" t="n"/>
      <c r="G680" s="9" t="n"/>
      <c r="H680" s="71" t="n"/>
      <c r="I680" s="9" t="n"/>
      <c r="J680" s="89">
        <f>IF(H680="","",IF(I680="Sí",ROUND(H680*Configuracion!$B$11,0),0))</f>
        <v/>
      </c>
      <c r="K680" s="89">
        <f>IF(H680="","",H680+J680)</f>
        <v/>
      </c>
      <c r="L680" s="13">
        <f>IF(B680="","",YEAR(B680))</f>
        <v/>
      </c>
      <c r="M680" s="13">
        <f>IF(B680="","",MONTH(B680))</f>
        <v/>
      </c>
      <c r="N680" s="9" t="n"/>
      <c r="O680" s="9" t="n"/>
      <c r="P680" s="9" t="n"/>
      <c r="Q680" s="9" t="n"/>
    </row>
    <row r="681">
      <c r="A681" s="9" t="n"/>
      <c r="B681" s="70" t="n"/>
      <c r="C681" s="9" t="n"/>
      <c r="D681" s="9" t="n"/>
      <c r="E681" s="9" t="n"/>
      <c r="F681" s="9" t="n"/>
      <c r="G681" s="9" t="n"/>
      <c r="H681" s="71" t="n"/>
      <c r="I681" s="9" t="n"/>
      <c r="J681" s="89">
        <f>IF(H681="","",IF(I681="Sí",ROUND(H681*Configuracion!$B$11,0),0))</f>
        <v/>
      </c>
      <c r="K681" s="89">
        <f>IF(H681="","",H681+J681)</f>
        <v/>
      </c>
      <c r="L681" s="13">
        <f>IF(B681="","",YEAR(B681))</f>
        <v/>
      </c>
      <c r="M681" s="13">
        <f>IF(B681="","",MONTH(B681))</f>
        <v/>
      </c>
      <c r="N681" s="9" t="n"/>
      <c r="O681" s="9" t="n"/>
      <c r="P681" s="9" t="n"/>
      <c r="Q681" s="9" t="n"/>
    </row>
    <row r="682">
      <c r="A682" s="9" t="n"/>
      <c r="B682" s="70" t="n"/>
      <c r="C682" s="9" t="n"/>
      <c r="D682" s="9" t="n"/>
      <c r="E682" s="9" t="n"/>
      <c r="F682" s="9" t="n"/>
      <c r="G682" s="9" t="n"/>
      <c r="H682" s="71" t="n"/>
      <c r="I682" s="9" t="n"/>
      <c r="J682" s="89">
        <f>IF(H682="","",IF(I682="Sí",ROUND(H682*Configuracion!$B$11,0),0))</f>
        <v/>
      </c>
      <c r="K682" s="89">
        <f>IF(H682="","",H682+J682)</f>
        <v/>
      </c>
      <c r="L682" s="13">
        <f>IF(B682="","",YEAR(B682))</f>
        <v/>
      </c>
      <c r="M682" s="13">
        <f>IF(B682="","",MONTH(B682))</f>
        <v/>
      </c>
      <c r="N682" s="9" t="n"/>
      <c r="O682" s="9" t="n"/>
      <c r="P682" s="9" t="n"/>
      <c r="Q682" s="9" t="n"/>
    </row>
    <row r="683">
      <c r="A683" s="9" t="n"/>
      <c r="B683" s="70" t="n"/>
      <c r="C683" s="9" t="n"/>
      <c r="D683" s="9" t="n"/>
      <c r="E683" s="9" t="n"/>
      <c r="F683" s="9" t="n"/>
      <c r="G683" s="9" t="n"/>
      <c r="H683" s="71" t="n"/>
      <c r="I683" s="9" t="n"/>
      <c r="J683" s="89">
        <f>IF(H683="","",IF(I683="Sí",ROUND(H683*Configuracion!$B$11,0),0))</f>
        <v/>
      </c>
      <c r="K683" s="89">
        <f>IF(H683="","",H683+J683)</f>
        <v/>
      </c>
      <c r="L683" s="13">
        <f>IF(B683="","",YEAR(B683))</f>
        <v/>
      </c>
      <c r="M683" s="13">
        <f>IF(B683="","",MONTH(B683))</f>
        <v/>
      </c>
      <c r="N683" s="9" t="n"/>
      <c r="O683" s="9" t="n"/>
      <c r="P683" s="9" t="n"/>
      <c r="Q683" s="9" t="n"/>
    </row>
    <row r="684">
      <c r="A684" s="9" t="n"/>
      <c r="B684" s="70" t="n"/>
      <c r="C684" s="9" t="n"/>
      <c r="D684" s="9" t="n"/>
      <c r="E684" s="9" t="n"/>
      <c r="F684" s="9" t="n"/>
      <c r="G684" s="9" t="n"/>
      <c r="H684" s="71" t="n"/>
      <c r="I684" s="9" t="n"/>
      <c r="J684" s="89">
        <f>IF(H684="","",IF(I684="Sí",ROUND(H684*Configuracion!$B$11,0),0))</f>
        <v/>
      </c>
      <c r="K684" s="89">
        <f>IF(H684="","",H684+J684)</f>
        <v/>
      </c>
      <c r="L684" s="13">
        <f>IF(B684="","",YEAR(B684))</f>
        <v/>
      </c>
      <c r="M684" s="13">
        <f>IF(B684="","",MONTH(B684))</f>
        <v/>
      </c>
      <c r="N684" s="9" t="n"/>
      <c r="O684" s="9" t="n"/>
      <c r="P684" s="9" t="n"/>
      <c r="Q684" s="9" t="n"/>
    </row>
    <row r="685">
      <c r="A685" s="9" t="n"/>
      <c r="B685" s="70" t="n"/>
      <c r="C685" s="9" t="n"/>
      <c r="D685" s="9" t="n"/>
      <c r="E685" s="9" t="n"/>
      <c r="F685" s="9" t="n"/>
      <c r="G685" s="9" t="n"/>
      <c r="H685" s="71" t="n"/>
      <c r="I685" s="9" t="n"/>
      <c r="J685" s="89">
        <f>IF(H685="","",IF(I685="Sí",ROUND(H685*Configuracion!$B$11,0),0))</f>
        <v/>
      </c>
      <c r="K685" s="89">
        <f>IF(H685="","",H685+J685)</f>
        <v/>
      </c>
      <c r="L685" s="13">
        <f>IF(B685="","",YEAR(B685))</f>
        <v/>
      </c>
      <c r="M685" s="13">
        <f>IF(B685="","",MONTH(B685))</f>
        <v/>
      </c>
      <c r="N685" s="9" t="n"/>
      <c r="O685" s="9" t="n"/>
      <c r="P685" s="9" t="n"/>
      <c r="Q685" s="9" t="n"/>
    </row>
    <row r="686">
      <c r="A686" s="9" t="n"/>
      <c r="B686" s="70" t="n"/>
      <c r="C686" s="9" t="n"/>
      <c r="D686" s="9" t="n"/>
      <c r="E686" s="9" t="n"/>
      <c r="F686" s="9" t="n"/>
      <c r="G686" s="9" t="n"/>
      <c r="H686" s="71" t="n"/>
      <c r="I686" s="9" t="n"/>
      <c r="J686" s="89">
        <f>IF(H686="","",IF(I686="Sí",ROUND(H686*Configuracion!$B$11,0),0))</f>
        <v/>
      </c>
      <c r="K686" s="89">
        <f>IF(H686="","",H686+J686)</f>
        <v/>
      </c>
      <c r="L686" s="13">
        <f>IF(B686="","",YEAR(B686))</f>
        <v/>
      </c>
      <c r="M686" s="13">
        <f>IF(B686="","",MONTH(B686))</f>
        <v/>
      </c>
      <c r="N686" s="9" t="n"/>
      <c r="O686" s="9" t="n"/>
      <c r="P686" s="9" t="n"/>
      <c r="Q686" s="9" t="n"/>
    </row>
    <row r="687">
      <c r="A687" s="9" t="n"/>
      <c r="B687" s="70" t="n"/>
      <c r="C687" s="9" t="n"/>
      <c r="D687" s="9" t="n"/>
      <c r="E687" s="9" t="n"/>
      <c r="F687" s="9" t="n"/>
      <c r="G687" s="9" t="n"/>
      <c r="H687" s="71" t="n"/>
      <c r="I687" s="9" t="n"/>
      <c r="J687" s="89">
        <f>IF(H687="","",IF(I687="Sí",ROUND(H687*Configuracion!$B$11,0),0))</f>
        <v/>
      </c>
      <c r="K687" s="89">
        <f>IF(H687="","",H687+J687)</f>
        <v/>
      </c>
      <c r="L687" s="13">
        <f>IF(B687="","",YEAR(B687))</f>
        <v/>
      </c>
      <c r="M687" s="13">
        <f>IF(B687="","",MONTH(B687))</f>
        <v/>
      </c>
      <c r="N687" s="9" t="n"/>
      <c r="O687" s="9" t="n"/>
      <c r="P687" s="9" t="n"/>
      <c r="Q687" s="9" t="n"/>
    </row>
    <row r="688">
      <c r="A688" s="9" t="n"/>
      <c r="B688" s="70" t="n"/>
      <c r="C688" s="9" t="n"/>
      <c r="D688" s="9" t="n"/>
      <c r="E688" s="9" t="n"/>
      <c r="F688" s="9" t="n"/>
      <c r="G688" s="9" t="n"/>
      <c r="H688" s="71" t="n"/>
      <c r="I688" s="9" t="n"/>
      <c r="J688" s="89">
        <f>IF(H688="","",IF(I688="Sí",ROUND(H688*Configuracion!$B$11,0),0))</f>
        <v/>
      </c>
      <c r="K688" s="89">
        <f>IF(H688="","",H688+J688)</f>
        <v/>
      </c>
      <c r="L688" s="13">
        <f>IF(B688="","",YEAR(B688))</f>
        <v/>
      </c>
      <c r="M688" s="13">
        <f>IF(B688="","",MONTH(B688))</f>
        <v/>
      </c>
      <c r="N688" s="9" t="n"/>
      <c r="O688" s="9" t="n"/>
      <c r="P688" s="9" t="n"/>
      <c r="Q688" s="9" t="n"/>
    </row>
    <row r="689">
      <c r="A689" s="9" t="n"/>
      <c r="B689" s="70" t="n"/>
      <c r="C689" s="9" t="n"/>
      <c r="D689" s="9" t="n"/>
      <c r="E689" s="9" t="n"/>
      <c r="F689" s="9" t="n"/>
      <c r="G689" s="9" t="n"/>
      <c r="H689" s="71" t="n"/>
      <c r="I689" s="9" t="n"/>
      <c r="J689" s="89">
        <f>IF(H689="","",IF(I689="Sí",ROUND(H689*Configuracion!$B$11,0),0))</f>
        <v/>
      </c>
      <c r="K689" s="89">
        <f>IF(H689="","",H689+J689)</f>
        <v/>
      </c>
      <c r="L689" s="13">
        <f>IF(B689="","",YEAR(B689))</f>
        <v/>
      </c>
      <c r="M689" s="13">
        <f>IF(B689="","",MONTH(B689))</f>
        <v/>
      </c>
      <c r="N689" s="9" t="n"/>
      <c r="O689" s="9" t="n"/>
      <c r="P689" s="9" t="n"/>
      <c r="Q689" s="9" t="n"/>
    </row>
    <row r="690">
      <c r="A690" s="9" t="n"/>
      <c r="B690" s="70" t="n"/>
      <c r="C690" s="9" t="n"/>
      <c r="D690" s="9" t="n"/>
      <c r="E690" s="9" t="n"/>
      <c r="F690" s="9" t="n"/>
      <c r="G690" s="9" t="n"/>
      <c r="H690" s="71" t="n"/>
      <c r="I690" s="9" t="n"/>
      <c r="J690" s="89">
        <f>IF(H690="","",IF(I690="Sí",ROUND(H690*Configuracion!$B$11,0),0))</f>
        <v/>
      </c>
      <c r="K690" s="89">
        <f>IF(H690="","",H690+J690)</f>
        <v/>
      </c>
      <c r="L690" s="13">
        <f>IF(B690="","",YEAR(B690))</f>
        <v/>
      </c>
      <c r="M690" s="13">
        <f>IF(B690="","",MONTH(B690))</f>
        <v/>
      </c>
      <c r="N690" s="9" t="n"/>
      <c r="O690" s="9" t="n"/>
      <c r="P690" s="9" t="n"/>
      <c r="Q690" s="9" t="n"/>
    </row>
    <row r="691">
      <c r="A691" s="9" t="n"/>
      <c r="B691" s="70" t="n"/>
      <c r="C691" s="9" t="n"/>
      <c r="D691" s="9" t="n"/>
      <c r="E691" s="9" t="n"/>
      <c r="F691" s="9" t="n"/>
      <c r="G691" s="9" t="n"/>
      <c r="H691" s="71" t="n"/>
      <c r="I691" s="9" t="n"/>
      <c r="J691" s="89">
        <f>IF(H691="","",IF(I691="Sí",ROUND(H691*Configuracion!$B$11,0),0))</f>
        <v/>
      </c>
      <c r="K691" s="89">
        <f>IF(H691="","",H691+J691)</f>
        <v/>
      </c>
      <c r="L691" s="13">
        <f>IF(B691="","",YEAR(B691))</f>
        <v/>
      </c>
      <c r="M691" s="13">
        <f>IF(B691="","",MONTH(B691))</f>
        <v/>
      </c>
      <c r="N691" s="9" t="n"/>
      <c r="O691" s="9" t="n"/>
      <c r="P691" s="9" t="n"/>
      <c r="Q691" s="9" t="n"/>
    </row>
    <row r="692">
      <c r="A692" s="9" t="n"/>
      <c r="B692" s="70" t="n"/>
      <c r="C692" s="9" t="n"/>
      <c r="D692" s="9" t="n"/>
      <c r="E692" s="9" t="n"/>
      <c r="F692" s="9" t="n"/>
      <c r="G692" s="9" t="n"/>
      <c r="H692" s="71" t="n"/>
      <c r="I692" s="9" t="n"/>
      <c r="J692" s="89">
        <f>IF(H692="","",IF(I692="Sí",ROUND(H692*Configuracion!$B$11,0),0))</f>
        <v/>
      </c>
      <c r="K692" s="89">
        <f>IF(H692="","",H692+J692)</f>
        <v/>
      </c>
      <c r="L692" s="13">
        <f>IF(B692="","",YEAR(B692))</f>
        <v/>
      </c>
      <c r="M692" s="13">
        <f>IF(B692="","",MONTH(B692))</f>
        <v/>
      </c>
      <c r="N692" s="9" t="n"/>
      <c r="O692" s="9" t="n"/>
      <c r="P692" s="9" t="n"/>
      <c r="Q692" s="9" t="n"/>
    </row>
    <row r="693">
      <c r="A693" s="9" t="n"/>
      <c r="B693" s="70" t="n"/>
      <c r="C693" s="9" t="n"/>
      <c r="D693" s="9" t="n"/>
      <c r="E693" s="9" t="n"/>
      <c r="F693" s="9" t="n"/>
      <c r="G693" s="9" t="n"/>
      <c r="H693" s="71" t="n"/>
      <c r="I693" s="9" t="n"/>
      <c r="J693" s="89">
        <f>IF(H693="","",IF(I693="Sí",ROUND(H693*Configuracion!$B$11,0),0))</f>
        <v/>
      </c>
      <c r="K693" s="89">
        <f>IF(H693="","",H693+J693)</f>
        <v/>
      </c>
      <c r="L693" s="13">
        <f>IF(B693="","",YEAR(B693))</f>
        <v/>
      </c>
      <c r="M693" s="13">
        <f>IF(B693="","",MONTH(B693))</f>
        <v/>
      </c>
      <c r="N693" s="9" t="n"/>
      <c r="O693" s="9" t="n"/>
      <c r="P693" s="9" t="n"/>
      <c r="Q693" s="9" t="n"/>
    </row>
    <row r="694">
      <c r="A694" s="9" t="n"/>
      <c r="B694" s="70" t="n"/>
      <c r="C694" s="9" t="n"/>
      <c r="D694" s="9" t="n"/>
      <c r="E694" s="9" t="n"/>
      <c r="F694" s="9" t="n"/>
      <c r="G694" s="9" t="n"/>
      <c r="H694" s="71" t="n"/>
      <c r="I694" s="9" t="n"/>
      <c r="J694" s="89">
        <f>IF(H694="","",IF(I694="Sí",ROUND(H694*Configuracion!$B$11,0),0))</f>
        <v/>
      </c>
      <c r="K694" s="89">
        <f>IF(H694="","",H694+J694)</f>
        <v/>
      </c>
      <c r="L694" s="13">
        <f>IF(B694="","",YEAR(B694))</f>
        <v/>
      </c>
      <c r="M694" s="13">
        <f>IF(B694="","",MONTH(B694))</f>
        <v/>
      </c>
      <c r="N694" s="9" t="n"/>
      <c r="O694" s="9" t="n"/>
      <c r="P694" s="9" t="n"/>
      <c r="Q694" s="9" t="n"/>
    </row>
    <row r="695">
      <c r="A695" s="9" t="n"/>
      <c r="B695" s="70" t="n"/>
      <c r="C695" s="9" t="n"/>
      <c r="D695" s="9" t="n"/>
      <c r="E695" s="9" t="n"/>
      <c r="F695" s="9" t="n"/>
      <c r="G695" s="9" t="n"/>
      <c r="H695" s="71" t="n"/>
      <c r="I695" s="9" t="n"/>
      <c r="J695" s="89">
        <f>IF(H695="","",IF(I695="Sí",ROUND(H695*Configuracion!$B$11,0),0))</f>
        <v/>
      </c>
      <c r="K695" s="89">
        <f>IF(H695="","",H695+J695)</f>
        <v/>
      </c>
      <c r="L695" s="13">
        <f>IF(B695="","",YEAR(B695))</f>
        <v/>
      </c>
      <c r="M695" s="13">
        <f>IF(B695="","",MONTH(B695))</f>
        <v/>
      </c>
      <c r="N695" s="9" t="n"/>
      <c r="O695" s="9" t="n"/>
      <c r="P695" s="9" t="n"/>
      <c r="Q695" s="9" t="n"/>
    </row>
    <row r="696">
      <c r="A696" s="9" t="n"/>
      <c r="B696" s="70" t="n"/>
      <c r="C696" s="9" t="n"/>
      <c r="D696" s="9" t="n"/>
      <c r="E696" s="9" t="n"/>
      <c r="F696" s="9" t="n"/>
      <c r="G696" s="9" t="n"/>
      <c r="H696" s="71" t="n"/>
      <c r="I696" s="9" t="n"/>
      <c r="J696" s="89">
        <f>IF(H696="","",IF(I696="Sí",ROUND(H696*Configuracion!$B$11,0),0))</f>
        <v/>
      </c>
      <c r="K696" s="89">
        <f>IF(H696="","",H696+J696)</f>
        <v/>
      </c>
      <c r="L696" s="13">
        <f>IF(B696="","",YEAR(B696))</f>
        <v/>
      </c>
      <c r="M696" s="13">
        <f>IF(B696="","",MONTH(B696))</f>
        <v/>
      </c>
      <c r="N696" s="9" t="n"/>
      <c r="O696" s="9" t="n"/>
      <c r="P696" s="9" t="n"/>
      <c r="Q696" s="9" t="n"/>
    </row>
    <row r="697">
      <c r="A697" s="9" t="n"/>
      <c r="B697" s="70" t="n"/>
      <c r="C697" s="9" t="n"/>
      <c r="D697" s="9" t="n"/>
      <c r="E697" s="9" t="n"/>
      <c r="F697" s="9" t="n"/>
      <c r="G697" s="9" t="n"/>
      <c r="H697" s="71" t="n"/>
      <c r="I697" s="9" t="n"/>
      <c r="J697" s="89">
        <f>IF(H697="","",IF(I697="Sí",ROUND(H697*Configuracion!$B$11,0),0))</f>
        <v/>
      </c>
      <c r="K697" s="89">
        <f>IF(H697="","",H697+J697)</f>
        <v/>
      </c>
      <c r="L697" s="13">
        <f>IF(B697="","",YEAR(B697))</f>
        <v/>
      </c>
      <c r="M697" s="13">
        <f>IF(B697="","",MONTH(B697))</f>
        <v/>
      </c>
      <c r="N697" s="9" t="n"/>
      <c r="O697" s="9" t="n"/>
      <c r="P697" s="9" t="n"/>
      <c r="Q697" s="9" t="n"/>
    </row>
    <row r="698">
      <c r="A698" s="9" t="n"/>
      <c r="B698" s="70" t="n"/>
      <c r="C698" s="9" t="n"/>
      <c r="D698" s="9" t="n"/>
      <c r="E698" s="9" t="n"/>
      <c r="F698" s="9" t="n"/>
      <c r="G698" s="9" t="n"/>
      <c r="H698" s="71" t="n"/>
      <c r="I698" s="9" t="n"/>
      <c r="J698" s="89">
        <f>IF(H698="","",IF(I698="Sí",ROUND(H698*Configuracion!$B$11,0),0))</f>
        <v/>
      </c>
      <c r="K698" s="89">
        <f>IF(H698="","",H698+J698)</f>
        <v/>
      </c>
      <c r="L698" s="13">
        <f>IF(B698="","",YEAR(B698))</f>
        <v/>
      </c>
      <c r="M698" s="13">
        <f>IF(B698="","",MONTH(B698))</f>
        <v/>
      </c>
      <c r="N698" s="9" t="n"/>
      <c r="O698" s="9" t="n"/>
      <c r="P698" s="9" t="n"/>
      <c r="Q698" s="9" t="n"/>
    </row>
    <row r="699">
      <c r="A699" s="9" t="n"/>
      <c r="B699" s="70" t="n"/>
      <c r="C699" s="9" t="n"/>
      <c r="D699" s="9" t="n"/>
      <c r="E699" s="9" t="n"/>
      <c r="F699" s="9" t="n"/>
      <c r="G699" s="9" t="n"/>
      <c r="H699" s="71" t="n"/>
      <c r="I699" s="9" t="n"/>
      <c r="J699" s="89">
        <f>IF(H699="","",IF(I699="Sí",ROUND(H699*Configuracion!$B$11,0),0))</f>
        <v/>
      </c>
      <c r="K699" s="89">
        <f>IF(H699="","",H699+J699)</f>
        <v/>
      </c>
      <c r="L699" s="13">
        <f>IF(B699="","",YEAR(B699))</f>
        <v/>
      </c>
      <c r="M699" s="13">
        <f>IF(B699="","",MONTH(B699))</f>
        <v/>
      </c>
      <c r="N699" s="9" t="n"/>
      <c r="O699" s="9" t="n"/>
      <c r="P699" s="9" t="n"/>
      <c r="Q699" s="9" t="n"/>
    </row>
    <row r="700">
      <c r="A700" s="9" t="n"/>
      <c r="B700" s="70" t="n"/>
      <c r="C700" s="9" t="n"/>
      <c r="D700" s="9" t="n"/>
      <c r="E700" s="9" t="n"/>
      <c r="F700" s="9" t="n"/>
      <c r="G700" s="9" t="n"/>
      <c r="H700" s="71" t="n"/>
      <c r="I700" s="9" t="n"/>
      <c r="J700" s="89">
        <f>IF(H700="","",IF(I700="Sí",ROUND(H700*Configuracion!$B$11,0),0))</f>
        <v/>
      </c>
      <c r="K700" s="89">
        <f>IF(H700="","",H700+J700)</f>
        <v/>
      </c>
      <c r="L700" s="13">
        <f>IF(B700="","",YEAR(B700))</f>
        <v/>
      </c>
      <c r="M700" s="13">
        <f>IF(B700="","",MONTH(B700))</f>
        <v/>
      </c>
      <c r="N700" s="9" t="n"/>
      <c r="O700" s="9" t="n"/>
      <c r="P700" s="9" t="n"/>
      <c r="Q700" s="9" t="n"/>
    </row>
    <row r="701">
      <c r="A701" s="9" t="n"/>
      <c r="B701" s="70" t="n"/>
      <c r="C701" s="9" t="n"/>
      <c r="D701" s="9" t="n"/>
      <c r="E701" s="9" t="n"/>
      <c r="F701" s="9" t="n"/>
      <c r="G701" s="9" t="n"/>
      <c r="H701" s="71" t="n"/>
      <c r="I701" s="9" t="n"/>
      <c r="J701" s="89">
        <f>IF(H701="","",IF(I701="Sí",ROUND(H701*Configuracion!$B$11,0),0))</f>
        <v/>
      </c>
      <c r="K701" s="89">
        <f>IF(H701="","",H701+J701)</f>
        <v/>
      </c>
      <c r="L701" s="13">
        <f>IF(B701="","",YEAR(B701))</f>
        <v/>
      </c>
      <c r="M701" s="13">
        <f>IF(B701="","",MONTH(B701))</f>
        <v/>
      </c>
      <c r="N701" s="9" t="n"/>
      <c r="O701" s="9" t="n"/>
      <c r="P701" s="9" t="n"/>
      <c r="Q701" s="9" t="n"/>
    </row>
    <row r="702">
      <c r="A702" s="9" t="n"/>
      <c r="B702" s="70" t="n"/>
      <c r="C702" s="9" t="n"/>
      <c r="D702" s="9" t="n"/>
      <c r="E702" s="9" t="n"/>
      <c r="F702" s="9" t="n"/>
      <c r="G702" s="9" t="n"/>
      <c r="H702" s="71" t="n"/>
      <c r="I702" s="9" t="n"/>
      <c r="J702" s="89">
        <f>IF(H702="","",IF(I702="Sí",ROUND(H702*Configuracion!$B$11,0),0))</f>
        <v/>
      </c>
      <c r="K702" s="89">
        <f>IF(H702="","",H702+J702)</f>
        <v/>
      </c>
      <c r="L702" s="13">
        <f>IF(B702="","",YEAR(B702))</f>
        <v/>
      </c>
      <c r="M702" s="13">
        <f>IF(B702="","",MONTH(B702))</f>
        <v/>
      </c>
      <c r="N702" s="9" t="n"/>
      <c r="O702" s="9" t="n"/>
      <c r="P702" s="9" t="n"/>
      <c r="Q702" s="9" t="n"/>
    </row>
    <row r="703">
      <c r="A703" s="9" t="n"/>
      <c r="B703" s="70" t="n"/>
      <c r="C703" s="9" t="n"/>
      <c r="D703" s="9" t="n"/>
      <c r="E703" s="9" t="n"/>
      <c r="F703" s="9" t="n"/>
      <c r="G703" s="9" t="n"/>
      <c r="H703" s="71" t="n"/>
      <c r="I703" s="9" t="n"/>
      <c r="J703" s="89">
        <f>IF(H703="","",IF(I703="Sí",ROUND(H703*Configuracion!$B$11,0),0))</f>
        <v/>
      </c>
      <c r="K703" s="89">
        <f>IF(H703="","",H703+J703)</f>
        <v/>
      </c>
      <c r="L703" s="13">
        <f>IF(B703="","",YEAR(B703))</f>
        <v/>
      </c>
      <c r="M703" s="13">
        <f>IF(B703="","",MONTH(B703))</f>
        <v/>
      </c>
      <c r="N703" s="9" t="n"/>
      <c r="O703" s="9" t="n"/>
      <c r="P703" s="9" t="n"/>
      <c r="Q703" s="9" t="n"/>
    </row>
    <row r="704">
      <c r="A704" s="9" t="n"/>
      <c r="B704" s="70" t="n"/>
      <c r="C704" s="9" t="n"/>
      <c r="D704" s="9" t="n"/>
      <c r="E704" s="9" t="n"/>
      <c r="F704" s="9" t="n"/>
      <c r="G704" s="9" t="n"/>
      <c r="H704" s="71" t="n"/>
      <c r="I704" s="9" t="n"/>
      <c r="J704" s="89">
        <f>IF(H704="","",IF(I704="Sí",ROUND(H704*Configuracion!$B$11,0),0))</f>
        <v/>
      </c>
      <c r="K704" s="89">
        <f>IF(H704="","",H704+J704)</f>
        <v/>
      </c>
      <c r="L704" s="13">
        <f>IF(B704="","",YEAR(B704))</f>
        <v/>
      </c>
      <c r="M704" s="13">
        <f>IF(B704="","",MONTH(B704))</f>
        <v/>
      </c>
      <c r="N704" s="9" t="n"/>
      <c r="O704" s="9" t="n"/>
      <c r="P704" s="9" t="n"/>
      <c r="Q704" s="9" t="n"/>
    </row>
    <row r="705">
      <c r="A705" s="9" t="n"/>
      <c r="B705" s="70" t="n"/>
      <c r="C705" s="9" t="n"/>
      <c r="D705" s="9" t="n"/>
      <c r="E705" s="9" t="n"/>
      <c r="F705" s="9" t="n"/>
      <c r="G705" s="9" t="n"/>
      <c r="H705" s="71" t="n"/>
      <c r="I705" s="9" t="n"/>
      <c r="J705" s="89">
        <f>IF(H705="","",IF(I705="Sí",ROUND(H705*Configuracion!$B$11,0),0))</f>
        <v/>
      </c>
      <c r="K705" s="89">
        <f>IF(H705="","",H705+J705)</f>
        <v/>
      </c>
      <c r="L705" s="13">
        <f>IF(B705="","",YEAR(B705))</f>
        <v/>
      </c>
      <c r="M705" s="13">
        <f>IF(B705="","",MONTH(B705))</f>
        <v/>
      </c>
      <c r="N705" s="9" t="n"/>
      <c r="O705" s="9" t="n"/>
      <c r="P705" s="9" t="n"/>
      <c r="Q705" s="9" t="n"/>
    </row>
    <row r="706">
      <c r="A706" s="9" t="n"/>
      <c r="B706" s="70" t="n"/>
      <c r="C706" s="9" t="n"/>
      <c r="D706" s="9" t="n"/>
      <c r="E706" s="9" t="n"/>
      <c r="F706" s="9" t="n"/>
      <c r="G706" s="9" t="n"/>
      <c r="H706" s="71" t="n"/>
      <c r="I706" s="9" t="n"/>
      <c r="J706" s="89">
        <f>IF(H706="","",IF(I706="Sí",ROUND(H706*Configuracion!$B$11,0),0))</f>
        <v/>
      </c>
      <c r="K706" s="89">
        <f>IF(H706="","",H706+J706)</f>
        <v/>
      </c>
      <c r="L706" s="13">
        <f>IF(B706="","",YEAR(B706))</f>
        <v/>
      </c>
      <c r="M706" s="13">
        <f>IF(B706="","",MONTH(B706))</f>
        <v/>
      </c>
      <c r="N706" s="9" t="n"/>
      <c r="O706" s="9" t="n"/>
      <c r="P706" s="9" t="n"/>
      <c r="Q706" s="9" t="n"/>
    </row>
    <row r="707">
      <c r="A707" s="9" t="n"/>
      <c r="B707" s="70" t="n"/>
      <c r="C707" s="9" t="n"/>
      <c r="D707" s="9" t="n"/>
      <c r="E707" s="9" t="n"/>
      <c r="F707" s="9" t="n"/>
      <c r="G707" s="9" t="n"/>
      <c r="H707" s="71" t="n"/>
      <c r="I707" s="9" t="n"/>
      <c r="J707" s="89">
        <f>IF(H707="","",IF(I707="Sí",ROUND(H707*Configuracion!$B$11,0),0))</f>
        <v/>
      </c>
      <c r="K707" s="89">
        <f>IF(H707="","",H707+J707)</f>
        <v/>
      </c>
      <c r="L707" s="13">
        <f>IF(B707="","",YEAR(B707))</f>
        <v/>
      </c>
      <c r="M707" s="13">
        <f>IF(B707="","",MONTH(B707))</f>
        <v/>
      </c>
      <c r="N707" s="9" t="n"/>
      <c r="O707" s="9" t="n"/>
      <c r="P707" s="9" t="n"/>
      <c r="Q707" s="9" t="n"/>
    </row>
    <row r="708">
      <c r="A708" s="9" t="n"/>
      <c r="B708" s="70" t="n"/>
      <c r="C708" s="9" t="n"/>
      <c r="D708" s="9" t="n"/>
      <c r="E708" s="9" t="n"/>
      <c r="F708" s="9" t="n"/>
      <c r="G708" s="9" t="n"/>
      <c r="H708" s="71" t="n"/>
      <c r="I708" s="9" t="n"/>
      <c r="J708" s="89">
        <f>IF(H708="","",IF(I708="Sí",ROUND(H708*Configuracion!$B$11,0),0))</f>
        <v/>
      </c>
      <c r="K708" s="89">
        <f>IF(H708="","",H708+J708)</f>
        <v/>
      </c>
      <c r="L708" s="13">
        <f>IF(B708="","",YEAR(B708))</f>
        <v/>
      </c>
      <c r="M708" s="13">
        <f>IF(B708="","",MONTH(B708))</f>
        <v/>
      </c>
      <c r="N708" s="9" t="n"/>
      <c r="O708" s="9" t="n"/>
      <c r="P708" s="9" t="n"/>
      <c r="Q708" s="9" t="n"/>
    </row>
    <row r="709">
      <c r="A709" s="9" t="n"/>
      <c r="B709" s="70" t="n"/>
      <c r="C709" s="9" t="n"/>
      <c r="D709" s="9" t="n"/>
      <c r="E709" s="9" t="n"/>
      <c r="F709" s="9" t="n"/>
      <c r="G709" s="9" t="n"/>
      <c r="H709" s="71" t="n"/>
      <c r="I709" s="9" t="n"/>
      <c r="J709" s="89">
        <f>IF(H709="","",IF(I709="Sí",ROUND(H709*Configuracion!$B$11,0),0))</f>
        <v/>
      </c>
      <c r="K709" s="89">
        <f>IF(H709="","",H709+J709)</f>
        <v/>
      </c>
      <c r="L709" s="13">
        <f>IF(B709="","",YEAR(B709))</f>
        <v/>
      </c>
      <c r="M709" s="13">
        <f>IF(B709="","",MONTH(B709))</f>
        <v/>
      </c>
      <c r="N709" s="9" t="n"/>
      <c r="O709" s="9" t="n"/>
      <c r="P709" s="9" t="n"/>
      <c r="Q709" s="9" t="n"/>
    </row>
    <row r="710">
      <c r="A710" s="9" t="n"/>
      <c r="B710" s="70" t="n"/>
      <c r="C710" s="9" t="n"/>
      <c r="D710" s="9" t="n"/>
      <c r="E710" s="9" t="n"/>
      <c r="F710" s="9" t="n"/>
      <c r="G710" s="9" t="n"/>
      <c r="H710" s="71" t="n"/>
      <c r="I710" s="9" t="n"/>
      <c r="J710" s="89">
        <f>IF(H710="","",IF(I710="Sí",ROUND(H710*Configuracion!$B$11,0),0))</f>
        <v/>
      </c>
      <c r="K710" s="89">
        <f>IF(H710="","",H710+J710)</f>
        <v/>
      </c>
      <c r="L710" s="13">
        <f>IF(B710="","",YEAR(B710))</f>
        <v/>
      </c>
      <c r="M710" s="13">
        <f>IF(B710="","",MONTH(B710))</f>
        <v/>
      </c>
      <c r="N710" s="9" t="n"/>
      <c r="O710" s="9" t="n"/>
      <c r="P710" s="9" t="n"/>
      <c r="Q710" s="9" t="n"/>
    </row>
    <row r="711">
      <c r="A711" s="9" t="n"/>
      <c r="B711" s="70" t="n"/>
      <c r="C711" s="9" t="n"/>
      <c r="D711" s="9" t="n"/>
      <c r="E711" s="9" t="n"/>
      <c r="F711" s="9" t="n"/>
      <c r="G711" s="9" t="n"/>
      <c r="H711" s="71" t="n"/>
      <c r="I711" s="9" t="n"/>
      <c r="J711" s="89">
        <f>IF(H711="","",IF(I711="Sí",ROUND(H711*Configuracion!$B$11,0),0))</f>
        <v/>
      </c>
      <c r="K711" s="89">
        <f>IF(H711="","",H711+J711)</f>
        <v/>
      </c>
      <c r="L711" s="13">
        <f>IF(B711="","",YEAR(B711))</f>
        <v/>
      </c>
      <c r="M711" s="13">
        <f>IF(B711="","",MONTH(B711))</f>
        <v/>
      </c>
      <c r="N711" s="9" t="n"/>
      <c r="O711" s="9" t="n"/>
      <c r="P711" s="9" t="n"/>
      <c r="Q711" s="9" t="n"/>
    </row>
    <row r="712">
      <c r="A712" s="9" t="n"/>
      <c r="B712" s="70" t="n"/>
      <c r="C712" s="9" t="n"/>
      <c r="D712" s="9" t="n"/>
      <c r="E712" s="9" t="n"/>
      <c r="F712" s="9" t="n"/>
      <c r="G712" s="9" t="n"/>
      <c r="H712" s="71" t="n"/>
      <c r="I712" s="9" t="n"/>
      <c r="J712" s="89">
        <f>IF(H712="","",IF(I712="Sí",ROUND(H712*Configuracion!$B$11,0),0))</f>
        <v/>
      </c>
      <c r="K712" s="89">
        <f>IF(H712="","",H712+J712)</f>
        <v/>
      </c>
      <c r="L712" s="13">
        <f>IF(B712="","",YEAR(B712))</f>
        <v/>
      </c>
      <c r="M712" s="13">
        <f>IF(B712="","",MONTH(B712))</f>
        <v/>
      </c>
      <c r="N712" s="9" t="n"/>
      <c r="O712" s="9" t="n"/>
      <c r="P712" s="9" t="n"/>
      <c r="Q712" s="9" t="n"/>
    </row>
    <row r="713">
      <c r="A713" s="9" t="n"/>
      <c r="B713" s="70" t="n"/>
      <c r="C713" s="9" t="n"/>
      <c r="D713" s="9" t="n"/>
      <c r="E713" s="9" t="n"/>
      <c r="F713" s="9" t="n"/>
      <c r="G713" s="9" t="n"/>
      <c r="H713" s="71" t="n"/>
      <c r="I713" s="9" t="n"/>
      <c r="J713" s="89">
        <f>IF(H713="","",IF(I713="Sí",ROUND(H713*Configuracion!$B$11,0),0))</f>
        <v/>
      </c>
      <c r="K713" s="89">
        <f>IF(H713="","",H713+J713)</f>
        <v/>
      </c>
      <c r="L713" s="13">
        <f>IF(B713="","",YEAR(B713))</f>
        <v/>
      </c>
      <c r="M713" s="13">
        <f>IF(B713="","",MONTH(B713))</f>
        <v/>
      </c>
      <c r="N713" s="9" t="n"/>
      <c r="O713" s="9" t="n"/>
      <c r="P713" s="9" t="n"/>
      <c r="Q713" s="9" t="n"/>
    </row>
    <row r="714">
      <c r="A714" s="9" t="n"/>
      <c r="B714" s="70" t="n"/>
      <c r="C714" s="9" t="n"/>
      <c r="D714" s="9" t="n"/>
      <c r="E714" s="9" t="n"/>
      <c r="F714" s="9" t="n"/>
      <c r="G714" s="9" t="n"/>
      <c r="H714" s="71" t="n"/>
      <c r="I714" s="9" t="n"/>
      <c r="J714" s="89">
        <f>IF(H714="","",IF(I714="Sí",ROUND(H714*Configuracion!$B$11,0),0))</f>
        <v/>
      </c>
      <c r="K714" s="89">
        <f>IF(H714="","",H714+J714)</f>
        <v/>
      </c>
      <c r="L714" s="13">
        <f>IF(B714="","",YEAR(B714))</f>
        <v/>
      </c>
      <c r="M714" s="13">
        <f>IF(B714="","",MONTH(B714))</f>
        <v/>
      </c>
      <c r="N714" s="9" t="n"/>
      <c r="O714" s="9" t="n"/>
      <c r="P714" s="9" t="n"/>
      <c r="Q714" s="9" t="n"/>
    </row>
    <row r="715">
      <c r="A715" s="9" t="n"/>
      <c r="B715" s="70" t="n"/>
      <c r="C715" s="9" t="n"/>
      <c r="D715" s="9" t="n"/>
      <c r="E715" s="9" t="n"/>
      <c r="F715" s="9" t="n"/>
      <c r="G715" s="9" t="n"/>
      <c r="H715" s="71" t="n"/>
      <c r="I715" s="9" t="n"/>
      <c r="J715" s="89">
        <f>IF(H715="","",IF(I715="Sí",ROUND(H715*Configuracion!$B$11,0),0))</f>
        <v/>
      </c>
      <c r="K715" s="89">
        <f>IF(H715="","",H715+J715)</f>
        <v/>
      </c>
      <c r="L715" s="13">
        <f>IF(B715="","",YEAR(B715))</f>
        <v/>
      </c>
      <c r="M715" s="13">
        <f>IF(B715="","",MONTH(B715))</f>
        <v/>
      </c>
      <c r="N715" s="9" t="n"/>
      <c r="O715" s="9" t="n"/>
      <c r="P715" s="9" t="n"/>
      <c r="Q715" s="9" t="n"/>
    </row>
    <row r="716">
      <c r="A716" s="9" t="n"/>
      <c r="B716" s="70" t="n"/>
      <c r="C716" s="9" t="n"/>
      <c r="D716" s="9" t="n"/>
      <c r="E716" s="9" t="n"/>
      <c r="F716" s="9" t="n"/>
      <c r="G716" s="9" t="n"/>
      <c r="H716" s="71" t="n"/>
      <c r="I716" s="9" t="n"/>
      <c r="J716" s="89">
        <f>IF(H716="","",IF(I716="Sí",ROUND(H716*Configuracion!$B$11,0),0))</f>
        <v/>
      </c>
      <c r="K716" s="89">
        <f>IF(H716="","",H716+J716)</f>
        <v/>
      </c>
      <c r="L716" s="13">
        <f>IF(B716="","",YEAR(B716))</f>
        <v/>
      </c>
      <c r="M716" s="13">
        <f>IF(B716="","",MONTH(B716))</f>
        <v/>
      </c>
      <c r="N716" s="9" t="n"/>
      <c r="O716" s="9" t="n"/>
      <c r="P716" s="9" t="n"/>
      <c r="Q716" s="9" t="n"/>
    </row>
    <row r="717">
      <c r="A717" s="9" t="n"/>
      <c r="B717" s="70" t="n"/>
      <c r="C717" s="9" t="n"/>
      <c r="D717" s="9" t="n"/>
      <c r="E717" s="9" t="n"/>
      <c r="F717" s="9" t="n"/>
      <c r="G717" s="9" t="n"/>
      <c r="H717" s="71" t="n"/>
      <c r="I717" s="9" t="n"/>
      <c r="J717" s="89">
        <f>IF(H717="","",IF(I717="Sí",ROUND(H717*Configuracion!$B$11,0),0))</f>
        <v/>
      </c>
      <c r="K717" s="89">
        <f>IF(H717="","",H717+J717)</f>
        <v/>
      </c>
      <c r="L717" s="13">
        <f>IF(B717="","",YEAR(B717))</f>
        <v/>
      </c>
      <c r="M717" s="13">
        <f>IF(B717="","",MONTH(B717))</f>
        <v/>
      </c>
      <c r="N717" s="9" t="n"/>
      <c r="O717" s="9" t="n"/>
      <c r="P717" s="9" t="n"/>
      <c r="Q717" s="9" t="n"/>
    </row>
    <row r="718">
      <c r="A718" s="9" t="n"/>
      <c r="B718" s="70" t="n"/>
      <c r="C718" s="9" t="n"/>
      <c r="D718" s="9" t="n"/>
      <c r="E718" s="9" t="n"/>
      <c r="F718" s="9" t="n"/>
      <c r="G718" s="9" t="n"/>
      <c r="H718" s="71" t="n"/>
      <c r="I718" s="9" t="n"/>
      <c r="J718" s="89">
        <f>IF(H718="","",IF(I718="Sí",ROUND(H718*Configuracion!$B$11,0),0))</f>
        <v/>
      </c>
      <c r="K718" s="89">
        <f>IF(H718="","",H718+J718)</f>
        <v/>
      </c>
      <c r="L718" s="13">
        <f>IF(B718="","",YEAR(B718))</f>
        <v/>
      </c>
      <c r="M718" s="13">
        <f>IF(B718="","",MONTH(B718))</f>
        <v/>
      </c>
      <c r="N718" s="9" t="n"/>
      <c r="O718" s="9" t="n"/>
      <c r="P718" s="9" t="n"/>
      <c r="Q718" s="9" t="n"/>
    </row>
    <row r="719">
      <c r="A719" s="9" t="n"/>
      <c r="B719" s="70" t="n"/>
      <c r="C719" s="9" t="n"/>
      <c r="D719" s="9" t="n"/>
      <c r="E719" s="9" t="n"/>
      <c r="F719" s="9" t="n"/>
      <c r="G719" s="9" t="n"/>
      <c r="H719" s="71" t="n"/>
      <c r="I719" s="9" t="n"/>
      <c r="J719" s="89">
        <f>IF(H719="","",IF(I719="Sí",ROUND(H719*Configuracion!$B$11,0),0))</f>
        <v/>
      </c>
      <c r="K719" s="89">
        <f>IF(H719="","",H719+J719)</f>
        <v/>
      </c>
      <c r="L719" s="13">
        <f>IF(B719="","",YEAR(B719))</f>
        <v/>
      </c>
      <c r="M719" s="13">
        <f>IF(B719="","",MONTH(B719))</f>
        <v/>
      </c>
      <c r="N719" s="9" t="n"/>
      <c r="O719" s="9" t="n"/>
      <c r="P719" s="9" t="n"/>
      <c r="Q719" s="9" t="n"/>
    </row>
    <row r="720">
      <c r="A720" s="9" t="n"/>
      <c r="B720" s="70" t="n"/>
      <c r="C720" s="9" t="n"/>
      <c r="D720" s="9" t="n"/>
      <c r="E720" s="9" t="n"/>
      <c r="F720" s="9" t="n"/>
      <c r="G720" s="9" t="n"/>
      <c r="H720" s="71" t="n"/>
      <c r="I720" s="9" t="n"/>
      <c r="J720" s="89">
        <f>IF(H720="","",IF(I720="Sí",ROUND(H720*Configuracion!$B$11,0),0))</f>
        <v/>
      </c>
      <c r="K720" s="89">
        <f>IF(H720="","",H720+J720)</f>
        <v/>
      </c>
      <c r="L720" s="13">
        <f>IF(B720="","",YEAR(B720))</f>
        <v/>
      </c>
      <c r="M720" s="13">
        <f>IF(B720="","",MONTH(B720))</f>
        <v/>
      </c>
      <c r="N720" s="9" t="n"/>
      <c r="O720" s="9" t="n"/>
      <c r="P720" s="9" t="n"/>
      <c r="Q720" s="9" t="n"/>
    </row>
    <row r="721">
      <c r="A721" s="9" t="n"/>
      <c r="B721" s="70" t="n"/>
      <c r="C721" s="9" t="n"/>
      <c r="D721" s="9" t="n"/>
      <c r="E721" s="9" t="n"/>
      <c r="F721" s="9" t="n"/>
      <c r="G721" s="9" t="n"/>
      <c r="H721" s="71" t="n"/>
      <c r="I721" s="9" t="n"/>
      <c r="J721" s="89">
        <f>IF(H721="","",IF(I721="Sí",ROUND(H721*Configuracion!$B$11,0),0))</f>
        <v/>
      </c>
      <c r="K721" s="89">
        <f>IF(H721="","",H721+J721)</f>
        <v/>
      </c>
      <c r="L721" s="13">
        <f>IF(B721="","",YEAR(B721))</f>
        <v/>
      </c>
      <c r="M721" s="13">
        <f>IF(B721="","",MONTH(B721))</f>
        <v/>
      </c>
      <c r="N721" s="9" t="n"/>
      <c r="O721" s="9" t="n"/>
      <c r="P721" s="9" t="n"/>
      <c r="Q721" s="9" t="n"/>
    </row>
    <row r="722">
      <c r="A722" s="9" t="n"/>
      <c r="B722" s="70" t="n"/>
      <c r="C722" s="9" t="n"/>
      <c r="D722" s="9" t="n"/>
      <c r="E722" s="9" t="n"/>
      <c r="F722" s="9" t="n"/>
      <c r="G722" s="9" t="n"/>
      <c r="H722" s="71" t="n"/>
      <c r="I722" s="9" t="n"/>
      <c r="J722" s="89">
        <f>IF(H722="","",IF(I722="Sí",ROUND(H722*Configuracion!$B$11,0),0))</f>
        <v/>
      </c>
      <c r="K722" s="89">
        <f>IF(H722="","",H722+J722)</f>
        <v/>
      </c>
      <c r="L722" s="13">
        <f>IF(B722="","",YEAR(B722))</f>
        <v/>
      </c>
      <c r="M722" s="13">
        <f>IF(B722="","",MONTH(B722))</f>
        <v/>
      </c>
      <c r="N722" s="9" t="n"/>
      <c r="O722" s="9" t="n"/>
      <c r="P722" s="9" t="n"/>
      <c r="Q722" s="9" t="n"/>
    </row>
    <row r="723">
      <c r="A723" s="9" t="n"/>
      <c r="B723" s="70" t="n"/>
      <c r="C723" s="9" t="n"/>
      <c r="D723" s="9" t="n"/>
      <c r="E723" s="9" t="n"/>
      <c r="F723" s="9" t="n"/>
      <c r="G723" s="9" t="n"/>
      <c r="H723" s="71" t="n"/>
      <c r="I723" s="9" t="n"/>
      <c r="J723" s="89">
        <f>IF(H723="","",IF(I723="Sí",ROUND(H723*Configuracion!$B$11,0),0))</f>
        <v/>
      </c>
      <c r="K723" s="89">
        <f>IF(H723="","",H723+J723)</f>
        <v/>
      </c>
      <c r="L723" s="13">
        <f>IF(B723="","",YEAR(B723))</f>
        <v/>
      </c>
      <c r="M723" s="13">
        <f>IF(B723="","",MONTH(B723))</f>
        <v/>
      </c>
      <c r="N723" s="9" t="n"/>
      <c r="O723" s="9" t="n"/>
      <c r="P723" s="9" t="n"/>
      <c r="Q723" s="9" t="n"/>
    </row>
    <row r="724">
      <c r="A724" s="9" t="n"/>
      <c r="B724" s="70" t="n"/>
      <c r="C724" s="9" t="n"/>
      <c r="D724" s="9" t="n"/>
      <c r="E724" s="9" t="n"/>
      <c r="F724" s="9" t="n"/>
      <c r="G724" s="9" t="n"/>
      <c r="H724" s="71" t="n"/>
      <c r="I724" s="9" t="n"/>
      <c r="J724" s="89">
        <f>IF(H724="","",IF(I724="Sí",ROUND(H724*Configuracion!$B$11,0),0))</f>
        <v/>
      </c>
      <c r="K724" s="89">
        <f>IF(H724="","",H724+J724)</f>
        <v/>
      </c>
      <c r="L724" s="13">
        <f>IF(B724="","",YEAR(B724))</f>
        <v/>
      </c>
      <c r="M724" s="13">
        <f>IF(B724="","",MONTH(B724))</f>
        <v/>
      </c>
      <c r="N724" s="9" t="n"/>
      <c r="O724" s="9" t="n"/>
      <c r="P724" s="9" t="n"/>
      <c r="Q724" s="9" t="n"/>
    </row>
    <row r="725">
      <c r="A725" s="9" t="n"/>
      <c r="B725" s="70" t="n"/>
      <c r="C725" s="9" t="n"/>
      <c r="D725" s="9" t="n"/>
      <c r="E725" s="9" t="n"/>
      <c r="F725" s="9" t="n"/>
      <c r="G725" s="9" t="n"/>
      <c r="H725" s="71" t="n"/>
      <c r="I725" s="9" t="n"/>
      <c r="J725" s="89">
        <f>IF(H725="","",IF(I725="Sí",ROUND(H725*Configuracion!$B$11,0),0))</f>
        <v/>
      </c>
      <c r="K725" s="89">
        <f>IF(H725="","",H725+J725)</f>
        <v/>
      </c>
      <c r="L725" s="13">
        <f>IF(B725="","",YEAR(B725))</f>
        <v/>
      </c>
      <c r="M725" s="13">
        <f>IF(B725="","",MONTH(B725))</f>
        <v/>
      </c>
      <c r="N725" s="9" t="n"/>
      <c r="O725" s="9" t="n"/>
      <c r="P725" s="9" t="n"/>
      <c r="Q725" s="9" t="n"/>
    </row>
    <row r="726">
      <c r="A726" s="9" t="n"/>
      <c r="B726" s="70" t="n"/>
      <c r="C726" s="9" t="n"/>
      <c r="D726" s="9" t="n"/>
      <c r="E726" s="9" t="n"/>
      <c r="F726" s="9" t="n"/>
      <c r="G726" s="9" t="n"/>
      <c r="H726" s="71" t="n"/>
      <c r="I726" s="9" t="n"/>
      <c r="J726" s="89">
        <f>IF(H726="","",IF(I726="Sí",ROUND(H726*Configuracion!$B$11,0),0))</f>
        <v/>
      </c>
      <c r="K726" s="89">
        <f>IF(H726="","",H726+J726)</f>
        <v/>
      </c>
      <c r="L726" s="13">
        <f>IF(B726="","",YEAR(B726))</f>
        <v/>
      </c>
      <c r="M726" s="13">
        <f>IF(B726="","",MONTH(B726))</f>
        <v/>
      </c>
      <c r="N726" s="9" t="n"/>
      <c r="O726" s="9" t="n"/>
      <c r="P726" s="9" t="n"/>
      <c r="Q726" s="9" t="n"/>
    </row>
    <row r="727">
      <c r="A727" s="9" t="n"/>
      <c r="B727" s="70" t="n"/>
      <c r="C727" s="9" t="n"/>
      <c r="D727" s="9" t="n"/>
      <c r="E727" s="9" t="n"/>
      <c r="F727" s="9" t="n"/>
      <c r="G727" s="9" t="n"/>
      <c r="H727" s="71" t="n"/>
      <c r="I727" s="9" t="n"/>
      <c r="J727" s="89">
        <f>IF(H727="","",IF(I727="Sí",ROUND(H727*Configuracion!$B$11,0),0))</f>
        <v/>
      </c>
      <c r="K727" s="89">
        <f>IF(H727="","",H727+J727)</f>
        <v/>
      </c>
      <c r="L727" s="13">
        <f>IF(B727="","",YEAR(B727))</f>
        <v/>
      </c>
      <c r="M727" s="13">
        <f>IF(B727="","",MONTH(B727))</f>
        <v/>
      </c>
      <c r="N727" s="9" t="n"/>
      <c r="O727" s="9" t="n"/>
      <c r="P727" s="9" t="n"/>
      <c r="Q727" s="9" t="n"/>
    </row>
    <row r="728">
      <c r="A728" s="9" t="n"/>
      <c r="B728" s="70" t="n"/>
      <c r="C728" s="9" t="n"/>
      <c r="D728" s="9" t="n"/>
      <c r="E728" s="9" t="n"/>
      <c r="F728" s="9" t="n"/>
      <c r="G728" s="9" t="n"/>
      <c r="H728" s="71" t="n"/>
      <c r="I728" s="9" t="n"/>
      <c r="J728" s="89">
        <f>IF(H728="","",IF(I728="Sí",ROUND(H728*Configuracion!$B$11,0),0))</f>
        <v/>
      </c>
      <c r="K728" s="89">
        <f>IF(H728="","",H728+J728)</f>
        <v/>
      </c>
      <c r="L728" s="13">
        <f>IF(B728="","",YEAR(B728))</f>
        <v/>
      </c>
      <c r="M728" s="13">
        <f>IF(B728="","",MONTH(B728))</f>
        <v/>
      </c>
      <c r="N728" s="9" t="n"/>
      <c r="O728" s="9" t="n"/>
      <c r="P728" s="9" t="n"/>
      <c r="Q728" s="9" t="n"/>
    </row>
    <row r="729">
      <c r="A729" s="9" t="n"/>
      <c r="B729" s="70" t="n"/>
      <c r="C729" s="9" t="n"/>
      <c r="D729" s="9" t="n"/>
      <c r="E729" s="9" t="n"/>
      <c r="F729" s="9" t="n"/>
      <c r="G729" s="9" t="n"/>
      <c r="H729" s="71" t="n"/>
      <c r="I729" s="9" t="n"/>
      <c r="J729" s="89">
        <f>IF(H729="","",IF(I729="Sí",ROUND(H729*Configuracion!$B$11,0),0))</f>
        <v/>
      </c>
      <c r="K729" s="89">
        <f>IF(H729="","",H729+J729)</f>
        <v/>
      </c>
      <c r="L729" s="13">
        <f>IF(B729="","",YEAR(B729))</f>
        <v/>
      </c>
      <c r="M729" s="13">
        <f>IF(B729="","",MONTH(B729))</f>
        <v/>
      </c>
      <c r="N729" s="9" t="n"/>
      <c r="O729" s="9" t="n"/>
      <c r="P729" s="9" t="n"/>
      <c r="Q729" s="9" t="n"/>
    </row>
    <row r="730">
      <c r="A730" s="9" t="n"/>
      <c r="B730" s="70" t="n"/>
      <c r="C730" s="9" t="n"/>
      <c r="D730" s="9" t="n"/>
      <c r="E730" s="9" t="n"/>
      <c r="F730" s="9" t="n"/>
      <c r="G730" s="9" t="n"/>
      <c r="H730" s="71" t="n"/>
      <c r="I730" s="9" t="n"/>
      <c r="J730" s="89">
        <f>IF(H730="","",IF(I730="Sí",ROUND(H730*Configuracion!$B$11,0),0))</f>
        <v/>
      </c>
      <c r="K730" s="89">
        <f>IF(H730="","",H730+J730)</f>
        <v/>
      </c>
      <c r="L730" s="13">
        <f>IF(B730="","",YEAR(B730))</f>
        <v/>
      </c>
      <c r="M730" s="13">
        <f>IF(B730="","",MONTH(B730))</f>
        <v/>
      </c>
      <c r="N730" s="9" t="n"/>
      <c r="O730" s="9" t="n"/>
      <c r="P730" s="9" t="n"/>
      <c r="Q730" s="9" t="n"/>
    </row>
    <row r="731">
      <c r="A731" s="9" t="n"/>
      <c r="B731" s="70" t="n"/>
      <c r="C731" s="9" t="n"/>
      <c r="D731" s="9" t="n"/>
      <c r="E731" s="9" t="n"/>
      <c r="F731" s="9" t="n"/>
      <c r="G731" s="9" t="n"/>
      <c r="H731" s="71" t="n"/>
      <c r="I731" s="9" t="n"/>
      <c r="J731" s="89">
        <f>IF(H731="","",IF(I731="Sí",ROUND(H731*Configuracion!$B$11,0),0))</f>
        <v/>
      </c>
      <c r="K731" s="89">
        <f>IF(H731="","",H731+J731)</f>
        <v/>
      </c>
      <c r="L731" s="13">
        <f>IF(B731="","",YEAR(B731))</f>
        <v/>
      </c>
      <c r="M731" s="13">
        <f>IF(B731="","",MONTH(B731))</f>
        <v/>
      </c>
      <c r="N731" s="9" t="n"/>
      <c r="O731" s="9" t="n"/>
      <c r="P731" s="9" t="n"/>
      <c r="Q731" s="9" t="n"/>
    </row>
    <row r="732">
      <c r="A732" s="9" t="n"/>
      <c r="B732" s="70" t="n"/>
      <c r="C732" s="9" t="n"/>
      <c r="D732" s="9" t="n"/>
      <c r="E732" s="9" t="n"/>
      <c r="F732" s="9" t="n"/>
      <c r="G732" s="9" t="n"/>
      <c r="H732" s="71" t="n"/>
      <c r="I732" s="9" t="n"/>
      <c r="J732" s="89">
        <f>IF(H732="","",IF(I732="Sí",ROUND(H732*Configuracion!$B$11,0),0))</f>
        <v/>
      </c>
      <c r="K732" s="89">
        <f>IF(H732="","",H732+J732)</f>
        <v/>
      </c>
      <c r="L732" s="13">
        <f>IF(B732="","",YEAR(B732))</f>
        <v/>
      </c>
      <c r="M732" s="13">
        <f>IF(B732="","",MONTH(B732))</f>
        <v/>
      </c>
      <c r="N732" s="9" t="n"/>
      <c r="O732" s="9" t="n"/>
      <c r="P732" s="9" t="n"/>
      <c r="Q732" s="9" t="n"/>
    </row>
    <row r="733">
      <c r="A733" s="9" t="n"/>
      <c r="B733" s="70" t="n"/>
      <c r="C733" s="9" t="n"/>
      <c r="D733" s="9" t="n"/>
      <c r="E733" s="9" t="n"/>
      <c r="F733" s="9" t="n"/>
      <c r="G733" s="9" t="n"/>
      <c r="H733" s="71" t="n"/>
      <c r="I733" s="9" t="n"/>
      <c r="J733" s="89">
        <f>IF(H733="","",IF(I733="Sí",ROUND(H733*Configuracion!$B$11,0),0))</f>
        <v/>
      </c>
      <c r="K733" s="89">
        <f>IF(H733="","",H733+J733)</f>
        <v/>
      </c>
      <c r="L733" s="13">
        <f>IF(B733="","",YEAR(B733))</f>
        <v/>
      </c>
      <c r="M733" s="13">
        <f>IF(B733="","",MONTH(B733))</f>
        <v/>
      </c>
      <c r="N733" s="9" t="n"/>
      <c r="O733" s="9" t="n"/>
      <c r="P733" s="9" t="n"/>
      <c r="Q733" s="9" t="n"/>
    </row>
    <row r="734">
      <c r="A734" s="9" t="n"/>
      <c r="B734" s="70" t="n"/>
      <c r="C734" s="9" t="n"/>
      <c r="D734" s="9" t="n"/>
      <c r="E734" s="9" t="n"/>
      <c r="F734" s="9" t="n"/>
      <c r="G734" s="9" t="n"/>
      <c r="H734" s="71" t="n"/>
      <c r="I734" s="9" t="n"/>
      <c r="J734" s="89">
        <f>IF(H734="","",IF(I734="Sí",ROUND(H734*Configuracion!$B$11,0),0))</f>
        <v/>
      </c>
      <c r="K734" s="89">
        <f>IF(H734="","",H734+J734)</f>
        <v/>
      </c>
      <c r="L734" s="13">
        <f>IF(B734="","",YEAR(B734))</f>
        <v/>
      </c>
      <c r="M734" s="13">
        <f>IF(B734="","",MONTH(B734))</f>
        <v/>
      </c>
      <c r="N734" s="9" t="n"/>
      <c r="O734" s="9" t="n"/>
      <c r="P734" s="9" t="n"/>
      <c r="Q734" s="9" t="n"/>
    </row>
    <row r="735">
      <c r="A735" s="9" t="n"/>
      <c r="B735" s="70" t="n"/>
      <c r="C735" s="9" t="n"/>
      <c r="D735" s="9" t="n"/>
      <c r="E735" s="9" t="n"/>
      <c r="F735" s="9" t="n"/>
      <c r="G735" s="9" t="n"/>
      <c r="H735" s="71" t="n"/>
      <c r="I735" s="9" t="n"/>
      <c r="J735" s="89">
        <f>IF(H735="","",IF(I735="Sí",ROUND(H735*Configuracion!$B$11,0),0))</f>
        <v/>
      </c>
      <c r="K735" s="89">
        <f>IF(H735="","",H735+J735)</f>
        <v/>
      </c>
      <c r="L735" s="13">
        <f>IF(B735="","",YEAR(B735))</f>
        <v/>
      </c>
      <c r="M735" s="13">
        <f>IF(B735="","",MONTH(B735))</f>
        <v/>
      </c>
      <c r="N735" s="9" t="n"/>
      <c r="O735" s="9" t="n"/>
      <c r="P735" s="9" t="n"/>
      <c r="Q735" s="9" t="n"/>
    </row>
    <row r="736">
      <c r="A736" s="9" t="n"/>
      <c r="B736" s="70" t="n"/>
      <c r="C736" s="9" t="n"/>
      <c r="D736" s="9" t="n"/>
      <c r="E736" s="9" t="n"/>
      <c r="F736" s="9" t="n"/>
      <c r="G736" s="9" t="n"/>
      <c r="H736" s="71" t="n"/>
      <c r="I736" s="9" t="n"/>
      <c r="J736" s="89">
        <f>IF(H736="","",IF(I736="Sí",ROUND(H736*Configuracion!$B$11,0),0))</f>
        <v/>
      </c>
      <c r="K736" s="89">
        <f>IF(H736="","",H736+J736)</f>
        <v/>
      </c>
      <c r="L736" s="13">
        <f>IF(B736="","",YEAR(B736))</f>
        <v/>
      </c>
      <c r="M736" s="13">
        <f>IF(B736="","",MONTH(B736))</f>
        <v/>
      </c>
      <c r="N736" s="9" t="n"/>
      <c r="O736" s="9" t="n"/>
      <c r="P736" s="9" t="n"/>
      <c r="Q736" s="9" t="n"/>
    </row>
    <row r="737">
      <c r="A737" s="9" t="n"/>
      <c r="B737" s="70" t="n"/>
      <c r="C737" s="9" t="n"/>
      <c r="D737" s="9" t="n"/>
      <c r="E737" s="9" t="n"/>
      <c r="F737" s="9" t="n"/>
      <c r="G737" s="9" t="n"/>
      <c r="H737" s="71" t="n"/>
      <c r="I737" s="9" t="n"/>
      <c r="J737" s="89">
        <f>IF(H737="","",IF(I737="Sí",ROUND(H737*Configuracion!$B$11,0),0))</f>
        <v/>
      </c>
      <c r="K737" s="89">
        <f>IF(H737="","",H737+J737)</f>
        <v/>
      </c>
      <c r="L737" s="13">
        <f>IF(B737="","",YEAR(B737))</f>
        <v/>
      </c>
      <c r="M737" s="13">
        <f>IF(B737="","",MONTH(B737))</f>
        <v/>
      </c>
      <c r="N737" s="9" t="n"/>
      <c r="O737" s="9" t="n"/>
      <c r="P737" s="9" t="n"/>
      <c r="Q737" s="9" t="n"/>
    </row>
    <row r="738">
      <c r="A738" s="9" t="n"/>
      <c r="B738" s="70" t="n"/>
      <c r="C738" s="9" t="n"/>
      <c r="D738" s="9" t="n"/>
      <c r="E738" s="9" t="n"/>
      <c r="F738" s="9" t="n"/>
      <c r="G738" s="9" t="n"/>
      <c r="H738" s="71" t="n"/>
      <c r="I738" s="9" t="n"/>
      <c r="J738" s="89">
        <f>IF(H738="","",IF(I738="Sí",ROUND(H738*Configuracion!$B$11,0),0))</f>
        <v/>
      </c>
      <c r="K738" s="89">
        <f>IF(H738="","",H738+J738)</f>
        <v/>
      </c>
      <c r="L738" s="13">
        <f>IF(B738="","",YEAR(B738))</f>
        <v/>
      </c>
      <c r="M738" s="13">
        <f>IF(B738="","",MONTH(B738))</f>
        <v/>
      </c>
      <c r="N738" s="9" t="n"/>
      <c r="O738" s="9" t="n"/>
      <c r="P738" s="9" t="n"/>
      <c r="Q738" s="9" t="n"/>
    </row>
    <row r="739">
      <c r="A739" s="9" t="n"/>
      <c r="B739" s="70" t="n"/>
      <c r="C739" s="9" t="n"/>
      <c r="D739" s="9" t="n"/>
      <c r="E739" s="9" t="n"/>
      <c r="F739" s="9" t="n"/>
      <c r="G739" s="9" t="n"/>
      <c r="H739" s="71" t="n"/>
      <c r="I739" s="9" t="n"/>
      <c r="J739" s="89">
        <f>IF(H739="","",IF(I739="Sí",ROUND(H739*Configuracion!$B$11,0),0))</f>
        <v/>
      </c>
      <c r="K739" s="89">
        <f>IF(H739="","",H739+J739)</f>
        <v/>
      </c>
      <c r="L739" s="13">
        <f>IF(B739="","",YEAR(B739))</f>
        <v/>
      </c>
      <c r="M739" s="13">
        <f>IF(B739="","",MONTH(B739))</f>
        <v/>
      </c>
      <c r="N739" s="9" t="n"/>
      <c r="O739" s="9" t="n"/>
      <c r="P739" s="9" t="n"/>
      <c r="Q739" s="9" t="n"/>
    </row>
    <row r="740">
      <c r="A740" s="9" t="n"/>
      <c r="B740" s="70" t="n"/>
      <c r="C740" s="9" t="n"/>
      <c r="D740" s="9" t="n"/>
      <c r="E740" s="9" t="n"/>
      <c r="F740" s="9" t="n"/>
      <c r="G740" s="9" t="n"/>
      <c r="H740" s="71" t="n"/>
      <c r="I740" s="9" t="n"/>
      <c r="J740" s="89">
        <f>IF(H740="","",IF(I740="Sí",ROUND(H740*Configuracion!$B$11,0),0))</f>
        <v/>
      </c>
      <c r="K740" s="89">
        <f>IF(H740="","",H740+J740)</f>
        <v/>
      </c>
      <c r="L740" s="13">
        <f>IF(B740="","",YEAR(B740))</f>
        <v/>
      </c>
      <c r="M740" s="13">
        <f>IF(B740="","",MONTH(B740))</f>
        <v/>
      </c>
      <c r="N740" s="9" t="n"/>
      <c r="O740" s="9" t="n"/>
      <c r="P740" s="9" t="n"/>
      <c r="Q740" s="9" t="n"/>
    </row>
    <row r="741">
      <c r="A741" s="9" t="n"/>
      <c r="B741" s="70" t="n"/>
      <c r="C741" s="9" t="n"/>
      <c r="D741" s="9" t="n"/>
      <c r="E741" s="9" t="n"/>
      <c r="F741" s="9" t="n"/>
      <c r="G741" s="9" t="n"/>
      <c r="H741" s="71" t="n"/>
      <c r="I741" s="9" t="n"/>
      <c r="J741" s="89">
        <f>IF(H741="","",IF(I741="Sí",ROUND(H741*Configuracion!$B$11,0),0))</f>
        <v/>
      </c>
      <c r="K741" s="89">
        <f>IF(H741="","",H741+J741)</f>
        <v/>
      </c>
      <c r="L741" s="13">
        <f>IF(B741="","",YEAR(B741))</f>
        <v/>
      </c>
      <c r="M741" s="13">
        <f>IF(B741="","",MONTH(B741))</f>
        <v/>
      </c>
      <c r="N741" s="9" t="n"/>
      <c r="O741" s="9" t="n"/>
      <c r="P741" s="9" t="n"/>
      <c r="Q741" s="9" t="n"/>
    </row>
    <row r="742">
      <c r="A742" s="9" t="n"/>
      <c r="B742" s="70" t="n"/>
      <c r="C742" s="9" t="n"/>
      <c r="D742" s="9" t="n"/>
      <c r="E742" s="9" t="n"/>
      <c r="F742" s="9" t="n"/>
      <c r="G742" s="9" t="n"/>
      <c r="H742" s="71" t="n"/>
      <c r="I742" s="9" t="n"/>
      <c r="J742" s="89">
        <f>IF(H742="","",IF(I742="Sí",ROUND(H742*Configuracion!$B$11,0),0))</f>
        <v/>
      </c>
      <c r="K742" s="89">
        <f>IF(H742="","",H742+J742)</f>
        <v/>
      </c>
      <c r="L742" s="13">
        <f>IF(B742="","",YEAR(B742))</f>
        <v/>
      </c>
      <c r="M742" s="13">
        <f>IF(B742="","",MONTH(B742))</f>
        <v/>
      </c>
      <c r="N742" s="9" t="n"/>
      <c r="O742" s="9" t="n"/>
      <c r="P742" s="9" t="n"/>
      <c r="Q742" s="9" t="n"/>
    </row>
    <row r="743">
      <c r="A743" s="9" t="n"/>
      <c r="B743" s="70" t="n"/>
      <c r="C743" s="9" t="n"/>
      <c r="D743" s="9" t="n"/>
      <c r="E743" s="9" t="n"/>
      <c r="F743" s="9" t="n"/>
      <c r="G743" s="9" t="n"/>
      <c r="H743" s="71" t="n"/>
      <c r="I743" s="9" t="n"/>
      <c r="J743" s="89">
        <f>IF(H743="","",IF(I743="Sí",ROUND(H743*Configuracion!$B$11,0),0))</f>
        <v/>
      </c>
      <c r="K743" s="89">
        <f>IF(H743="","",H743+J743)</f>
        <v/>
      </c>
      <c r="L743" s="13">
        <f>IF(B743="","",YEAR(B743))</f>
        <v/>
      </c>
      <c r="M743" s="13">
        <f>IF(B743="","",MONTH(B743))</f>
        <v/>
      </c>
      <c r="N743" s="9" t="n"/>
      <c r="O743" s="9" t="n"/>
      <c r="P743" s="9" t="n"/>
      <c r="Q743" s="9" t="n"/>
    </row>
    <row r="744">
      <c r="A744" s="9" t="n"/>
      <c r="B744" s="70" t="n"/>
      <c r="C744" s="9" t="n"/>
      <c r="D744" s="9" t="n"/>
      <c r="E744" s="9" t="n"/>
      <c r="F744" s="9" t="n"/>
      <c r="G744" s="9" t="n"/>
      <c r="H744" s="71" t="n"/>
      <c r="I744" s="9" t="n"/>
      <c r="J744" s="89">
        <f>IF(H744="","",IF(I744="Sí",ROUND(H744*Configuracion!$B$11,0),0))</f>
        <v/>
      </c>
      <c r="K744" s="89">
        <f>IF(H744="","",H744+J744)</f>
        <v/>
      </c>
      <c r="L744" s="13">
        <f>IF(B744="","",YEAR(B744))</f>
        <v/>
      </c>
      <c r="M744" s="13">
        <f>IF(B744="","",MONTH(B744))</f>
        <v/>
      </c>
      <c r="N744" s="9" t="n"/>
      <c r="O744" s="9" t="n"/>
      <c r="P744" s="9" t="n"/>
      <c r="Q744" s="9" t="n"/>
    </row>
    <row r="745">
      <c r="A745" s="9" t="n"/>
      <c r="B745" s="70" t="n"/>
      <c r="C745" s="9" t="n"/>
      <c r="D745" s="9" t="n"/>
      <c r="E745" s="9" t="n"/>
      <c r="F745" s="9" t="n"/>
      <c r="G745" s="9" t="n"/>
      <c r="H745" s="71" t="n"/>
      <c r="I745" s="9" t="n"/>
      <c r="J745" s="89">
        <f>IF(H745="","",IF(I745="Sí",ROUND(H745*Configuracion!$B$11,0),0))</f>
        <v/>
      </c>
      <c r="K745" s="89">
        <f>IF(H745="","",H745+J745)</f>
        <v/>
      </c>
      <c r="L745" s="13">
        <f>IF(B745="","",YEAR(B745))</f>
        <v/>
      </c>
      <c r="M745" s="13">
        <f>IF(B745="","",MONTH(B745))</f>
        <v/>
      </c>
      <c r="N745" s="9" t="n"/>
      <c r="O745" s="9" t="n"/>
      <c r="P745" s="9" t="n"/>
      <c r="Q745" s="9" t="n"/>
    </row>
    <row r="746">
      <c r="A746" s="9" t="n"/>
      <c r="B746" s="70" t="n"/>
      <c r="C746" s="9" t="n"/>
      <c r="D746" s="9" t="n"/>
      <c r="E746" s="9" t="n"/>
      <c r="F746" s="9" t="n"/>
      <c r="G746" s="9" t="n"/>
      <c r="H746" s="71" t="n"/>
      <c r="I746" s="9" t="n"/>
      <c r="J746" s="89">
        <f>IF(H746="","",IF(I746="Sí",ROUND(H746*Configuracion!$B$11,0),0))</f>
        <v/>
      </c>
      <c r="K746" s="89">
        <f>IF(H746="","",H746+J746)</f>
        <v/>
      </c>
      <c r="L746" s="13">
        <f>IF(B746="","",YEAR(B746))</f>
        <v/>
      </c>
      <c r="M746" s="13">
        <f>IF(B746="","",MONTH(B746))</f>
        <v/>
      </c>
      <c r="N746" s="9" t="n"/>
      <c r="O746" s="9" t="n"/>
      <c r="P746" s="9" t="n"/>
      <c r="Q746" s="9" t="n"/>
    </row>
    <row r="747">
      <c r="A747" s="9" t="n"/>
      <c r="B747" s="70" t="n"/>
      <c r="C747" s="9" t="n"/>
      <c r="D747" s="9" t="n"/>
      <c r="E747" s="9" t="n"/>
      <c r="F747" s="9" t="n"/>
      <c r="G747" s="9" t="n"/>
      <c r="H747" s="71" t="n"/>
      <c r="I747" s="9" t="n"/>
      <c r="J747" s="89">
        <f>IF(H747="","",IF(I747="Sí",ROUND(H747*Configuracion!$B$11,0),0))</f>
        <v/>
      </c>
      <c r="K747" s="89">
        <f>IF(H747="","",H747+J747)</f>
        <v/>
      </c>
      <c r="L747" s="13">
        <f>IF(B747="","",YEAR(B747))</f>
        <v/>
      </c>
      <c r="M747" s="13">
        <f>IF(B747="","",MONTH(B747))</f>
        <v/>
      </c>
      <c r="N747" s="9" t="n"/>
      <c r="O747" s="9" t="n"/>
      <c r="P747" s="9" t="n"/>
      <c r="Q747" s="9" t="n"/>
    </row>
    <row r="748">
      <c r="A748" s="9" t="n"/>
      <c r="B748" s="70" t="n"/>
      <c r="C748" s="9" t="n"/>
      <c r="D748" s="9" t="n"/>
      <c r="E748" s="9" t="n"/>
      <c r="F748" s="9" t="n"/>
      <c r="G748" s="9" t="n"/>
      <c r="H748" s="71" t="n"/>
      <c r="I748" s="9" t="n"/>
      <c r="J748" s="89">
        <f>IF(H748="","",IF(I748="Sí",ROUND(H748*Configuracion!$B$11,0),0))</f>
        <v/>
      </c>
      <c r="K748" s="89">
        <f>IF(H748="","",H748+J748)</f>
        <v/>
      </c>
      <c r="L748" s="13">
        <f>IF(B748="","",YEAR(B748))</f>
        <v/>
      </c>
      <c r="M748" s="13">
        <f>IF(B748="","",MONTH(B748))</f>
        <v/>
      </c>
      <c r="N748" s="9" t="n"/>
      <c r="O748" s="9" t="n"/>
      <c r="P748" s="9" t="n"/>
      <c r="Q748" s="9" t="n"/>
    </row>
    <row r="749">
      <c r="A749" s="9" t="n"/>
      <c r="B749" s="70" t="n"/>
      <c r="C749" s="9" t="n"/>
      <c r="D749" s="9" t="n"/>
      <c r="E749" s="9" t="n"/>
      <c r="F749" s="9" t="n"/>
      <c r="G749" s="9" t="n"/>
      <c r="H749" s="71" t="n"/>
      <c r="I749" s="9" t="n"/>
      <c r="J749" s="89">
        <f>IF(H749="","",IF(I749="Sí",ROUND(H749*Configuracion!$B$11,0),0))</f>
        <v/>
      </c>
      <c r="K749" s="89">
        <f>IF(H749="","",H749+J749)</f>
        <v/>
      </c>
      <c r="L749" s="13">
        <f>IF(B749="","",YEAR(B749))</f>
        <v/>
      </c>
      <c r="M749" s="13">
        <f>IF(B749="","",MONTH(B749))</f>
        <v/>
      </c>
      <c r="N749" s="9" t="n"/>
      <c r="O749" s="9" t="n"/>
      <c r="P749" s="9" t="n"/>
      <c r="Q749" s="9" t="n"/>
    </row>
    <row r="750">
      <c r="A750" s="9" t="n"/>
      <c r="B750" s="70" t="n"/>
      <c r="C750" s="9" t="n"/>
      <c r="D750" s="9" t="n"/>
      <c r="E750" s="9" t="n"/>
      <c r="F750" s="9" t="n"/>
      <c r="G750" s="9" t="n"/>
      <c r="H750" s="71" t="n"/>
      <c r="I750" s="9" t="n"/>
      <c r="J750" s="89">
        <f>IF(H750="","",IF(I750="Sí",ROUND(H750*Configuracion!$B$11,0),0))</f>
        <v/>
      </c>
      <c r="K750" s="89">
        <f>IF(H750="","",H750+J750)</f>
        <v/>
      </c>
      <c r="L750" s="13">
        <f>IF(B750="","",YEAR(B750))</f>
        <v/>
      </c>
      <c r="M750" s="13">
        <f>IF(B750="","",MONTH(B750))</f>
        <v/>
      </c>
      <c r="N750" s="9" t="n"/>
      <c r="O750" s="9" t="n"/>
      <c r="P750" s="9" t="n"/>
      <c r="Q750" s="9" t="n"/>
    </row>
    <row r="751">
      <c r="A751" s="9" t="n"/>
      <c r="B751" s="70" t="n"/>
      <c r="C751" s="9" t="n"/>
      <c r="D751" s="9" t="n"/>
      <c r="E751" s="9" t="n"/>
      <c r="F751" s="9" t="n"/>
      <c r="G751" s="9" t="n"/>
      <c r="H751" s="71" t="n"/>
      <c r="I751" s="9" t="n"/>
      <c r="J751" s="89">
        <f>IF(H751="","",IF(I751="Sí",ROUND(H751*Configuracion!$B$11,0),0))</f>
        <v/>
      </c>
      <c r="K751" s="89">
        <f>IF(H751="","",H751+J751)</f>
        <v/>
      </c>
      <c r="L751" s="13">
        <f>IF(B751="","",YEAR(B751))</f>
        <v/>
      </c>
      <c r="M751" s="13">
        <f>IF(B751="","",MONTH(B751))</f>
        <v/>
      </c>
      <c r="N751" s="9" t="n"/>
      <c r="O751" s="9" t="n"/>
      <c r="P751" s="9" t="n"/>
      <c r="Q751" s="9" t="n"/>
    </row>
    <row r="752">
      <c r="A752" s="9" t="n"/>
      <c r="B752" s="70" t="n"/>
      <c r="C752" s="9" t="n"/>
      <c r="D752" s="9" t="n"/>
      <c r="E752" s="9" t="n"/>
      <c r="F752" s="9" t="n"/>
      <c r="G752" s="9" t="n"/>
      <c r="H752" s="71" t="n"/>
      <c r="I752" s="9" t="n"/>
      <c r="J752" s="89">
        <f>IF(H752="","",IF(I752="Sí",ROUND(H752*Configuracion!$B$11,0),0))</f>
        <v/>
      </c>
      <c r="K752" s="89">
        <f>IF(H752="","",H752+J752)</f>
        <v/>
      </c>
      <c r="L752" s="13">
        <f>IF(B752="","",YEAR(B752))</f>
        <v/>
      </c>
      <c r="M752" s="13">
        <f>IF(B752="","",MONTH(B752))</f>
        <v/>
      </c>
      <c r="N752" s="9" t="n"/>
      <c r="O752" s="9" t="n"/>
      <c r="P752" s="9" t="n"/>
      <c r="Q752" s="9" t="n"/>
    </row>
    <row r="753">
      <c r="A753" s="9" t="n"/>
      <c r="B753" s="70" t="n"/>
      <c r="C753" s="9" t="n"/>
      <c r="D753" s="9" t="n"/>
      <c r="E753" s="9" t="n"/>
      <c r="F753" s="9" t="n"/>
      <c r="G753" s="9" t="n"/>
      <c r="H753" s="71" t="n"/>
      <c r="I753" s="9" t="n"/>
      <c r="J753" s="89">
        <f>IF(H753="","",IF(I753="Sí",ROUND(H753*Configuracion!$B$11,0),0))</f>
        <v/>
      </c>
      <c r="K753" s="89">
        <f>IF(H753="","",H753+J753)</f>
        <v/>
      </c>
      <c r="L753" s="13">
        <f>IF(B753="","",YEAR(B753))</f>
        <v/>
      </c>
      <c r="M753" s="13">
        <f>IF(B753="","",MONTH(B753))</f>
        <v/>
      </c>
      <c r="N753" s="9" t="n"/>
      <c r="O753" s="9" t="n"/>
      <c r="P753" s="9" t="n"/>
      <c r="Q753" s="9" t="n"/>
    </row>
    <row r="754">
      <c r="A754" s="9" t="n"/>
      <c r="B754" s="70" t="n"/>
      <c r="C754" s="9" t="n"/>
      <c r="D754" s="9" t="n"/>
      <c r="E754" s="9" t="n"/>
      <c r="F754" s="9" t="n"/>
      <c r="G754" s="9" t="n"/>
      <c r="H754" s="71" t="n"/>
      <c r="I754" s="9" t="n"/>
      <c r="J754" s="89">
        <f>IF(H754="","",IF(I754="Sí",ROUND(H754*Configuracion!$B$11,0),0))</f>
        <v/>
      </c>
      <c r="K754" s="89">
        <f>IF(H754="","",H754+J754)</f>
        <v/>
      </c>
      <c r="L754" s="13">
        <f>IF(B754="","",YEAR(B754))</f>
        <v/>
      </c>
      <c r="M754" s="13">
        <f>IF(B754="","",MONTH(B754))</f>
        <v/>
      </c>
      <c r="N754" s="9" t="n"/>
      <c r="O754" s="9" t="n"/>
      <c r="P754" s="9" t="n"/>
      <c r="Q754" s="9" t="n"/>
    </row>
    <row r="755">
      <c r="A755" s="9" t="n"/>
      <c r="B755" s="70" t="n"/>
      <c r="C755" s="9" t="n"/>
      <c r="D755" s="9" t="n"/>
      <c r="E755" s="9" t="n"/>
      <c r="F755" s="9" t="n"/>
      <c r="G755" s="9" t="n"/>
      <c r="H755" s="71" t="n"/>
      <c r="I755" s="9" t="n"/>
      <c r="J755" s="89">
        <f>IF(H755="","",IF(I755="Sí",ROUND(H755*Configuracion!$B$11,0),0))</f>
        <v/>
      </c>
      <c r="K755" s="89">
        <f>IF(H755="","",H755+J755)</f>
        <v/>
      </c>
      <c r="L755" s="13">
        <f>IF(B755="","",YEAR(B755))</f>
        <v/>
      </c>
      <c r="M755" s="13">
        <f>IF(B755="","",MONTH(B755))</f>
        <v/>
      </c>
      <c r="N755" s="9" t="n"/>
      <c r="O755" s="9" t="n"/>
      <c r="P755" s="9" t="n"/>
      <c r="Q755" s="9" t="n"/>
    </row>
    <row r="756">
      <c r="A756" s="9" t="n"/>
      <c r="B756" s="70" t="n"/>
      <c r="C756" s="9" t="n"/>
      <c r="D756" s="9" t="n"/>
      <c r="E756" s="9" t="n"/>
      <c r="F756" s="9" t="n"/>
      <c r="G756" s="9" t="n"/>
      <c r="H756" s="71" t="n"/>
      <c r="I756" s="9" t="n"/>
      <c r="J756" s="89">
        <f>IF(H756="","",IF(I756="Sí",ROUND(H756*Configuracion!$B$11,0),0))</f>
        <v/>
      </c>
      <c r="K756" s="89">
        <f>IF(H756="","",H756+J756)</f>
        <v/>
      </c>
      <c r="L756" s="13">
        <f>IF(B756="","",YEAR(B756))</f>
        <v/>
      </c>
      <c r="M756" s="13">
        <f>IF(B756="","",MONTH(B756))</f>
        <v/>
      </c>
      <c r="N756" s="9" t="n"/>
      <c r="O756" s="9" t="n"/>
      <c r="P756" s="9" t="n"/>
      <c r="Q756" s="9" t="n"/>
    </row>
    <row r="757">
      <c r="A757" s="9" t="n"/>
      <c r="B757" s="70" t="n"/>
      <c r="C757" s="9" t="n"/>
      <c r="D757" s="9" t="n"/>
      <c r="E757" s="9" t="n"/>
      <c r="F757" s="9" t="n"/>
      <c r="G757" s="9" t="n"/>
      <c r="H757" s="71" t="n"/>
      <c r="I757" s="9" t="n"/>
      <c r="J757" s="89">
        <f>IF(H757="","",IF(I757="Sí",ROUND(H757*Configuracion!$B$11,0),0))</f>
        <v/>
      </c>
      <c r="K757" s="89">
        <f>IF(H757="","",H757+J757)</f>
        <v/>
      </c>
      <c r="L757" s="13">
        <f>IF(B757="","",YEAR(B757))</f>
        <v/>
      </c>
      <c r="M757" s="13">
        <f>IF(B757="","",MONTH(B757))</f>
        <v/>
      </c>
      <c r="N757" s="9" t="n"/>
      <c r="O757" s="9" t="n"/>
      <c r="P757" s="9" t="n"/>
      <c r="Q757" s="9" t="n"/>
    </row>
    <row r="758">
      <c r="A758" s="9" t="n"/>
      <c r="B758" s="70" t="n"/>
      <c r="C758" s="9" t="n"/>
      <c r="D758" s="9" t="n"/>
      <c r="E758" s="9" t="n"/>
      <c r="F758" s="9" t="n"/>
      <c r="G758" s="9" t="n"/>
      <c r="H758" s="71" t="n"/>
      <c r="I758" s="9" t="n"/>
      <c r="J758" s="89">
        <f>IF(H758="","",IF(I758="Sí",ROUND(H758*Configuracion!$B$11,0),0))</f>
        <v/>
      </c>
      <c r="K758" s="89">
        <f>IF(H758="","",H758+J758)</f>
        <v/>
      </c>
      <c r="L758" s="13">
        <f>IF(B758="","",YEAR(B758))</f>
        <v/>
      </c>
      <c r="M758" s="13">
        <f>IF(B758="","",MONTH(B758))</f>
        <v/>
      </c>
      <c r="N758" s="9" t="n"/>
      <c r="O758" s="9" t="n"/>
      <c r="P758" s="9" t="n"/>
      <c r="Q758" s="9" t="n"/>
    </row>
    <row r="759">
      <c r="A759" s="9" t="n"/>
      <c r="B759" s="70" t="n"/>
      <c r="C759" s="9" t="n"/>
      <c r="D759" s="9" t="n"/>
      <c r="E759" s="9" t="n"/>
      <c r="F759" s="9" t="n"/>
      <c r="G759" s="9" t="n"/>
      <c r="H759" s="71" t="n"/>
      <c r="I759" s="9" t="n"/>
      <c r="J759" s="89">
        <f>IF(H759="","",IF(I759="Sí",ROUND(H759*Configuracion!$B$11,0),0))</f>
        <v/>
      </c>
      <c r="K759" s="89">
        <f>IF(H759="","",H759+J759)</f>
        <v/>
      </c>
      <c r="L759" s="13">
        <f>IF(B759="","",YEAR(B759))</f>
        <v/>
      </c>
      <c r="M759" s="13">
        <f>IF(B759="","",MONTH(B759))</f>
        <v/>
      </c>
      <c r="N759" s="9" t="n"/>
      <c r="O759" s="9" t="n"/>
      <c r="P759" s="9" t="n"/>
      <c r="Q759" s="9" t="n"/>
    </row>
    <row r="760">
      <c r="A760" s="9" t="n"/>
      <c r="B760" s="70" t="n"/>
      <c r="C760" s="9" t="n"/>
      <c r="D760" s="9" t="n"/>
      <c r="E760" s="9" t="n"/>
      <c r="F760" s="9" t="n"/>
      <c r="G760" s="9" t="n"/>
      <c r="H760" s="71" t="n"/>
      <c r="I760" s="9" t="n"/>
      <c r="J760" s="89">
        <f>IF(H760="","",IF(I760="Sí",ROUND(H760*Configuracion!$B$11,0),0))</f>
        <v/>
      </c>
      <c r="K760" s="89">
        <f>IF(H760="","",H760+J760)</f>
        <v/>
      </c>
      <c r="L760" s="13">
        <f>IF(B760="","",YEAR(B760))</f>
        <v/>
      </c>
      <c r="M760" s="13">
        <f>IF(B760="","",MONTH(B760))</f>
        <v/>
      </c>
      <c r="N760" s="9" t="n"/>
      <c r="O760" s="9" t="n"/>
      <c r="P760" s="9" t="n"/>
      <c r="Q760" s="9" t="n"/>
    </row>
    <row r="761">
      <c r="A761" s="9" t="n"/>
      <c r="B761" s="70" t="n"/>
      <c r="C761" s="9" t="n"/>
      <c r="D761" s="9" t="n"/>
      <c r="E761" s="9" t="n"/>
      <c r="F761" s="9" t="n"/>
      <c r="G761" s="9" t="n"/>
      <c r="H761" s="71" t="n"/>
      <c r="I761" s="9" t="n"/>
      <c r="J761" s="89">
        <f>IF(H761="","",IF(I761="Sí",ROUND(H761*Configuracion!$B$11,0),0))</f>
        <v/>
      </c>
      <c r="K761" s="89">
        <f>IF(H761="","",H761+J761)</f>
        <v/>
      </c>
      <c r="L761" s="13">
        <f>IF(B761="","",YEAR(B761))</f>
        <v/>
      </c>
      <c r="M761" s="13">
        <f>IF(B761="","",MONTH(B761))</f>
        <v/>
      </c>
      <c r="N761" s="9" t="n"/>
      <c r="O761" s="9" t="n"/>
      <c r="P761" s="9" t="n"/>
      <c r="Q761" s="9" t="n"/>
    </row>
    <row r="762">
      <c r="A762" s="9" t="n"/>
      <c r="B762" s="70" t="n"/>
      <c r="C762" s="9" t="n"/>
      <c r="D762" s="9" t="n"/>
      <c r="E762" s="9" t="n"/>
      <c r="F762" s="9" t="n"/>
      <c r="G762" s="9" t="n"/>
      <c r="H762" s="71" t="n"/>
      <c r="I762" s="9" t="n"/>
      <c r="J762" s="89">
        <f>IF(H762="","",IF(I762="Sí",ROUND(H762*Configuracion!$B$11,0),0))</f>
        <v/>
      </c>
      <c r="K762" s="89">
        <f>IF(H762="","",H762+J762)</f>
        <v/>
      </c>
      <c r="L762" s="13">
        <f>IF(B762="","",YEAR(B762))</f>
        <v/>
      </c>
      <c r="M762" s="13">
        <f>IF(B762="","",MONTH(B762))</f>
        <v/>
      </c>
      <c r="N762" s="9" t="n"/>
      <c r="O762" s="9" t="n"/>
      <c r="P762" s="9" t="n"/>
      <c r="Q762" s="9" t="n"/>
    </row>
    <row r="763">
      <c r="A763" s="9" t="n"/>
      <c r="B763" s="70" t="n"/>
      <c r="C763" s="9" t="n"/>
      <c r="D763" s="9" t="n"/>
      <c r="E763" s="9" t="n"/>
      <c r="F763" s="9" t="n"/>
      <c r="G763" s="9" t="n"/>
      <c r="H763" s="71" t="n"/>
      <c r="I763" s="9" t="n"/>
      <c r="J763" s="89">
        <f>IF(H763="","",IF(I763="Sí",ROUND(H763*Configuracion!$B$11,0),0))</f>
        <v/>
      </c>
      <c r="K763" s="89">
        <f>IF(H763="","",H763+J763)</f>
        <v/>
      </c>
      <c r="L763" s="13">
        <f>IF(B763="","",YEAR(B763))</f>
        <v/>
      </c>
      <c r="M763" s="13">
        <f>IF(B763="","",MONTH(B763))</f>
        <v/>
      </c>
      <c r="N763" s="9" t="n"/>
      <c r="O763" s="9" t="n"/>
      <c r="P763" s="9" t="n"/>
      <c r="Q763" s="9" t="n"/>
    </row>
    <row r="764">
      <c r="A764" s="9" t="n"/>
      <c r="B764" s="70" t="n"/>
      <c r="C764" s="9" t="n"/>
      <c r="D764" s="9" t="n"/>
      <c r="E764" s="9" t="n"/>
      <c r="F764" s="9" t="n"/>
      <c r="G764" s="9" t="n"/>
      <c r="H764" s="71" t="n"/>
      <c r="I764" s="9" t="n"/>
      <c r="J764" s="89">
        <f>IF(H764="","",IF(I764="Sí",ROUND(H764*Configuracion!$B$11,0),0))</f>
        <v/>
      </c>
      <c r="K764" s="89">
        <f>IF(H764="","",H764+J764)</f>
        <v/>
      </c>
      <c r="L764" s="13">
        <f>IF(B764="","",YEAR(B764))</f>
        <v/>
      </c>
      <c r="M764" s="13">
        <f>IF(B764="","",MONTH(B764))</f>
        <v/>
      </c>
      <c r="N764" s="9" t="n"/>
      <c r="O764" s="9" t="n"/>
      <c r="P764" s="9" t="n"/>
      <c r="Q764" s="9" t="n"/>
    </row>
    <row r="765">
      <c r="A765" s="9" t="n"/>
      <c r="B765" s="70" t="n"/>
      <c r="C765" s="9" t="n"/>
      <c r="D765" s="9" t="n"/>
      <c r="E765" s="9" t="n"/>
      <c r="F765" s="9" t="n"/>
      <c r="G765" s="9" t="n"/>
      <c r="H765" s="71" t="n"/>
      <c r="I765" s="9" t="n"/>
      <c r="J765" s="89">
        <f>IF(H765="","",IF(I765="Sí",ROUND(H765*Configuracion!$B$11,0),0))</f>
        <v/>
      </c>
      <c r="K765" s="89">
        <f>IF(H765="","",H765+J765)</f>
        <v/>
      </c>
      <c r="L765" s="13">
        <f>IF(B765="","",YEAR(B765))</f>
        <v/>
      </c>
      <c r="M765" s="13">
        <f>IF(B765="","",MONTH(B765))</f>
        <v/>
      </c>
      <c r="N765" s="9" t="n"/>
      <c r="O765" s="9" t="n"/>
      <c r="P765" s="9" t="n"/>
      <c r="Q765" s="9" t="n"/>
    </row>
    <row r="766">
      <c r="A766" s="9" t="n"/>
      <c r="B766" s="70" t="n"/>
      <c r="C766" s="9" t="n"/>
      <c r="D766" s="9" t="n"/>
      <c r="E766" s="9" t="n"/>
      <c r="F766" s="9" t="n"/>
      <c r="G766" s="9" t="n"/>
      <c r="H766" s="71" t="n"/>
      <c r="I766" s="9" t="n"/>
      <c r="J766" s="89">
        <f>IF(H766="","",IF(I766="Sí",ROUND(H766*Configuracion!$B$11,0),0))</f>
        <v/>
      </c>
      <c r="K766" s="89">
        <f>IF(H766="","",H766+J766)</f>
        <v/>
      </c>
      <c r="L766" s="13">
        <f>IF(B766="","",YEAR(B766))</f>
        <v/>
      </c>
      <c r="M766" s="13">
        <f>IF(B766="","",MONTH(B766))</f>
        <v/>
      </c>
      <c r="N766" s="9" t="n"/>
      <c r="O766" s="9" t="n"/>
      <c r="P766" s="9" t="n"/>
      <c r="Q766" s="9" t="n"/>
    </row>
    <row r="767">
      <c r="A767" s="9" t="n"/>
      <c r="B767" s="70" t="n"/>
      <c r="C767" s="9" t="n"/>
      <c r="D767" s="9" t="n"/>
      <c r="E767" s="9" t="n"/>
      <c r="F767" s="9" t="n"/>
      <c r="G767" s="9" t="n"/>
      <c r="H767" s="71" t="n"/>
      <c r="I767" s="9" t="n"/>
      <c r="J767" s="89">
        <f>IF(H767="","",IF(I767="Sí",ROUND(H767*Configuracion!$B$11,0),0))</f>
        <v/>
      </c>
      <c r="K767" s="89">
        <f>IF(H767="","",H767+J767)</f>
        <v/>
      </c>
      <c r="L767" s="13">
        <f>IF(B767="","",YEAR(B767))</f>
        <v/>
      </c>
      <c r="M767" s="13">
        <f>IF(B767="","",MONTH(B767))</f>
        <v/>
      </c>
      <c r="N767" s="9" t="n"/>
      <c r="O767" s="9" t="n"/>
      <c r="P767" s="9" t="n"/>
      <c r="Q767" s="9" t="n"/>
    </row>
    <row r="768">
      <c r="A768" s="9" t="n"/>
      <c r="B768" s="70" t="n"/>
      <c r="C768" s="9" t="n"/>
      <c r="D768" s="9" t="n"/>
      <c r="E768" s="9" t="n"/>
      <c r="F768" s="9" t="n"/>
      <c r="G768" s="9" t="n"/>
      <c r="H768" s="71" t="n"/>
      <c r="I768" s="9" t="n"/>
      <c r="J768" s="89">
        <f>IF(H768="","",IF(I768="Sí",ROUND(H768*Configuracion!$B$11,0),0))</f>
        <v/>
      </c>
      <c r="K768" s="89">
        <f>IF(H768="","",H768+J768)</f>
        <v/>
      </c>
      <c r="L768" s="13">
        <f>IF(B768="","",YEAR(B768))</f>
        <v/>
      </c>
      <c r="M768" s="13">
        <f>IF(B768="","",MONTH(B768))</f>
        <v/>
      </c>
      <c r="N768" s="9" t="n"/>
      <c r="O768" s="9" t="n"/>
      <c r="P768" s="9" t="n"/>
      <c r="Q768" s="9" t="n"/>
    </row>
    <row r="769">
      <c r="A769" s="9" t="n"/>
      <c r="B769" s="70" t="n"/>
      <c r="C769" s="9" t="n"/>
      <c r="D769" s="9" t="n"/>
      <c r="E769" s="9" t="n"/>
      <c r="F769" s="9" t="n"/>
      <c r="G769" s="9" t="n"/>
      <c r="H769" s="71" t="n"/>
      <c r="I769" s="9" t="n"/>
      <c r="J769" s="89">
        <f>IF(H769="","",IF(I769="Sí",ROUND(H769*Configuracion!$B$11,0),0))</f>
        <v/>
      </c>
      <c r="K769" s="89">
        <f>IF(H769="","",H769+J769)</f>
        <v/>
      </c>
      <c r="L769" s="13">
        <f>IF(B769="","",YEAR(B769))</f>
        <v/>
      </c>
      <c r="M769" s="13">
        <f>IF(B769="","",MONTH(B769))</f>
        <v/>
      </c>
      <c r="N769" s="9" t="n"/>
      <c r="O769" s="9" t="n"/>
      <c r="P769" s="9" t="n"/>
      <c r="Q769" s="9" t="n"/>
    </row>
    <row r="770">
      <c r="A770" s="9" t="n"/>
      <c r="B770" s="70" t="n"/>
      <c r="C770" s="9" t="n"/>
      <c r="D770" s="9" t="n"/>
      <c r="E770" s="9" t="n"/>
      <c r="F770" s="9" t="n"/>
      <c r="G770" s="9" t="n"/>
      <c r="H770" s="71" t="n"/>
      <c r="I770" s="9" t="n"/>
      <c r="J770" s="89">
        <f>IF(H770="","",IF(I770="Sí",ROUND(H770*Configuracion!$B$11,0),0))</f>
        <v/>
      </c>
      <c r="K770" s="89">
        <f>IF(H770="","",H770+J770)</f>
        <v/>
      </c>
      <c r="L770" s="13">
        <f>IF(B770="","",YEAR(B770))</f>
        <v/>
      </c>
      <c r="M770" s="13">
        <f>IF(B770="","",MONTH(B770))</f>
        <v/>
      </c>
      <c r="N770" s="9" t="n"/>
      <c r="O770" s="9" t="n"/>
      <c r="P770" s="9" t="n"/>
      <c r="Q770" s="9" t="n"/>
    </row>
    <row r="771">
      <c r="A771" s="9" t="n"/>
      <c r="B771" s="70" t="n"/>
      <c r="C771" s="9" t="n"/>
      <c r="D771" s="9" t="n"/>
      <c r="E771" s="9" t="n"/>
      <c r="F771" s="9" t="n"/>
      <c r="G771" s="9" t="n"/>
      <c r="H771" s="71" t="n"/>
      <c r="I771" s="9" t="n"/>
      <c r="J771" s="89">
        <f>IF(H771="","",IF(I771="Sí",ROUND(H771*Configuracion!$B$11,0),0))</f>
        <v/>
      </c>
      <c r="K771" s="89">
        <f>IF(H771="","",H771+J771)</f>
        <v/>
      </c>
      <c r="L771" s="13">
        <f>IF(B771="","",YEAR(B771))</f>
        <v/>
      </c>
      <c r="M771" s="13">
        <f>IF(B771="","",MONTH(B771))</f>
        <v/>
      </c>
      <c r="N771" s="9" t="n"/>
      <c r="O771" s="9" t="n"/>
      <c r="P771" s="9" t="n"/>
      <c r="Q771" s="9" t="n"/>
    </row>
    <row r="772">
      <c r="A772" s="9" t="n"/>
      <c r="B772" s="70" t="n"/>
      <c r="C772" s="9" t="n"/>
      <c r="D772" s="9" t="n"/>
      <c r="E772" s="9" t="n"/>
      <c r="F772" s="9" t="n"/>
      <c r="G772" s="9" t="n"/>
      <c r="H772" s="71" t="n"/>
      <c r="I772" s="9" t="n"/>
      <c r="J772" s="89">
        <f>IF(H772="","",IF(I772="Sí",ROUND(H772*Configuracion!$B$11,0),0))</f>
        <v/>
      </c>
      <c r="K772" s="89">
        <f>IF(H772="","",H772+J772)</f>
        <v/>
      </c>
      <c r="L772" s="13">
        <f>IF(B772="","",YEAR(B772))</f>
        <v/>
      </c>
      <c r="M772" s="13">
        <f>IF(B772="","",MONTH(B772))</f>
        <v/>
      </c>
      <c r="N772" s="9" t="n"/>
      <c r="O772" s="9" t="n"/>
      <c r="P772" s="9" t="n"/>
      <c r="Q772" s="9" t="n"/>
    </row>
    <row r="773">
      <c r="A773" s="9" t="n"/>
      <c r="B773" s="70" t="n"/>
      <c r="C773" s="9" t="n"/>
      <c r="D773" s="9" t="n"/>
      <c r="E773" s="9" t="n"/>
      <c r="F773" s="9" t="n"/>
      <c r="G773" s="9" t="n"/>
      <c r="H773" s="71" t="n"/>
      <c r="I773" s="9" t="n"/>
      <c r="J773" s="89">
        <f>IF(H773="","",IF(I773="Sí",ROUND(H773*Configuracion!$B$11,0),0))</f>
        <v/>
      </c>
      <c r="K773" s="89">
        <f>IF(H773="","",H773+J773)</f>
        <v/>
      </c>
      <c r="L773" s="13">
        <f>IF(B773="","",YEAR(B773))</f>
        <v/>
      </c>
      <c r="M773" s="13">
        <f>IF(B773="","",MONTH(B773))</f>
        <v/>
      </c>
      <c r="N773" s="9" t="n"/>
      <c r="O773" s="9" t="n"/>
      <c r="P773" s="9" t="n"/>
      <c r="Q773" s="9" t="n"/>
    </row>
    <row r="774">
      <c r="A774" s="9" t="n"/>
      <c r="B774" s="70" t="n"/>
      <c r="C774" s="9" t="n"/>
      <c r="D774" s="9" t="n"/>
      <c r="E774" s="9" t="n"/>
      <c r="F774" s="9" t="n"/>
      <c r="G774" s="9" t="n"/>
      <c r="H774" s="71" t="n"/>
      <c r="I774" s="9" t="n"/>
      <c r="J774" s="89">
        <f>IF(H774="","",IF(I774="Sí",ROUND(H774*Configuracion!$B$11,0),0))</f>
        <v/>
      </c>
      <c r="K774" s="89">
        <f>IF(H774="","",H774+J774)</f>
        <v/>
      </c>
      <c r="L774" s="13">
        <f>IF(B774="","",YEAR(B774))</f>
        <v/>
      </c>
      <c r="M774" s="13">
        <f>IF(B774="","",MONTH(B774))</f>
        <v/>
      </c>
      <c r="N774" s="9" t="n"/>
      <c r="O774" s="9" t="n"/>
      <c r="P774" s="9" t="n"/>
      <c r="Q774" s="9" t="n"/>
    </row>
    <row r="775">
      <c r="A775" s="9" t="n"/>
      <c r="B775" s="70" t="n"/>
      <c r="C775" s="9" t="n"/>
      <c r="D775" s="9" t="n"/>
      <c r="E775" s="9" t="n"/>
      <c r="F775" s="9" t="n"/>
      <c r="G775" s="9" t="n"/>
      <c r="H775" s="71" t="n"/>
      <c r="I775" s="9" t="n"/>
      <c r="J775" s="89">
        <f>IF(H775="","",IF(I775="Sí",ROUND(H775*Configuracion!$B$11,0),0))</f>
        <v/>
      </c>
      <c r="K775" s="89">
        <f>IF(H775="","",H775+J775)</f>
        <v/>
      </c>
      <c r="L775" s="13">
        <f>IF(B775="","",YEAR(B775))</f>
        <v/>
      </c>
      <c r="M775" s="13">
        <f>IF(B775="","",MONTH(B775))</f>
        <v/>
      </c>
      <c r="N775" s="9" t="n"/>
      <c r="O775" s="9" t="n"/>
      <c r="P775" s="9" t="n"/>
      <c r="Q775" s="9" t="n"/>
    </row>
    <row r="776">
      <c r="A776" s="9" t="n"/>
      <c r="B776" s="70" t="n"/>
      <c r="C776" s="9" t="n"/>
      <c r="D776" s="9" t="n"/>
      <c r="E776" s="9" t="n"/>
      <c r="F776" s="9" t="n"/>
      <c r="G776" s="9" t="n"/>
      <c r="H776" s="71" t="n"/>
      <c r="I776" s="9" t="n"/>
      <c r="J776" s="89">
        <f>IF(H776="","",IF(I776="Sí",ROUND(H776*Configuracion!$B$11,0),0))</f>
        <v/>
      </c>
      <c r="K776" s="89">
        <f>IF(H776="","",H776+J776)</f>
        <v/>
      </c>
      <c r="L776" s="13">
        <f>IF(B776="","",YEAR(B776))</f>
        <v/>
      </c>
      <c r="M776" s="13">
        <f>IF(B776="","",MONTH(B776))</f>
        <v/>
      </c>
      <c r="N776" s="9" t="n"/>
      <c r="O776" s="9" t="n"/>
      <c r="P776" s="9" t="n"/>
      <c r="Q776" s="9" t="n"/>
    </row>
    <row r="777">
      <c r="A777" s="9" t="n"/>
      <c r="B777" s="70" t="n"/>
      <c r="C777" s="9" t="n"/>
      <c r="D777" s="9" t="n"/>
      <c r="E777" s="9" t="n"/>
      <c r="F777" s="9" t="n"/>
      <c r="G777" s="9" t="n"/>
      <c r="H777" s="71" t="n"/>
      <c r="I777" s="9" t="n"/>
      <c r="J777" s="89">
        <f>IF(H777="","",IF(I777="Sí",ROUND(H777*Configuracion!$B$11,0),0))</f>
        <v/>
      </c>
      <c r="K777" s="89">
        <f>IF(H777="","",H777+J777)</f>
        <v/>
      </c>
      <c r="L777" s="13">
        <f>IF(B777="","",YEAR(B777))</f>
        <v/>
      </c>
      <c r="M777" s="13">
        <f>IF(B777="","",MONTH(B777))</f>
        <v/>
      </c>
      <c r="N777" s="9" t="n"/>
      <c r="O777" s="9" t="n"/>
      <c r="P777" s="9" t="n"/>
      <c r="Q777" s="9" t="n"/>
    </row>
    <row r="778">
      <c r="A778" s="9" t="n"/>
      <c r="B778" s="70" t="n"/>
      <c r="C778" s="9" t="n"/>
      <c r="D778" s="9" t="n"/>
      <c r="E778" s="9" t="n"/>
      <c r="F778" s="9" t="n"/>
      <c r="G778" s="9" t="n"/>
      <c r="H778" s="71" t="n"/>
      <c r="I778" s="9" t="n"/>
      <c r="J778" s="89">
        <f>IF(H778="","",IF(I778="Sí",ROUND(H778*Configuracion!$B$11,0),0))</f>
        <v/>
      </c>
      <c r="K778" s="89">
        <f>IF(H778="","",H778+J778)</f>
        <v/>
      </c>
      <c r="L778" s="13">
        <f>IF(B778="","",YEAR(B778))</f>
        <v/>
      </c>
      <c r="M778" s="13">
        <f>IF(B778="","",MONTH(B778))</f>
        <v/>
      </c>
      <c r="N778" s="9" t="n"/>
      <c r="O778" s="9" t="n"/>
      <c r="P778" s="9" t="n"/>
      <c r="Q778" s="9" t="n"/>
    </row>
    <row r="779">
      <c r="A779" s="9" t="n"/>
      <c r="B779" s="70" t="n"/>
      <c r="C779" s="9" t="n"/>
      <c r="D779" s="9" t="n"/>
      <c r="E779" s="9" t="n"/>
      <c r="F779" s="9" t="n"/>
      <c r="G779" s="9" t="n"/>
      <c r="H779" s="71" t="n"/>
      <c r="I779" s="9" t="n"/>
      <c r="J779" s="89">
        <f>IF(H779="","",IF(I779="Sí",ROUND(H779*Configuracion!$B$11,0),0))</f>
        <v/>
      </c>
      <c r="K779" s="89">
        <f>IF(H779="","",H779+J779)</f>
        <v/>
      </c>
      <c r="L779" s="13">
        <f>IF(B779="","",YEAR(B779))</f>
        <v/>
      </c>
      <c r="M779" s="13">
        <f>IF(B779="","",MONTH(B779))</f>
        <v/>
      </c>
      <c r="N779" s="9" t="n"/>
      <c r="O779" s="9" t="n"/>
      <c r="P779" s="9" t="n"/>
      <c r="Q779" s="9" t="n"/>
    </row>
    <row r="780">
      <c r="A780" s="9" t="n"/>
      <c r="B780" s="70" t="n"/>
      <c r="C780" s="9" t="n"/>
      <c r="D780" s="9" t="n"/>
      <c r="E780" s="9" t="n"/>
      <c r="F780" s="9" t="n"/>
      <c r="G780" s="9" t="n"/>
      <c r="H780" s="71" t="n"/>
      <c r="I780" s="9" t="n"/>
      <c r="J780" s="89">
        <f>IF(H780="","",IF(I780="Sí",ROUND(H780*Configuracion!$B$11,0),0))</f>
        <v/>
      </c>
      <c r="K780" s="89">
        <f>IF(H780="","",H780+J780)</f>
        <v/>
      </c>
      <c r="L780" s="13">
        <f>IF(B780="","",YEAR(B780))</f>
        <v/>
      </c>
      <c r="M780" s="13">
        <f>IF(B780="","",MONTH(B780))</f>
        <v/>
      </c>
      <c r="N780" s="9" t="n"/>
      <c r="O780" s="9" t="n"/>
      <c r="P780" s="9" t="n"/>
      <c r="Q780" s="9" t="n"/>
    </row>
    <row r="781">
      <c r="A781" s="9" t="n"/>
      <c r="B781" s="70" t="n"/>
      <c r="C781" s="9" t="n"/>
      <c r="D781" s="9" t="n"/>
      <c r="E781" s="9" t="n"/>
      <c r="F781" s="9" t="n"/>
      <c r="G781" s="9" t="n"/>
      <c r="H781" s="71" t="n"/>
      <c r="I781" s="9" t="n"/>
      <c r="J781" s="89">
        <f>IF(H781="","",IF(I781="Sí",ROUND(H781*Configuracion!$B$11,0),0))</f>
        <v/>
      </c>
      <c r="K781" s="89">
        <f>IF(H781="","",H781+J781)</f>
        <v/>
      </c>
      <c r="L781" s="13">
        <f>IF(B781="","",YEAR(B781))</f>
        <v/>
      </c>
      <c r="M781" s="13">
        <f>IF(B781="","",MONTH(B781))</f>
        <v/>
      </c>
      <c r="N781" s="9" t="n"/>
      <c r="O781" s="9" t="n"/>
      <c r="P781" s="9" t="n"/>
      <c r="Q781" s="9" t="n"/>
    </row>
    <row r="782">
      <c r="A782" s="9" t="n"/>
      <c r="B782" s="70" t="n"/>
      <c r="C782" s="9" t="n"/>
      <c r="D782" s="9" t="n"/>
      <c r="E782" s="9" t="n"/>
      <c r="F782" s="9" t="n"/>
      <c r="G782" s="9" t="n"/>
      <c r="H782" s="71" t="n"/>
      <c r="I782" s="9" t="n"/>
      <c r="J782" s="89">
        <f>IF(H782="","",IF(I782="Sí",ROUND(H782*Configuracion!$B$11,0),0))</f>
        <v/>
      </c>
      <c r="K782" s="89">
        <f>IF(H782="","",H782+J782)</f>
        <v/>
      </c>
      <c r="L782" s="13">
        <f>IF(B782="","",YEAR(B782))</f>
        <v/>
      </c>
      <c r="M782" s="13">
        <f>IF(B782="","",MONTH(B782))</f>
        <v/>
      </c>
      <c r="N782" s="9" t="n"/>
      <c r="O782" s="9" t="n"/>
      <c r="P782" s="9" t="n"/>
      <c r="Q782" s="9" t="n"/>
    </row>
    <row r="783">
      <c r="A783" s="9" t="n"/>
      <c r="B783" s="70" t="n"/>
      <c r="C783" s="9" t="n"/>
      <c r="D783" s="9" t="n"/>
      <c r="E783" s="9" t="n"/>
      <c r="F783" s="9" t="n"/>
      <c r="G783" s="9" t="n"/>
      <c r="H783" s="71" t="n"/>
      <c r="I783" s="9" t="n"/>
      <c r="J783" s="89">
        <f>IF(H783="","",IF(I783="Sí",ROUND(H783*Configuracion!$B$11,0),0))</f>
        <v/>
      </c>
      <c r="K783" s="89">
        <f>IF(H783="","",H783+J783)</f>
        <v/>
      </c>
      <c r="L783" s="13">
        <f>IF(B783="","",YEAR(B783))</f>
        <v/>
      </c>
      <c r="M783" s="13">
        <f>IF(B783="","",MONTH(B783))</f>
        <v/>
      </c>
      <c r="N783" s="9" t="n"/>
      <c r="O783" s="9" t="n"/>
      <c r="P783" s="9" t="n"/>
      <c r="Q783" s="9" t="n"/>
    </row>
    <row r="784">
      <c r="A784" s="9" t="n"/>
      <c r="B784" s="70" t="n"/>
      <c r="C784" s="9" t="n"/>
      <c r="D784" s="9" t="n"/>
      <c r="E784" s="9" t="n"/>
      <c r="F784" s="9" t="n"/>
      <c r="G784" s="9" t="n"/>
      <c r="H784" s="71" t="n"/>
      <c r="I784" s="9" t="n"/>
      <c r="J784" s="89">
        <f>IF(H784="","",IF(I784="Sí",ROUND(H784*Configuracion!$B$11,0),0))</f>
        <v/>
      </c>
      <c r="K784" s="89">
        <f>IF(H784="","",H784+J784)</f>
        <v/>
      </c>
      <c r="L784" s="13">
        <f>IF(B784="","",YEAR(B784))</f>
        <v/>
      </c>
      <c r="M784" s="13">
        <f>IF(B784="","",MONTH(B784))</f>
        <v/>
      </c>
      <c r="N784" s="9" t="n"/>
      <c r="O784" s="9" t="n"/>
      <c r="P784" s="9" t="n"/>
      <c r="Q784" s="9" t="n"/>
    </row>
    <row r="785">
      <c r="A785" s="9" t="n"/>
      <c r="B785" s="70" t="n"/>
      <c r="C785" s="9" t="n"/>
      <c r="D785" s="9" t="n"/>
      <c r="E785" s="9" t="n"/>
      <c r="F785" s="9" t="n"/>
      <c r="G785" s="9" t="n"/>
      <c r="H785" s="71" t="n"/>
      <c r="I785" s="9" t="n"/>
      <c r="J785" s="89">
        <f>IF(H785="","",IF(I785="Sí",ROUND(H785*Configuracion!$B$11,0),0))</f>
        <v/>
      </c>
      <c r="K785" s="89">
        <f>IF(H785="","",H785+J785)</f>
        <v/>
      </c>
      <c r="L785" s="13">
        <f>IF(B785="","",YEAR(B785))</f>
        <v/>
      </c>
      <c r="M785" s="13">
        <f>IF(B785="","",MONTH(B785))</f>
        <v/>
      </c>
      <c r="N785" s="9" t="n"/>
      <c r="O785" s="9" t="n"/>
      <c r="P785" s="9" t="n"/>
      <c r="Q785" s="9" t="n"/>
    </row>
    <row r="786">
      <c r="A786" s="9" t="n"/>
      <c r="B786" s="70" t="n"/>
      <c r="C786" s="9" t="n"/>
      <c r="D786" s="9" t="n"/>
      <c r="E786" s="9" t="n"/>
      <c r="F786" s="9" t="n"/>
      <c r="G786" s="9" t="n"/>
      <c r="H786" s="71" t="n"/>
      <c r="I786" s="9" t="n"/>
      <c r="J786" s="89">
        <f>IF(H786="","",IF(I786="Sí",ROUND(H786*Configuracion!$B$11,0),0))</f>
        <v/>
      </c>
      <c r="K786" s="89">
        <f>IF(H786="","",H786+J786)</f>
        <v/>
      </c>
      <c r="L786" s="13">
        <f>IF(B786="","",YEAR(B786))</f>
        <v/>
      </c>
      <c r="M786" s="13">
        <f>IF(B786="","",MONTH(B786))</f>
        <v/>
      </c>
      <c r="N786" s="9" t="n"/>
      <c r="O786" s="9" t="n"/>
      <c r="P786" s="9" t="n"/>
      <c r="Q786" s="9" t="n"/>
    </row>
    <row r="787">
      <c r="A787" s="9" t="n"/>
      <c r="B787" s="70" t="n"/>
      <c r="C787" s="9" t="n"/>
      <c r="D787" s="9" t="n"/>
      <c r="E787" s="9" t="n"/>
      <c r="F787" s="9" t="n"/>
      <c r="G787" s="9" t="n"/>
      <c r="H787" s="71" t="n"/>
      <c r="I787" s="9" t="n"/>
      <c r="J787" s="89">
        <f>IF(H787="","",IF(I787="Sí",ROUND(H787*Configuracion!$B$11,0),0))</f>
        <v/>
      </c>
      <c r="K787" s="89">
        <f>IF(H787="","",H787+J787)</f>
        <v/>
      </c>
      <c r="L787" s="13">
        <f>IF(B787="","",YEAR(B787))</f>
        <v/>
      </c>
      <c r="M787" s="13">
        <f>IF(B787="","",MONTH(B787))</f>
        <v/>
      </c>
      <c r="N787" s="9" t="n"/>
      <c r="O787" s="9" t="n"/>
      <c r="P787" s="9" t="n"/>
      <c r="Q787" s="9" t="n"/>
    </row>
    <row r="788">
      <c r="A788" s="9" t="n"/>
      <c r="B788" s="70" t="n"/>
      <c r="C788" s="9" t="n"/>
      <c r="D788" s="9" t="n"/>
      <c r="E788" s="9" t="n"/>
      <c r="F788" s="9" t="n"/>
      <c r="G788" s="9" t="n"/>
      <c r="H788" s="71" t="n"/>
      <c r="I788" s="9" t="n"/>
      <c r="J788" s="89">
        <f>IF(H788="","",IF(I788="Sí",ROUND(H788*Configuracion!$B$11,0),0))</f>
        <v/>
      </c>
      <c r="K788" s="89">
        <f>IF(H788="","",H788+J788)</f>
        <v/>
      </c>
      <c r="L788" s="13">
        <f>IF(B788="","",YEAR(B788))</f>
        <v/>
      </c>
      <c r="M788" s="13">
        <f>IF(B788="","",MONTH(B788))</f>
        <v/>
      </c>
      <c r="N788" s="9" t="n"/>
      <c r="O788" s="9" t="n"/>
      <c r="P788" s="9" t="n"/>
      <c r="Q788" s="9" t="n"/>
    </row>
    <row r="789">
      <c r="A789" s="9" t="n"/>
      <c r="B789" s="70" t="n"/>
      <c r="C789" s="9" t="n"/>
      <c r="D789" s="9" t="n"/>
      <c r="E789" s="9" t="n"/>
      <c r="F789" s="9" t="n"/>
      <c r="G789" s="9" t="n"/>
      <c r="H789" s="71" t="n"/>
      <c r="I789" s="9" t="n"/>
      <c r="J789" s="89">
        <f>IF(H789="","",IF(I789="Sí",ROUND(H789*Configuracion!$B$11,0),0))</f>
        <v/>
      </c>
      <c r="K789" s="89">
        <f>IF(H789="","",H789+J789)</f>
        <v/>
      </c>
      <c r="L789" s="13">
        <f>IF(B789="","",YEAR(B789))</f>
        <v/>
      </c>
      <c r="M789" s="13">
        <f>IF(B789="","",MONTH(B789))</f>
        <v/>
      </c>
      <c r="N789" s="9" t="n"/>
      <c r="O789" s="9" t="n"/>
      <c r="P789" s="9" t="n"/>
      <c r="Q789" s="9" t="n"/>
    </row>
    <row r="790">
      <c r="A790" s="9" t="n"/>
      <c r="B790" s="70" t="n"/>
      <c r="C790" s="9" t="n"/>
      <c r="D790" s="9" t="n"/>
      <c r="E790" s="9" t="n"/>
      <c r="F790" s="9" t="n"/>
      <c r="G790" s="9" t="n"/>
      <c r="H790" s="71" t="n"/>
      <c r="I790" s="9" t="n"/>
      <c r="J790" s="89">
        <f>IF(H790="","",IF(I790="Sí",ROUND(H790*Configuracion!$B$11,0),0))</f>
        <v/>
      </c>
      <c r="K790" s="89">
        <f>IF(H790="","",H790+J790)</f>
        <v/>
      </c>
      <c r="L790" s="13">
        <f>IF(B790="","",YEAR(B790))</f>
        <v/>
      </c>
      <c r="M790" s="13">
        <f>IF(B790="","",MONTH(B790))</f>
        <v/>
      </c>
      <c r="N790" s="9" t="n"/>
      <c r="O790" s="9" t="n"/>
      <c r="P790" s="9" t="n"/>
      <c r="Q790" s="9" t="n"/>
    </row>
    <row r="791">
      <c r="A791" s="9" t="n"/>
      <c r="B791" s="70" t="n"/>
      <c r="C791" s="9" t="n"/>
      <c r="D791" s="9" t="n"/>
      <c r="E791" s="9" t="n"/>
      <c r="F791" s="9" t="n"/>
      <c r="G791" s="9" t="n"/>
      <c r="H791" s="71" t="n"/>
      <c r="I791" s="9" t="n"/>
      <c r="J791" s="89">
        <f>IF(H791="","",IF(I791="Sí",ROUND(H791*Configuracion!$B$11,0),0))</f>
        <v/>
      </c>
      <c r="K791" s="89">
        <f>IF(H791="","",H791+J791)</f>
        <v/>
      </c>
      <c r="L791" s="13">
        <f>IF(B791="","",YEAR(B791))</f>
        <v/>
      </c>
      <c r="M791" s="13">
        <f>IF(B791="","",MONTH(B791))</f>
        <v/>
      </c>
      <c r="N791" s="9" t="n"/>
      <c r="O791" s="9" t="n"/>
      <c r="P791" s="9" t="n"/>
      <c r="Q791" s="9" t="n"/>
    </row>
    <row r="792">
      <c r="A792" s="9" t="n"/>
      <c r="B792" s="70" t="n"/>
      <c r="C792" s="9" t="n"/>
      <c r="D792" s="9" t="n"/>
      <c r="E792" s="9" t="n"/>
      <c r="F792" s="9" t="n"/>
      <c r="G792" s="9" t="n"/>
      <c r="H792" s="71" t="n"/>
      <c r="I792" s="9" t="n"/>
      <c r="J792" s="89">
        <f>IF(H792="","",IF(I792="Sí",ROUND(H792*Configuracion!$B$11,0),0))</f>
        <v/>
      </c>
      <c r="K792" s="89">
        <f>IF(H792="","",H792+J792)</f>
        <v/>
      </c>
      <c r="L792" s="13">
        <f>IF(B792="","",YEAR(B792))</f>
        <v/>
      </c>
      <c r="M792" s="13">
        <f>IF(B792="","",MONTH(B792))</f>
        <v/>
      </c>
      <c r="N792" s="9" t="n"/>
      <c r="O792" s="9" t="n"/>
      <c r="P792" s="9" t="n"/>
      <c r="Q792" s="9" t="n"/>
    </row>
    <row r="793">
      <c r="A793" s="9" t="n"/>
      <c r="B793" s="70" t="n"/>
      <c r="C793" s="9" t="n"/>
      <c r="D793" s="9" t="n"/>
      <c r="E793" s="9" t="n"/>
      <c r="F793" s="9" t="n"/>
      <c r="G793" s="9" t="n"/>
      <c r="H793" s="71" t="n"/>
      <c r="I793" s="9" t="n"/>
      <c r="J793" s="89">
        <f>IF(H793="","",IF(I793="Sí",ROUND(H793*Configuracion!$B$11,0),0))</f>
        <v/>
      </c>
      <c r="K793" s="89">
        <f>IF(H793="","",H793+J793)</f>
        <v/>
      </c>
      <c r="L793" s="13">
        <f>IF(B793="","",YEAR(B793))</f>
        <v/>
      </c>
      <c r="M793" s="13">
        <f>IF(B793="","",MONTH(B793))</f>
        <v/>
      </c>
      <c r="N793" s="9" t="n"/>
      <c r="O793" s="9" t="n"/>
      <c r="P793" s="9" t="n"/>
      <c r="Q793" s="9" t="n"/>
    </row>
    <row r="794">
      <c r="A794" s="9" t="n"/>
      <c r="B794" s="70" t="n"/>
      <c r="C794" s="9" t="n"/>
      <c r="D794" s="9" t="n"/>
      <c r="E794" s="9" t="n"/>
      <c r="F794" s="9" t="n"/>
      <c r="G794" s="9" t="n"/>
      <c r="H794" s="71" t="n"/>
      <c r="I794" s="9" t="n"/>
      <c r="J794" s="89">
        <f>IF(H794="","",IF(I794="Sí",ROUND(H794*Configuracion!$B$11,0),0))</f>
        <v/>
      </c>
      <c r="K794" s="89">
        <f>IF(H794="","",H794+J794)</f>
        <v/>
      </c>
      <c r="L794" s="13">
        <f>IF(B794="","",YEAR(B794))</f>
        <v/>
      </c>
      <c r="M794" s="13">
        <f>IF(B794="","",MONTH(B794))</f>
        <v/>
      </c>
      <c r="N794" s="9" t="n"/>
      <c r="O794" s="9" t="n"/>
      <c r="P794" s="9" t="n"/>
      <c r="Q794" s="9" t="n"/>
    </row>
    <row r="795">
      <c r="A795" s="9" t="n"/>
      <c r="B795" s="70" t="n"/>
      <c r="C795" s="9" t="n"/>
      <c r="D795" s="9" t="n"/>
      <c r="E795" s="9" t="n"/>
      <c r="F795" s="9" t="n"/>
      <c r="G795" s="9" t="n"/>
      <c r="H795" s="71" t="n"/>
      <c r="I795" s="9" t="n"/>
      <c r="J795" s="89">
        <f>IF(H795="","",IF(I795="Sí",ROUND(H795*Configuracion!$B$11,0),0))</f>
        <v/>
      </c>
      <c r="K795" s="89">
        <f>IF(H795="","",H795+J795)</f>
        <v/>
      </c>
      <c r="L795" s="13">
        <f>IF(B795="","",YEAR(B795))</f>
        <v/>
      </c>
      <c r="M795" s="13">
        <f>IF(B795="","",MONTH(B795))</f>
        <v/>
      </c>
      <c r="N795" s="9" t="n"/>
      <c r="O795" s="9" t="n"/>
      <c r="P795" s="9" t="n"/>
      <c r="Q795" s="9" t="n"/>
    </row>
    <row r="796">
      <c r="A796" s="9" t="n"/>
      <c r="B796" s="70" t="n"/>
      <c r="C796" s="9" t="n"/>
      <c r="D796" s="9" t="n"/>
      <c r="E796" s="9" t="n"/>
      <c r="F796" s="9" t="n"/>
      <c r="G796" s="9" t="n"/>
      <c r="H796" s="71" t="n"/>
      <c r="I796" s="9" t="n"/>
      <c r="J796" s="89">
        <f>IF(H796="","",IF(I796="Sí",ROUND(H796*Configuracion!$B$11,0),0))</f>
        <v/>
      </c>
      <c r="K796" s="89">
        <f>IF(H796="","",H796+J796)</f>
        <v/>
      </c>
      <c r="L796" s="13">
        <f>IF(B796="","",YEAR(B796))</f>
        <v/>
      </c>
      <c r="M796" s="13">
        <f>IF(B796="","",MONTH(B796))</f>
        <v/>
      </c>
      <c r="N796" s="9" t="n"/>
      <c r="O796" s="9" t="n"/>
      <c r="P796" s="9" t="n"/>
      <c r="Q796" s="9" t="n"/>
    </row>
    <row r="797">
      <c r="A797" s="9" t="n"/>
      <c r="B797" s="70" t="n"/>
      <c r="C797" s="9" t="n"/>
      <c r="D797" s="9" t="n"/>
      <c r="E797" s="9" t="n"/>
      <c r="F797" s="9" t="n"/>
      <c r="G797" s="9" t="n"/>
      <c r="H797" s="71" t="n"/>
      <c r="I797" s="9" t="n"/>
      <c r="J797" s="89">
        <f>IF(H797="","",IF(I797="Sí",ROUND(H797*Configuracion!$B$11,0),0))</f>
        <v/>
      </c>
      <c r="K797" s="89">
        <f>IF(H797="","",H797+J797)</f>
        <v/>
      </c>
      <c r="L797" s="13">
        <f>IF(B797="","",YEAR(B797))</f>
        <v/>
      </c>
      <c r="M797" s="13">
        <f>IF(B797="","",MONTH(B797))</f>
        <v/>
      </c>
      <c r="N797" s="9" t="n"/>
      <c r="O797" s="9" t="n"/>
      <c r="P797" s="9" t="n"/>
      <c r="Q797" s="9" t="n"/>
    </row>
    <row r="798">
      <c r="A798" s="9" t="n"/>
      <c r="B798" s="70" t="n"/>
      <c r="C798" s="9" t="n"/>
      <c r="D798" s="9" t="n"/>
      <c r="E798" s="9" t="n"/>
      <c r="F798" s="9" t="n"/>
      <c r="G798" s="9" t="n"/>
      <c r="H798" s="71" t="n"/>
      <c r="I798" s="9" t="n"/>
      <c r="J798" s="89">
        <f>IF(H798="","",IF(I798="Sí",ROUND(H798*Configuracion!$B$11,0),0))</f>
        <v/>
      </c>
      <c r="K798" s="89">
        <f>IF(H798="","",H798+J798)</f>
        <v/>
      </c>
      <c r="L798" s="13">
        <f>IF(B798="","",YEAR(B798))</f>
        <v/>
      </c>
      <c r="M798" s="13">
        <f>IF(B798="","",MONTH(B798))</f>
        <v/>
      </c>
      <c r="N798" s="9" t="n"/>
      <c r="O798" s="9" t="n"/>
      <c r="P798" s="9" t="n"/>
      <c r="Q798" s="9" t="n"/>
    </row>
    <row r="799">
      <c r="A799" s="9" t="n"/>
      <c r="B799" s="70" t="n"/>
      <c r="C799" s="9" t="n"/>
      <c r="D799" s="9" t="n"/>
      <c r="E799" s="9" t="n"/>
      <c r="F799" s="9" t="n"/>
      <c r="G799" s="9" t="n"/>
      <c r="H799" s="71" t="n"/>
      <c r="I799" s="9" t="n"/>
      <c r="J799" s="89">
        <f>IF(H799="","",IF(I799="Sí",ROUND(H799*Configuracion!$B$11,0),0))</f>
        <v/>
      </c>
      <c r="K799" s="89">
        <f>IF(H799="","",H799+J799)</f>
        <v/>
      </c>
      <c r="L799" s="13">
        <f>IF(B799="","",YEAR(B799))</f>
        <v/>
      </c>
      <c r="M799" s="13">
        <f>IF(B799="","",MONTH(B799))</f>
        <v/>
      </c>
      <c r="N799" s="9" t="n"/>
      <c r="O799" s="9" t="n"/>
      <c r="P799" s="9" t="n"/>
      <c r="Q799" s="9" t="n"/>
    </row>
    <row r="800">
      <c r="A800" s="9" t="n"/>
      <c r="B800" s="70" t="n"/>
      <c r="C800" s="9" t="n"/>
      <c r="D800" s="9" t="n"/>
      <c r="E800" s="9" t="n"/>
      <c r="F800" s="9" t="n"/>
      <c r="G800" s="9" t="n"/>
      <c r="H800" s="71" t="n"/>
      <c r="I800" s="9" t="n"/>
      <c r="J800" s="89">
        <f>IF(H800="","",IF(I800="Sí",ROUND(H800*Configuracion!$B$11,0),0))</f>
        <v/>
      </c>
      <c r="K800" s="89">
        <f>IF(H800="","",H800+J800)</f>
        <v/>
      </c>
      <c r="L800" s="13">
        <f>IF(B800="","",YEAR(B800))</f>
        <v/>
      </c>
      <c r="M800" s="13">
        <f>IF(B800="","",MONTH(B800))</f>
        <v/>
      </c>
      <c r="N800" s="9" t="n"/>
      <c r="O800" s="9" t="n"/>
      <c r="P800" s="9" t="n"/>
      <c r="Q800" s="9" t="n"/>
    </row>
    <row r="801">
      <c r="A801" s="9" t="n"/>
      <c r="B801" s="70" t="n"/>
      <c r="C801" s="9" t="n"/>
      <c r="D801" s="9" t="n"/>
      <c r="E801" s="9" t="n"/>
      <c r="F801" s="9" t="n"/>
      <c r="G801" s="9" t="n"/>
      <c r="H801" s="71" t="n"/>
      <c r="I801" s="9" t="n"/>
      <c r="J801" s="89">
        <f>IF(H801="","",IF(I801="Sí",ROUND(H801*Configuracion!$B$11,0),0))</f>
        <v/>
      </c>
      <c r="K801" s="89">
        <f>IF(H801="","",H801+J801)</f>
        <v/>
      </c>
      <c r="L801" s="13">
        <f>IF(B801="","",YEAR(B801))</f>
        <v/>
      </c>
      <c r="M801" s="13">
        <f>IF(B801="","",MONTH(B801))</f>
        <v/>
      </c>
      <c r="N801" s="9" t="n"/>
      <c r="O801" s="9" t="n"/>
      <c r="P801" s="9" t="n"/>
      <c r="Q801" s="9" t="n"/>
    </row>
    <row r="802">
      <c r="A802" s="9" t="n"/>
      <c r="B802" s="70" t="n"/>
      <c r="C802" s="9" t="n"/>
      <c r="D802" s="9" t="n"/>
      <c r="E802" s="9" t="n"/>
      <c r="F802" s="9" t="n"/>
      <c r="G802" s="9" t="n"/>
      <c r="H802" s="71" t="n"/>
      <c r="I802" s="9" t="n"/>
      <c r="J802" s="89">
        <f>IF(H802="","",IF(I802="Sí",ROUND(H802*Configuracion!$B$11,0),0))</f>
        <v/>
      </c>
      <c r="K802" s="89">
        <f>IF(H802="","",H802+J802)</f>
        <v/>
      </c>
      <c r="L802" s="13">
        <f>IF(B802="","",YEAR(B802))</f>
        <v/>
      </c>
      <c r="M802" s="13">
        <f>IF(B802="","",MONTH(B802))</f>
        <v/>
      </c>
      <c r="N802" s="9" t="n"/>
      <c r="O802" s="9" t="n"/>
      <c r="P802" s="9" t="n"/>
      <c r="Q802" s="9" t="n"/>
    </row>
    <row r="803">
      <c r="A803" s="9" t="n"/>
      <c r="B803" s="70" t="n"/>
      <c r="C803" s="9" t="n"/>
      <c r="D803" s="9" t="n"/>
      <c r="E803" s="9" t="n"/>
      <c r="F803" s="9" t="n"/>
      <c r="G803" s="9" t="n"/>
      <c r="H803" s="71" t="n"/>
      <c r="I803" s="9" t="n"/>
      <c r="J803" s="89">
        <f>IF(H803="","",IF(I803="Sí",ROUND(H803*Configuracion!$B$11,0),0))</f>
        <v/>
      </c>
      <c r="K803" s="89">
        <f>IF(H803="","",H803+J803)</f>
        <v/>
      </c>
      <c r="L803" s="13">
        <f>IF(B803="","",YEAR(B803))</f>
        <v/>
      </c>
      <c r="M803" s="13">
        <f>IF(B803="","",MONTH(B803))</f>
        <v/>
      </c>
      <c r="N803" s="9" t="n"/>
      <c r="O803" s="9" t="n"/>
      <c r="P803" s="9" t="n"/>
      <c r="Q803" s="9" t="n"/>
    </row>
    <row r="804">
      <c r="A804" s="9" t="n"/>
      <c r="B804" s="70" t="n"/>
      <c r="C804" s="9" t="n"/>
      <c r="D804" s="9" t="n"/>
      <c r="E804" s="9" t="n"/>
      <c r="F804" s="9" t="n"/>
      <c r="G804" s="9" t="n"/>
      <c r="H804" s="71" t="n"/>
      <c r="I804" s="9" t="n"/>
      <c r="J804" s="89">
        <f>IF(H804="","",IF(I804="Sí",ROUND(H804*Configuracion!$B$11,0),0))</f>
        <v/>
      </c>
      <c r="K804" s="89">
        <f>IF(H804="","",H804+J804)</f>
        <v/>
      </c>
      <c r="L804" s="13">
        <f>IF(B804="","",YEAR(B804))</f>
        <v/>
      </c>
      <c r="M804" s="13">
        <f>IF(B804="","",MONTH(B804))</f>
        <v/>
      </c>
      <c r="N804" s="9" t="n"/>
      <c r="O804" s="9" t="n"/>
      <c r="P804" s="9" t="n"/>
      <c r="Q804" s="9" t="n"/>
    </row>
    <row r="805">
      <c r="A805" s="9" t="n"/>
      <c r="B805" s="70" t="n"/>
      <c r="C805" s="9" t="n"/>
      <c r="D805" s="9" t="n"/>
      <c r="E805" s="9" t="n"/>
      <c r="F805" s="9" t="n"/>
      <c r="G805" s="9" t="n"/>
      <c r="H805" s="71" t="n"/>
      <c r="I805" s="9" t="n"/>
      <c r="J805" s="89">
        <f>IF(H805="","",IF(I805="Sí",ROUND(H805*Configuracion!$B$11,0),0))</f>
        <v/>
      </c>
      <c r="K805" s="89">
        <f>IF(H805="","",H805+J805)</f>
        <v/>
      </c>
      <c r="L805" s="13">
        <f>IF(B805="","",YEAR(B805))</f>
        <v/>
      </c>
      <c r="M805" s="13">
        <f>IF(B805="","",MONTH(B805))</f>
        <v/>
      </c>
      <c r="N805" s="9" t="n"/>
      <c r="O805" s="9" t="n"/>
      <c r="P805" s="9" t="n"/>
      <c r="Q805" s="9" t="n"/>
    </row>
    <row r="806">
      <c r="A806" s="9" t="n"/>
      <c r="B806" s="70" t="n"/>
      <c r="C806" s="9" t="n"/>
      <c r="D806" s="9" t="n"/>
      <c r="E806" s="9" t="n"/>
      <c r="F806" s="9" t="n"/>
      <c r="G806" s="9" t="n"/>
      <c r="H806" s="71" t="n"/>
      <c r="I806" s="9" t="n"/>
      <c r="J806" s="89">
        <f>IF(H806="","",IF(I806="Sí",ROUND(H806*Configuracion!$B$11,0),0))</f>
        <v/>
      </c>
      <c r="K806" s="89">
        <f>IF(H806="","",H806+J806)</f>
        <v/>
      </c>
      <c r="L806" s="13">
        <f>IF(B806="","",YEAR(B806))</f>
        <v/>
      </c>
      <c r="M806" s="13">
        <f>IF(B806="","",MONTH(B806))</f>
        <v/>
      </c>
      <c r="N806" s="9" t="n"/>
      <c r="O806" s="9" t="n"/>
      <c r="P806" s="9" t="n"/>
      <c r="Q806" s="9" t="n"/>
    </row>
    <row r="807">
      <c r="A807" s="9" t="n"/>
      <c r="B807" s="70" t="n"/>
      <c r="C807" s="9" t="n"/>
      <c r="D807" s="9" t="n"/>
      <c r="E807" s="9" t="n"/>
      <c r="F807" s="9" t="n"/>
      <c r="G807" s="9" t="n"/>
      <c r="H807" s="71" t="n"/>
      <c r="I807" s="9" t="n"/>
      <c r="J807" s="89">
        <f>IF(H807="","",IF(I807="Sí",ROUND(H807*Configuracion!$B$11,0),0))</f>
        <v/>
      </c>
      <c r="K807" s="89">
        <f>IF(H807="","",H807+J807)</f>
        <v/>
      </c>
      <c r="L807" s="13">
        <f>IF(B807="","",YEAR(B807))</f>
        <v/>
      </c>
      <c r="M807" s="13">
        <f>IF(B807="","",MONTH(B807))</f>
        <v/>
      </c>
      <c r="N807" s="9" t="n"/>
      <c r="O807" s="9" t="n"/>
      <c r="P807" s="9" t="n"/>
      <c r="Q807" s="9" t="n"/>
    </row>
    <row r="808">
      <c r="A808" s="9" t="n"/>
      <c r="B808" s="70" t="n"/>
      <c r="C808" s="9" t="n"/>
      <c r="D808" s="9" t="n"/>
      <c r="E808" s="9" t="n"/>
      <c r="F808" s="9" t="n"/>
      <c r="G808" s="9" t="n"/>
      <c r="H808" s="71" t="n"/>
      <c r="I808" s="9" t="n"/>
      <c r="J808" s="89">
        <f>IF(H808="","",IF(I808="Sí",ROUND(H808*Configuracion!$B$11,0),0))</f>
        <v/>
      </c>
      <c r="K808" s="89">
        <f>IF(H808="","",H808+J808)</f>
        <v/>
      </c>
      <c r="L808" s="13">
        <f>IF(B808="","",YEAR(B808))</f>
        <v/>
      </c>
      <c r="M808" s="13">
        <f>IF(B808="","",MONTH(B808))</f>
        <v/>
      </c>
      <c r="N808" s="9" t="n"/>
      <c r="O808" s="9" t="n"/>
      <c r="P808" s="9" t="n"/>
      <c r="Q808" s="9" t="n"/>
    </row>
    <row r="809">
      <c r="A809" s="9" t="n"/>
      <c r="B809" s="70" t="n"/>
      <c r="C809" s="9" t="n"/>
      <c r="D809" s="9" t="n"/>
      <c r="E809" s="9" t="n"/>
      <c r="F809" s="9" t="n"/>
      <c r="G809" s="9" t="n"/>
      <c r="H809" s="71" t="n"/>
      <c r="I809" s="9" t="n"/>
      <c r="J809" s="89">
        <f>IF(H809="","",IF(I809="Sí",ROUND(H809*Configuracion!$B$11,0),0))</f>
        <v/>
      </c>
      <c r="K809" s="89">
        <f>IF(H809="","",H809+J809)</f>
        <v/>
      </c>
      <c r="L809" s="13">
        <f>IF(B809="","",YEAR(B809))</f>
        <v/>
      </c>
      <c r="M809" s="13">
        <f>IF(B809="","",MONTH(B809))</f>
        <v/>
      </c>
      <c r="N809" s="9" t="n"/>
      <c r="O809" s="9" t="n"/>
      <c r="P809" s="9" t="n"/>
      <c r="Q809" s="9" t="n"/>
    </row>
    <row r="810">
      <c r="A810" s="9" t="n"/>
      <c r="B810" s="70" t="n"/>
      <c r="C810" s="9" t="n"/>
      <c r="D810" s="9" t="n"/>
      <c r="E810" s="9" t="n"/>
      <c r="F810" s="9" t="n"/>
      <c r="G810" s="9" t="n"/>
      <c r="H810" s="71" t="n"/>
      <c r="I810" s="9" t="n"/>
      <c r="J810" s="89">
        <f>IF(H810="","",IF(I810="Sí",ROUND(H810*Configuracion!$B$11,0),0))</f>
        <v/>
      </c>
      <c r="K810" s="89">
        <f>IF(H810="","",H810+J810)</f>
        <v/>
      </c>
      <c r="L810" s="13">
        <f>IF(B810="","",YEAR(B810))</f>
        <v/>
      </c>
      <c r="M810" s="13">
        <f>IF(B810="","",MONTH(B810))</f>
        <v/>
      </c>
      <c r="N810" s="9" t="n"/>
      <c r="O810" s="9" t="n"/>
      <c r="P810" s="9" t="n"/>
      <c r="Q810" s="9" t="n"/>
    </row>
    <row r="811">
      <c r="A811" s="9" t="n"/>
      <c r="B811" s="70" t="n"/>
      <c r="C811" s="9" t="n"/>
      <c r="D811" s="9" t="n"/>
      <c r="E811" s="9" t="n"/>
      <c r="F811" s="9" t="n"/>
      <c r="G811" s="9" t="n"/>
      <c r="H811" s="71" t="n"/>
      <c r="I811" s="9" t="n"/>
      <c r="J811" s="89">
        <f>IF(H811="","",IF(I811="Sí",ROUND(H811*Configuracion!$B$11,0),0))</f>
        <v/>
      </c>
      <c r="K811" s="89">
        <f>IF(H811="","",H811+J811)</f>
        <v/>
      </c>
      <c r="L811" s="13">
        <f>IF(B811="","",YEAR(B811))</f>
        <v/>
      </c>
      <c r="M811" s="13">
        <f>IF(B811="","",MONTH(B811))</f>
        <v/>
      </c>
      <c r="N811" s="9" t="n"/>
      <c r="O811" s="9" t="n"/>
      <c r="P811" s="9" t="n"/>
      <c r="Q811" s="9" t="n"/>
    </row>
    <row r="812">
      <c r="A812" s="9" t="n"/>
      <c r="B812" s="70" t="n"/>
      <c r="C812" s="9" t="n"/>
      <c r="D812" s="9" t="n"/>
      <c r="E812" s="9" t="n"/>
      <c r="F812" s="9" t="n"/>
      <c r="G812" s="9" t="n"/>
      <c r="H812" s="71" t="n"/>
      <c r="I812" s="9" t="n"/>
      <c r="J812" s="89">
        <f>IF(H812="","",IF(I812="Sí",ROUND(H812*Configuracion!$B$11,0),0))</f>
        <v/>
      </c>
      <c r="K812" s="89">
        <f>IF(H812="","",H812+J812)</f>
        <v/>
      </c>
      <c r="L812" s="13">
        <f>IF(B812="","",YEAR(B812))</f>
        <v/>
      </c>
      <c r="M812" s="13">
        <f>IF(B812="","",MONTH(B812))</f>
        <v/>
      </c>
      <c r="N812" s="9" t="n"/>
      <c r="O812" s="9" t="n"/>
      <c r="P812" s="9" t="n"/>
      <c r="Q812" s="9" t="n"/>
    </row>
    <row r="813">
      <c r="A813" s="9" t="n"/>
      <c r="B813" s="70" t="n"/>
      <c r="C813" s="9" t="n"/>
      <c r="D813" s="9" t="n"/>
      <c r="E813" s="9" t="n"/>
      <c r="F813" s="9" t="n"/>
      <c r="G813" s="9" t="n"/>
      <c r="H813" s="71" t="n"/>
      <c r="I813" s="9" t="n"/>
      <c r="J813" s="89">
        <f>IF(H813="","",IF(I813="Sí",ROUND(H813*Configuracion!$B$11,0),0))</f>
        <v/>
      </c>
      <c r="K813" s="89">
        <f>IF(H813="","",H813+J813)</f>
        <v/>
      </c>
      <c r="L813" s="13">
        <f>IF(B813="","",YEAR(B813))</f>
        <v/>
      </c>
      <c r="M813" s="13">
        <f>IF(B813="","",MONTH(B813))</f>
        <v/>
      </c>
      <c r="N813" s="9" t="n"/>
      <c r="O813" s="9" t="n"/>
      <c r="P813" s="9" t="n"/>
      <c r="Q813" s="9" t="n"/>
    </row>
    <row r="814">
      <c r="A814" s="9" t="n"/>
      <c r="B814" s="70" t="n"/>
      <c r="C814" s="9" t="n"/>
      <c r="D814" s="9" t="n"/>
      <c r="E814" s="9" t="n"/>
      <c r="F814" s="9" t="n"/>
      <c r="G814" s="9" t="n"/>
      <c r="H814" s="71" t="n"/>
      <c r="I814" s="9" t="n"/>
      <c r="J814" s="89">
        <f>IF(H814="","",IF(I814="Sí",ROUND(H814*Configuracion!$B$11,0),0))</f>
        <v/>
      </c>
      <c r="K814" s="89">
        <f>IF(H814="","",H814+J814)</f>
        <v/>
      </c>
      <c r="L814" s="13">
        <f>IF(B814="","",YEAR(B814))</f>
        <v/>
      </c>
      <c r="M814" s="13">
        <f>IF(B814="","",MONTH(B814))</f>
        <v/>
      </c>
      <c r="N814" s="9" t="n"/>
      <c r="O814" s="9" t="n"/>
      <c r="P814" s="9" t="n"/>
      <c r="Q814" s="9" t="n"/>
    </row>
    <row r="815">
      <c r="A815" s="9" t="n"/>
      <c r="B815" s="70" t="n"/>
      <c r="C815" s="9" t="n"/>
      <c r="D815" s="9" t="n"/>
      <c r="E815" s="9" t="n"/>
      <c r="F815" s="9" t="n"/>
      <c r="G815" s="9" t="n"/>
      <c r="H815" s="71" t="n"/>
      <c r="I815" s="9" t="n"/>
      <c r="J815" s="89">
        <f>IF(H815="","",IF(I815="Sí",ROUND(H815*Configuracion!$B$11,0),0))</f>
        <v/>
      </c>
      <c r="K815" s="89">
        <f>IF(H815="","",H815+J815)</f>
        <v/>
      </c>
      <c r="L815" s="13">
        <f>IF(B815="","",YEAR(B815))</f>
        <v/>
      </c>
      <c r="M815" s="13">
        <f>IF(B815="","",MONTH(B815))</f>
        <v/>
      </c>
      <c r="N815" s="9" t="n"/>
      <c r="O815" s="9" t="n"/>
      <c r="P815" s="9" t="n"/>
      <c r="Q815" s="9" t="n"/>
    </row>
    <row r="816">
      <c r="A816" s="9" t="n"/>
      <c r="B816" s="70" t="n"/>
      <c r="C816" s="9" t="n"/>
      <c r="D816" s="9" t="n"/>
      <c r="E816" s="9" t="n"/>
      <c r="F816" s="9" t="n"/>
      <c r="G816" s="9" t="n"/>
      <c r="H816" s="71" t="n"/>
      <c r="I816" s="9" t="n"/>
      <c r="J816" s="89">
        <f>IF(H816="","",IF(I816="Sí",ROUND(H816*Configuracion!$B$11,0),0))</f>
        <v/>
      </c>
      <c r="K816" s="89">
        <f>IF(H816="","",H816+J816)</f>
        <v/>
      </c>
      <c r="L816" s="13">
        <f>IF(B816="","",YEAR(B816))</f>
        <v/>
      </c>
      <c r="M816" s="13">
        <f>IF(B816="","",MONTH(B816))</f>
        <v/>
      </c>
      <c r="N816" s="9" t="n"/>
      <c r="O816" s="9" t="n"/>
      <c r="P816" s="9" t="n"/>
      <c r="Q816" s="9" t="n"/>
    </row>
    <row r="817">
      <c r="A817" s="9" t="n"/>
      <c r="B817" s="70" t="n"/>
      <c r="C817" s="9" t="n"/>
      <c r="D817" s="9" t="n"/>
      <c r="E817" s="9" t="n"/>
      <c r="F817" s="9" t="n"/>
      <c r="G817" s="9" t="n"/>
      <c r="H817" s="71" t="n"/>
      <c r="I817" s="9" t="n"/>
      <c r="J817" s="89">
        <f>IF(H817="","",IF(I817="Sí",ROUND(H817*Configuracion!$B$11,0),0))</f>
        <v/>
      </c>
      <c r="K817" s="89">
        <f>IF(H817="","",H817+J817)</f>
        <v/>
      </c>
      <c r="L817" s="13">
        <f>IF(B817="","",YEAR(B817))</f>
        <v/>
      </c>
      <c r="M817" s="13">
        <f>IF(B817="","",MONTH(B817))</f>
        <v/>
      </c>
      <c r="N817" s="9" t="n"/>
      <c r="O817" s="9" t="n"/>
      <c r="P817" s="9" t="n"/>
      <c r="Q817" s="9" t="n"/>
    </row>
    <row r="818">
      <c r="A818" s="9" t="n"/>
      <c r="B818" s="70" t="n"/>
      <c r="C818" s="9" t="n"/>
      <c r="D818" s="9" t="n"/>
      <c r="E818" s="9" t="n"/>
      <c r="F818" s="9" t="n"/>
      <c r="G818" s="9" t="n"/>
      <c r="H818" s="71" t="n"/>
      <c r="I818" s="9" t="n"/>
      <c r="J818" s="89">
        <f>IF(H818="","",IF(I818="Sí",ROUND(H818*Configuracion!$B$11,0),0))</f>
        <v/>
      </c>
      <c r="K818" s="89">
        <f>IF(H818="","",H818+J818)</f>
        <v/>
      </c>
      <c r="L818" s="13">
        <f>IF(B818="","",YEAR(B818))</f>
        <v/>
      </c>
      <c r="M818" s="13">
        <f>IF(B818="","",MONTH(B818))</f>
        <v/>
      </c>
      <c r="N818" s="9" t="n"/>
      <c r="O818" s="9" t="n"/>
      <c r="P818" s="9" t="n"/>
      <c r="Q818" s="9" t="n"/>
    </row>
    <row r="819">
      <c r="A819" s="9" t="n"/>
      <c r="B819" s="70" t="n"/>
      <c r="C819" s="9" t="n"/>
      <c r="D819" s="9" t="n"/>
      <c r="E819" s="9" t="n"/>
      <c r="F819" s="9" t="n"/>
      <c r="G819" s="9" t="n"/>
      <c r="H819" s="71" t="n"/>
      <c r="I819" s="9" t="n"/>
      <c r="J819" s="89">
        <f>IF(H819="","",IF(I819="Sí",ROUND(H819*Configuracion!$B$11,0),0))</f>
        <v/>
      </c>
      <c r="K819" s="89">
        <f>IF(H819="","",H819+J819)</f>
        <v/>
      </c>
      <c r="L819" s="13">
        <f>IF(B819="","",YEAR(B819))</f>
        <v/>
      </c>
      <c r="M819" s="13">
        <f>IF(B819="","",MONTH(B819))</f>
        <v/>
      </c>
      <c r="N819" s="9" t="n"/>
      <c r="O819" s="9" t="n"/>
      <c r="P819" s="9" t="n"/>
      <c r="Q819" s="9" t="n"/>
    </row>
    <row r="820">
      <c r="A820" s="9" t="n"/>
      <c r="B820" s="70" t="n"/>
      <c r="C820" s="9" t="n"/>
      <c r="D820" s="9" t="n"/>
      <c r="E820" s="9" t="n"/>
      <c r="F820" s="9" t="n"/>
      <c r="G820" s="9" t="n"/>
      <c r="H820" s="71" t="n"/>
      <c r="I820" s="9" t="n"/>
      <c r="J820" s="89">
        <f>IF(H820="","",IF(I820="Sí",ROUND(H820*Configuracion!$B$11,0),0))</f>
        <v/>
      </c>
      <c r="K820" s="89">
        <f>IF(H820="","",H820+J820)</f>
        <v/>
      </c>
      <c r="L820" s="13">
        <f>IF(B820="","",YEAR(B820))</f>
        <v/>
      </c>
      <c r="M820" s="13">
        <f>IF(B820="","",MONTH(B820))</f>
        <v/>
      </c>
      <c r="N820" s="9" t="n"/>
      <c r="O820" s="9" t="n"/>
      <c r="P820" s="9" t="n"/>
      <c r="Q820" s="9" t="n"/>
    </row>
    <row r="821">
      <c r="A821" s="9" t="n"/>
      <c r="B821" s="70" t="n"/>
      <c r="C821" s="9" t="n"/>
      <c r="D821" s="9" t="n"/>
      <c r="E821" s="9" t="n"/>
      <c r="F821" s="9" t="n"/>
      <c r="G821" s="9" t="n"/>
      <c r="H821" s="71" t="n"/>
      <c r="I821" s="9" t="n"/>
      <c r="J821" s="89">
        <f>IF(H821="","",IF(I821="Sí",ROUND(H821*Configuracion!$B$11,0),0))</f>
        <v/>
      </c>
      <c r="K821" s="89">
        <f>IF(H821="","",H821+J821)</f>
        <v/>
      </c>
      <c r="L821" s="13">
        <f>IF(B821="","",YEAR(B821))</f>
        <v/>
      </c>
      <c r="M821" s="13">
        <f>IF(B821="","",MONTH(B821))</f>
        <v/>
      </c>
      <c r="N821" s="9" t="n"/>
      <c r="O821" s="9" t="n"/>
      <c r="P821" s="9" t="n"/>
      <c r="Q821" s="9" t="n"/>
    </row>
    <row r="822">
      <c r="A822" s="9" t="n"/>
      <c r="B822" s="70" t="n"/>
      <c r="C822" s="9" t="n"/>
      <c r="D822" s="9" t="n"/>
      <c r="E822" s="9" t="n"/>
      <c r="F822" s="9" t="n"/>
      <c r="G822" s="9" t="n"/>
      <c r="H822" s="71" t="n"/>
      <c r="I822" s="9" t="n"/>
      <c r="J822" s="89">
        <f>IF(H822="","",IF(I822="Sí",ROUND(H822*Configuracion!$B$11,0),0))</f>
        <v/>
      </c>
      <c r="K822" s="89">
        <f>IF(H822="","",H822+J822)</f>
        <v/>
      </c>
      <c r="L822" s="13">
        <f>IF(B822="","",YEAR(B822))</f>
        <v/>
      </c>
      <c r="M822" s="13">
        <f>IF(B822="","",MONTH(B822))</f>
        <v/>
      </c>
      <c r="N822" s="9" t="n"/>
      <c r="O822" s="9" t="n"/>
      <c r="P822" s="9" t="n"/>
      <c r="Q822" s="9" t="n"/>
    </row>
    <row r="823">
      <c r="A823" s="9" t="n"/>
      <c r="B823" s="70" t="n"/>
      <c r="C823" s="9" t="n"/>
      <c r="D823" s="9" t="n"/>
      <c r="E823" s="9" t="n"/>
      <c r="F823" s="9" t="n"/>
      <c r="G823" s="9" t="n"/>
      <c r="H823" s="71" t="n"/>
      <c r="I823" s="9" t="n"/>
      <c r="J823" s="89">
        <f>IF(H823="","",IF(I823="Sí",ROUND(H823*Configuracion!$B$11,0),0))</f>
        <v/>
      </c>
      <c r="K823" s="89">
        <f>IF(H823="","",H823+J823)</f>
        <v/>
      </c>
      <c r="L823" s="13">
        <f>IF(B823="","",YEAR(B823))</f>
        <v/>
      </c>
      <c r="M823" s="13">
        <f>IF(B823="","",MONTH(B823))</f>
        <v/>
      </c>
      <c r="N823" s="9" t="n"/>
      <c r="O823" s="9" t="n"/>
      <c r="P823" s="9" t="n"/>
      <c r="Q823" s="9" t="n"/>
    </row>
    <row r="824">
      <c r="A824" s="9" t="n"/>
      <c r="B824" s="70" t="n"/>
      <c r="C824" s="9" t="n"/>
      <c r="D824" s="9" t="n"/>
      <c r="E824" s="9" t="n"/>
      <c r="F824" s="9" t="n"/>
      <c r="G824" s="9" t="n"/>
      <c r="H824" s="71" t="n"/>
      <c r="I824" s="9" t="n"/>
      <c r="J824" s="89">
        <f>IF(H824="","",IF(I824="Sí",ROUND(H824*Configuracion!$B$11,0),0))</f>
        <v/>
      </c>
      <c r="K824" s="89">
        <f>IF(H824="","",H824+J824)</f>
        <v/>
      </c>
      <c r="L824" s="13">
        <f>IF(B824="","",YEAR(B824))</f>
        <v/>
      </c>
      <c r="M824" s="13">
        <f>IF(B824="","",MONTH(B824))</f>
        <v/>
      </c>
      <c r="N824" s="9" t="n"/>
      <c r="O824" s="9" t="n"/>
      <c r="P824" s="9" t="n"/>
      <c r="Q824" s="9" t="n"/>
    </row>
    <row r="825">
      <c r="A825" s="9" t="n"/>
      <c r="B825" s="70" t="n"/>
      <c r="C825" s="9" t="n"/>
      <c r="D825" s="9" t="n"/>
      <c r="E825" s="9" t="n"/>
      <c r="F825" s="9" t="n"/>
      <c r="G825" s="9" t="n"/>
      <c r="H825" s="71" t="n"/>
      <c r="I825" s="9" t="n"/>
      <c r="J825" s="89">
        <f>IF(H825="","",IF(I825="Sí",ROUND(H825*Configuracion!$B$11,0),0))</f>
        <v/>
      </c>
      <c r="K825" s="89">
        <f>IF(H825="","",H825+J825)</f>
        <v/>
      </c>
      <c r="L825" s="13">
        <f>IF(B825="","",YEAR(B825))</f>
        <v/>
      </c>
      <c r="M825" s="13">
        <f>IF(B825="","",MONTH(B825))</f>
        <v/>
      </c>
      <c r="N825" s="9" t="n"/>
      <c r="O825" s="9" t="n"/>
      <c r="P825" s="9" t="n"/>
      <c r="Q825" s="9" t="n"/>
    </row>
    <row r="826">
      <c r="A826" s="9" t="n"/>
      <c r="B826" s="70" t="n"/>
      <c r="C826" s="9" t="n"/>
      <c r="D826" s="9" t="n"/>
      <c r="E826" s="9" t="n"/>
      <c r="F826" s="9" t="n"/>
      <c r="G826" s="9" t="n"/>
      <c r="H826" s="71" t="n"/>
      <c r="I826" s="9" t="n"/>
      <c r="J826" s="89">
        <f>IF(H826="","",IF(I826="Sí",ROUND(H826*Configuracion!$B$11,0),0))</f>
        <v/>
      </c>
      <c r="K826" s="89">
        <f>IF(H826="","",H826+J826)</f>
        <v/>
      </c>
      <c r="L826" s="13">
        <f>IF(B826="","",YEAR(B826))</f>
        <v/>
      </c>
      <c r="M826" s="13">
        <f>IF(B826="","",MONTH(B826))</f>
        <v/>
      </c>
      <c r="N826" s="9" t="n"/>
      <c r="O826" s="9" t="n"/>
      <c r="P826" s="9" t="n"/>
      <c r="Q826" s="9" t="n"/>
    </row>
    <row r="827">
      <c r="A827" s="9" t="n"/>
      <c r="B827" s="70" t="n"/>
      <c r="C827" s="9" t="n"/>
      <c r="D827" s="9" t="n"/>
      <c r="E827" s="9" t="n"/>
      <c r="F827" s="9" t="n"/>
      <c r="G827" s="9" t="n"/>
      <c r="H827" s="71" t="n"/>
      <c r="I827" s="9" t="n"/>
      <c r="J827" s="89">
        <f>IF(H827="","",IF(I827="Sí",ROUND(H827*Configuracion!$B$11,0),0))</f>
        <v/>
      </c>
      <c r="K827" s="89">
        <f>IF(H827="","",H827+J827)</f>
        <v/>
      </c>
      <c r="L827" s="13">
        <f>IF(B827="","",YEAR(B827))</f>
        <v/>
      </c>
      <c r="M827" s="13">
        <f>IF(B827="","",MONTH(B827))</f>
        <v/>
      </c>
      <c r="N827" s="9" t="n"/>
      <c r="O827" s="9" t="n"/>
      <c r="P827" s="9" t="n"/>
      <c r="Q827" s="9" t="n"/>
    </row>
    <row r="828">
      <c r="A828" s="9" t="n"/>
      <c r="B828" s="70" t="n"/>
      <c r="C828" s="9" t="n"/>
      <c r="D828" s="9" t="n"/>
      <c r="E828" s="9" t="n"/>
      <c r="F828" s="9" t="n"/>
      <c r="G828" s="9" t="n"/>
      <c r="H828" s="71" t="n"/>
      <c r="I828" s="9" t="n"/>
      <c r="J828" s="89">
        <f>IF(H828="","",IF(I828="Sí",ROUND(H828*Configuracion!$B$11,0),0))</f>
        <v/>
      </c>
      <c r="K828" s="89">
        <f>IF(H828="","",H828+J828)</f>
        <v/>
      </c>
      <c r="L828" s="13">
        <f>IF(B828="","",YEAR(B828))</f>
        <v/>
      </c>
      <c r="M828" s="13">
        <f>IF(B828="","",MONTH(B828))</f>
        <v/>
      </c>
      <c r="N828" s="9" t="n"/>
      <c r="O828" s="9" t="n"/>
      <c r="P828" s="9" t="n"/>
      <c r="Q828" s="9" t="n"/>
    </row>
    <row r="829">
      <c r="A829" s="9" t="n"/>
      <c r="B829" s="70" t="n"/>
      <c r="C829" s="9" t="n"/>
      <c r="D829" s="9" t="n"/>
      <c r="E829" s="9" t="n"/>
      <c r="F829" s="9" t="n"/>
      <c r="G829" s="9" t="n"/>
      <c r="H829" s="71" t="n"/>
      <c r="I829" s="9" t="n"/>
      <c r="J829" s="89">
        <f>IF(H829="","",IF(I829="Sí",ROUND(H829*Configuracion!$B$11,0),0))</f>
        <v/>
      </c>
      <c r="K829" s="89">
        <f>IF(H829="","",H829+J829)</f>
        <v/>
      </c>
      <c r="L829" s="13">
        <f>IF(B829="","",YEAR(B829))</f>
        <v/>
      </c>
      <c r="M829" s="13">
        <f>IF(B829="","",MONTH(B829))</f>
        <v/>
      </c>
      <c r="N829" s="9" t="n"/>
      <c r="O829" s="9" t="n"/>
      <c r="P829" s="9" t="n"/>
      <c r="Q829" s="9" t="n"/>
    </row>
    <row r="830">
      <c r="A830" s="9" t="n"/>
      <c r="B830" s="70" t="n"/>
      <c r="C830" s="9" t="n"/>
      <c r="D830" s="9" t="n"/>
      <c r="E830" s="9" t="n"/>
      <c r="F830" s="9" t="n"/>
      <c r="G830" s="9" t="n"/>
      <c r="H830" s="71" t="n"/>
      <c r="I830" s="9" t="n"/>
      <c r="J830" s="89">
        <f>IF(H830="","",IF(I830="Sí",ROUND(H830*Configuracion!$B$11,0),0))</f>
        <v/>
      </c>
      <c r="K830" s="89">
        <f>IF(H830="","",H830+J830)</f>
        <v/>
      </c>
      <c r="L830" s="13">
        <f>IF(B830="","",YEAR(B830))</f>
        <v/>
      </c>
      <c r="M830" s="13">
        <f>IF(B830="","",MONTH(B830))</f>
        <v/>
      </c>
      <c r="N830" s="9" t="n"/>
      <c r="O830" s="9" t="n"/>
      <c r="P830" s="9" t="n"/>
      <c r="Q830" s="9" t="n"/>
    </row>
    <row r="831">
      <c r="A831" s="9" t="n"/>
      <c r="B831" s="70" t="n"/>
      <c r="C831" s="9" t="n"/>
      <c r="D831" s="9" t="n"/>
      <c r="E831" s="9" t="n"/>
      <c r="F831" s="9" t="n"/>
      <c r="G831" s="9" t="n"/>
      <c r="H831" s="71" t="n"/>
      <c r="I831" s="9" t="n"/>
      <c r="J831" s="89">
        <f>IF(H831="","",IF(I831="Sí",ROUND(H831*Configuracion!$B$11,0),0))</f>
        <v/>
      </c>
      <c r="K831" s="89">
        <f>IF(H831="","",H831+J831)</f>
        <v/>
      </c>
      <c r="L831" s="13">
        <f>IF(B831="","",YEAR(B831))</f>
        <v/>
      </c>
      <c r="M831" s="13">
        <f>IF(B831="","",MONTH(B831))</f>
        <v/>
      </c>
      <c r="N831" s="9" t="n"/>
      <c r="O831" s="9" t="n"/>
      <c r="P831" s="9" t="n"/>
      <c r="Q831" s="9" t="n"/>
    </row>
    <row r="832">
      <c r="A832" s="9" t="n"/>
      <c r="B832" s="70" t="n"/>
      <c r="C832" s="9" t="n"/>
      <c r="D832" s="9" t="n"/>
      <c r="E832" s="9" t="n"/>
      <c r="F832" s="9" t="n"/>
      <c r="G832" s="9" t="n"/>
      <c r="H832" s="71" t="n"/>
      <c r="I832" s="9" t="n"/>
      <c r="J832" s="89">
        <f>IF(H832="","",IF(I832="Sí",ROUND(H832*Configuracion!$B$11,0),0))</f>
        <v/>
      </c>
      <c r="K832" s="89">
        <f>IF(H832="","",H832+J832)</f>
        <v/>
      </c>
      <c r="L832" s="13">
        <f>IF(B832="","",YEAR(B832))</f>
        <v/>
      </c>
      <c r="M832" s="13">
        <f>IF(B832="","",MONTH(B832))</f>
        <v/>
      </c>
      <c r="N832" s="9" t="n"/>
      <c r="O832" s="9" t="n"/>
      <c r="P832" s="9" t="n"/>
      <c r="Q832" s="9" t="n"/>
    </row>
    <row r="833">
      <c r="A833" s="9" t="n"/>
      <c r="B833" s="70" t="n"/>
      <c r="C833" s="9" t="n"/>
      <c r="D833" s="9" t="n"/>
      <c r="E833" s="9" t="n"/>
      <c r="F833" s="9" t="n"/>
      <c r="G833" s="9" t="n"/>
      <c r="H833" s="71" t="n"/>
      <c r="I833" s="9" t="n"/>
      <c r="J833" s="89">
        <f>IF(H833="","",IF(I833="Sí",ROUND(H833*Configuracion!$B$11,0),0))</f>
        <v/>
      </c>
      <c r="K833" s="89">
        <f>IF(H833="","",H833+J833)</f>
        <v/>
      </c>
      <c r="L833" s="13">
        <f>IF(B833="","",YEAR(B833))</f>
        <v/>
      </c>
      <c r="M833" s="13">
        <f>IF(B833="","",MONTH(B833))</f>
        <v/>
      </c>
      <c r="N833" s="9" t="n"/>
      <c r="O833" s="9" t="n"/>
      <c r="P833" s="9" t="n"/>
      <c r="Q833" s="9" t="n"/>
    </row>
    <row r="834">
      <c r="A834" s="9" t="n"/>
      <c r="B834" s="70" t="n"/>
      <c r="C834" s="9" t="n"/>
      <c r="D834" s="9" t="n"/>
      <c r="E834" s="9" t="n"/>
      <c r="F834" s="9" t="n"/>
      <c r="G834" s="9" t="n"/>
      <c r="H834" s="71" t="n"/>
      <c r="I834" s="9" t="n"/>
      <c r="J834" s="89">
        <f>IF(H834="","",IF(I834="Sí",ROUND(H834*Configuracion!$B$11,0),0))</f>
        <v/>
      </c>
      <c r="K834" s="89">
        <f>IF(H834="","",H834+J834)</f>
        <v/>
      </c>
      <c r="L834" s="13">
        <f>IF(B834="","",YEAR(B834))</f>
        <v/>
      </c>
      <c r="M834" s="13">
        <f>IF(B834="","",MONTH(B834))</f>
        <v/>
      </c>
      <c r="N834" s="9" t="n"/>
      <c r="O834" s="9" t="n"/>
      <c r="P834" s="9" t="n"/>
      <c r="Q834" s="9" t="n"/>
    </row>
    <row r="835">
      <c r="A835" s="9" t="n"/>
      <c r="B835" s="70" t="n"/>
      <c r="C835" s="9" t="n"/>
      <c r="D835" s="9" t="n"/>
      <c r="E835" s="9" t="n"/>
      <c r="F835" s="9" t="n"/>
      <c r="G835" s="9" t="n"/>
      <c r="H835" s="71" t="n"/>
      <c r="I835" s="9" t="n"/>
      <c r="J835" s="89">
        <f>IF(H835="","",IF(I835="Sí",ROUND(H835*Configuracion!$B$11,0),0))</f>
        <v/>
      </c>
      <c r="K835" s="89">
        <f>IF(H835="","",H835+J835)</f>
        <v/>
      </c>
      <c r="L835" s="13">
        <f>IF(B835="","",YEAR(B835))</f>
        <v/>
      </c>
      <c r="M835" s="13">
        <f>IF(B835="","",MONTH(B835))</f>
        <v/>
      </c>
      <c r="N835" s="9" t="n"/>
      <c r="O835" s="9" t="n"/>
      <c r="P835" s="9" t="n"/>
      <c r="Q835" s="9" t="n"/>
    </row>
    <row r="836">
      <c r="A836" s="9" t="n"/>
      <c r="B836" s="70" t="n"/>
      <c r="C836" s="9" t="n"/>
      <c r="D836" s="9" t="n"/>
      <c r="E836" s="9" t="n"/>
      <c r="F836" s="9" t="n"/>
      <c r="G836" s="9" t="n"/>
      <c r="H836" s="71" t="n"/>
      <c r="I836" s="9" t="n"/>
      <c r="J836" s="89">
        <f>IF(H836="","",IF(I836="Sí",ROUND(H836*Configuracion!$B$11,0),0))</f>
        <v/>
      </c>
      <c r="K836" s="89">
        <f>IF(H836="","",H836+J836)</f>
        <v/>
      </c>
      <c r="L836" s="13">
        <f>IF(B836="","",YEAR(B836))</f>
        <v/>
      </c>
      <c r="M836" s="13">
        <f>IF(B836="","",MONTH(B836))</f>
        <v/>
      </c>
      <c r="N836" s="9" t="n"/>
      <c r="O836" s="9" t="n"/>
      <c r="P836" s="9" t="n"/>
      <c r="Q836" s="9" t="n"/>
    </row>
    <row r="837">
      <c r="A837" s="9" t="n"/>
      <c r="B837" s="70" t="n"/>
      <c r="C837" s="9" t="n"/>
      <c r="D837" s="9" t="n"/>
      <c r="E837" s="9" t="n"/>
      <c r="F837" s="9" t="n"/>
      <c r="G837" s="9" t="n"/>
      <c r="H837" s="71" t="n"/>
      <c r="I837" s="9" t="n"/>
      <c r="J837" s="89">
        <f>IF(H837="","",IF(I837="Sí",ROUND(H837*Configuracion!$B$11,0),0))</f>
        <v/>
      </c>
      <c r="K837" s="89">
        <f>IF(H837="","",H837+J837)</f>
        <v/>
      </c>
      <c r="L837" s="13">
        <f>IF(B837="","",YEAR(B837))</f>
        <v/>
      </c>
      <c r="M837" s="13">
        <f>IF(B837="","",MONTH(B837))</f>
        <v/>
      </c>
      <c r="N837" s="9" t="n"/>
      <c r="O837" s="9" t="n"/>
      <c r="P837" s="9" t="n"/>
      <c r="Q837" s="9" t="n"/>
    </row>
    <row r="838">
      <c r="A838" s="9" t="n"/>
      <c r="B838" s="70" t="n"/>
      <c r="C838" s="9" t="n"/>
      <c r="D838" s="9" t="n"/>
      <c r="E838" s="9" t="n"/>
      <c r="F838" s="9" t="n"/>
      <c r="G838" s="9" t="n"/>
      <c r="H838" s="71" t="n"/>
      <c r="I838" s="9" t="n"/>
      <c r="J838" s="89">
        <f>IF(H838="","",IF(I838="Sí",ROUND(H838*Configuracion!$B$11,0),0))</f>
        <v/>
      </c>
      <c r="K838" s="89">
        <f>IF(H838="","",H838+J838)</f>
        <v/>
      </c>
      <c r="L838" s="13">
        <f>IF(B838="","",YEAR(B838))</f>
        <v/>
      </c>
      <c r="M838" s="13">
        <f>IF(B838="","",MONTH(B838))</f>
        <v/>
      </c>
      <c r="N838" s="9" t="n"/>
      <c r="O838" s="9" t="n"/>
      <c r="P838" s="9" t="n"/>
      <c r="Q838" s="9" t="n"/>
    </row>
    <row r="839">
      <c r="A839" s="9" t="n"/>
      <c r="B839" s="70" t="n"/>
      <c r="C839" s="9" t="n"/>
      <c r="D839" s="9" t="n"/>
      <c r="E839" s="9" t="n"/>
      <c r="F839" s="9" t="n"/>
      <c r="G839" s="9" t="n"/>
      <c r="H839" s="71" t="n"/>
      <c r="I839" s="9" t="n"/>
      <c r="J839" s="89">
        <f>IF(H839="","",IF(I839="Sí",ROUND(H839*Configuracion!$B$11,0),0))</f>
        <v/>
      </c>
      <c r="K839" s="89">
        <f>IF(H839="","",H839+J839)</f>
        <v/>
      </c>
      <c r="L839" s="13">
        <f>IF(B839="","",YEAR(B839))</f>
        <v/>
      </c>
      <c r="M839" s="13">
        <f>IF(B839="","",MONTH(B839))</f>
        <v/>
      </c>
      <c r="N839" s="9" t="n"/>
      <c r="O839" s="9" t="n"/>
      <c r="P839" s="9" t="n"/>
      <c r="Q839" s="9" t="n"/>
    </row>
    <row r="840">
      <c r="A840" s="9" t="n"/>
      <c r="B840" s="70" t="n"/>
      <c r="C840" s="9" t="n"/>
      <c r="D840" s="9" t="n"/>
      <c r="E840" s="9" t="n"/>
      <c r="F840" s="9" t="n"/>
      <c r="G840" s="9" t="n"/>
      <c r="H840" s="71" t="n"/>
      <c r="I840" s="9" t="n"/>
      <c r="J840" s="89">
        <f>IF(H840="","",IF(I840="Sí",ROUND(H840*Configuracion!$B$11,0),0))</f>
        <v/>
      </c>
      <c r="K840" s="89">
        <f>IF(H840="","",H840+J840)</f>
        <v/>
      </c>
      <c r="L840" s="13">
        <f>IF(B840="","",YEAR(B840))</f>
        <v/>
      </c>
      <c r="M840" s="13">
        <f>IF(B840="","",MONTH(B840))</f>
        <v/>
      </c>
      <c r="N840" s="9" t="n"/>
      <c r="O840" s="9" t="n"/>
      <c r="P840" s="9" t="n"/>
      <c r="Q840" s="9" t="n"/>
    </row>
    <row r="841">
      <c r="A841" s="9" t="n"/>
      <c r="B841" s="70" t="n"/>
      <c r="C841" s="9" t="n"/>
      <c r="D841" s="9" t="n"/>
      <c r="E841" s="9" t="n"/>
      <c r="F841" s="9" t="n"/>
      <c r="G841" s="9" t="n"/>
      <c r="H841" s="71" t="n"/>
      <c r="I841" s="9" t="n"/>
      <c r="J841" s="89">
        <f>IF(H841="","",IF(I841="Sí",ROUND(H841*Configuracion!$B$11,0),0))</f>
        <v/>
      </c>
      <c r="K841" s="89">
        <f>IF(H841="","",H841+J841)</f>
        <v/>
      </c>
      <c r="L841" s="13">
        <f>IF(B841="","",YEAR(B841))</f>
        <v/>
      </c>
      <c r="M841" s="13">
        <f>IF(B841="","",MONTH(B841))</f>
        <v/>
      </c>
      <c r="N841" s="9" t="n"/>
      <c r="O841" s="9" t="n"/>
      <c r="P841" s="9" t="n"/>
      <c r="Q841" s="9" t="n"/>
    </row>
    <row r="842">
      <c r="A842" s="9" t="n"/>
      <c r="B842" s="70" t="n"/>
      <c r="C842" s="9" t="n"/>
      <c r="D842" s="9" t="n"/>
      <c r="E842" s="9" t="n"/>
      <c r="F842" s="9" t="n"/>
      <c r="G842" s="9" t="n"/>
      <c r="H842" s="71" t="n"/>
      <c r="I842" s="9" t="n"/>
      <c r="J842" s="89">
        <f>IF(H842="","",IF(I842="Sí",ROUND(H842*Configuracion!$B$11,0),0))</f>
        <v/>
      </c>
      <c r="K842" s="89">
        <f>IF(H842="","",H842+J842)</f>
        <v/>
      </c>
      <c r="L842" s="13">
        <f>IF(B842="","",YEAR(B842))</f>
        <v/>
      </c>
      <c r="M842" s="13">
        <f>IF(B842="","",MONTH(B842))</f>
        <v/>
      </c>
      <c r="N842" s="9" t="n"/>
      <c r="O842" s="9" t="n"/>
      <c r="P842" s="9" t="n"/>
      <c r="Q842" s="9" t="n"/>
    </row>
    <row r="843">
      <c r="A843" s="9" t="n"/>
      <c r="B843" s="70" t="n"/>
      <c r="C843" s="9" t="n"/>
      <c r="D843" s="9" t="n"/>
      <c r="E843" s="9" t="n"/>
      <c r="F843" s="9" t="n"/>
      <c r="G843" s="9" t="n"/>
      <c r="H843" s="71" t="n"/>
      <c r="I843" s="9" t="n"/>
      <c r="J843" s="89">
        <f>IF(H843="","",IF(I843="Sí",ROUND(H843*Configuracion!$B$11,0),0))</f>
        <v/>
      </c>
      <c r="K843" s="89">
        <f>IF(H843="","",H843+J843)</f>
        <v/>
      </c>
      <c r="L843" s="13">
        <f>IF(B843="","",YEAR(B843))</f>
        <v/>
      </c>
      <c r="M843" s="13">
        <f>IF(B843="","",MONTH(B843))</f>
        <v/>
      </c>
      <c r="N843" s="9" t="n"/>
      <c r="O843" s="9" t="n"/>
      <c r="P843" s="9" t="n"/>
      <c r="Q843" s="9" t="n"/>
    </row>
    <row r="844">
      <c r="A844" s="9" t="n"/>
      <c r="B844" s="70" t="n"/>
      <c r="C844" s="9" t="n"/>
      <c r="D844" s="9" t="n"/>
      <c r="E844" s="9" t="n"/>
      <c r="F844" s="9" t="n"/>
      <c r="G844" s="9" t="n"/>
      <c r="H844" s="71" t="n"/>
      <c r="I844" s="9" t="n"/>
      <c r="J844" s="89">
        <f>IF(H844="","",IF(I844="Sí",ROUND(H844*Configuracion!$B$11,0),0))</f>
        <v/>
      </c>
      <c r="K844" s="89">
        <f>IF(H844="","",H844+J844)</f>
        <v/>
      </c>
      <c r="L844" s="13">
        <f>IF(B844="","",YEAR(B844))</f>
        <v/>
      </c>
      <c r="M844" s="13">
        <f>IF(B844="","",MONTH(B844))</f>
        <v/>
      </c>
      <c r="N844" s="9" t="n"/>
      <c r="O844" s="9" t="n"/>
      <c r="P844" s="9" t="n"/>
      <c r="Q844" s="9" t="n"/>
    </row>
    <row r="845">
      <c r="A845" s="9" t="n"/>
      <c r="B845" s="70" t="n"/>
      <c r="C845" s="9" t="n"/>
      <c r="D845" s="9" t="n"/>
      <c r="E845" s="9" t="n"/>
      <c r="F845" s="9" t="n"/>
      <c r="G845" s="9" t="n"/>
      <c r="H845" s="71" t="n"/>
      <c r="I845" s="9" t="n"/>
      <c r="J845" s="89">
        <f>IF(H845="","",IF(I845="Sí",ROUND(H845*Configuracion!$B$11,0),0))</f>
        <v/>
      </c>
      <c r="K845" s="89">
        <f>IF(H845="","",H845+J845)</f>
        <v/>
      </c>
      <c r="L845" s="13">
        <f>IF(B845="","",YEAR(B845))</f>
        <v/>
      </c>
      <c r="M845" s="13">
        <f>IF(B845="","",MONTH(B845))</f>
        <v/>
      </c>
      <c r="N845" s="9" t="n"/>
      <c r="O845" s="9" t="n"/>
      <c r="P845" s="9" t="n"/>
      <c r="Q845" s="9" t="n"/>
    </row>
    <row r="846">
      <c r="A846" s="9" t="n"/>
      <c r="B846" s="70" t="n"/>
      <c r="C846" s="9" t="n"/>
      <c r="D846" s="9" t="n"/>
      <c r="E846" s="9" t="n"/>
      <c r="F846" s="9" t="n"/>
      <c r="G846" s="9" t="n"/>
      <c r="H846" s="71" t="n"/>
      <c r="I846" s="9" t="n"/>
      <c r="J846" s="89">
        <f>IF(H846="","",IF(I846="Sí",ROUND(H846*Configuracion!$B$11,0),0))</f>
        <v/>
      </c>
      <c r="K846" s="89">
        <f>IF(H846="","",H846+J846)</f>
        <v/>
      </c>
      <c r="L846" s="13">
        <f>IF(B846="","",YEAR(B846))</f>
        <v/>
      </c>
      <c r="M846" s="13">
        <f>IF(B846="","",MONTH(B846))</f>
        <v/>
      </c>
      <c r="N846" s="9" t="n"/>
      <c r="O846" s="9" t="n"/>
      <c r="P846" s="9" t="n"/>
      <c r="Q846" s="9" t="n"/>
    </row>
    <row r="847">
      <c r="A847" s="9" t="n"/>
      <c r="B847" s="70" t="n"/>
      <c r="C847" s="9" t="n"/>
      <c r="D847" s="9" t="n"/>
      <c r="E847" s="9" t="n"/>
      <c r="F847" s="9" t="n"/>
      <c r="G847" s="9" t="n"/>
      <c r="H847" s="71" t="n"/>
      <c r="I847" s="9" t="n"/>
      <c r="J847" s="89">
        <f>IF(H847="","",IF(I847="Sí",ROUND(H847*Configuracion!$B$11,0),0))</f>
        <v/>
      </c>
      <c r="K847" s="89">
        <f>IF(H847="","",H847+J847)</f>
        <v/>
      </c>
      <c r="L847" s="13">
        <f>IF(B847="","",YEAR(B847))</f>
        <v/>
      </c>
      <c r="M847" s="13">
        <f>IF(B847="","",MONTH(B847))</f>
        <v/>
      </c>
      <c r="N847" s="9" t="n"/>
      <c r="O847" s="9" t="n"/>
      <c r="P847" s="9" t="n"/>
      <c r="Q847" s="9" t="n"/>
    </row>
    <row r="848">
      <c r="A848" s="9" t="n"/>
      <c r="B848" s="70" t="n"/>
      <c r="C848" s="9" t="n"/>
      <c r="D848" s="9" t="n"/>
      <c r="E848" s="9" t="n"/>
      <c r="F848" s="9" t="n"/>
      <c r="G848" s="9" t="n"/>
      <c r="H848" s="71" t="n"/>
      <c r="I848" s="9" t="n"/>
      <c r="J848" s="89">
        <f>IF(H848="","",IF(I848="Sí",ROUND(H848*Configuracion!$B$11,0),0))</f>
        <v/>
      </c>
      <c r="K848" s="89">
        <f>IF(H848="","",H848+J848)</f>
        <v/>
      </c>
      <c r="L848" s="13">
        <f>IF(B848="","",YEAR(B848))</f>
        <v/>
      </c>
      <c r="M848" s="13">
        <f>IF(B848="","",MONTH(B848))</f>
        <v/>
      </c>
      <c r="N848" s="9" t="n"/>
      <c r="O848" s="9" t="n"/>
      <c r="P848" s="9" t="n"/>
      <c r="Q848" s="9" t="n"/>
    </row>
    <row r="849">
      <c r="A849" s="9" t="n"/>
      <c r="B849" s="70" t="n"/>
      <c r="C849" s="9" t="n"/>
      <c r="D849" s="9" t="n"/>
      <c r="E849" s="9" t="n"/>
      <c r="F849" s="9" t="n"/>
      <c r="G849" s="9" t="n"/>
      <c r="H849" s="71" t="n"/>
      <c r="I849" s="9" t="n"/>
      <c r="J849" s="89">
        <f>IF(H849="","",IF(I849="Sí",ROUND(H849*Configuracion!$B$11,0),0))</f>
        <v/>
      </c>
      <c r="K849" s="89">
        <f>IF(H849="","",H849+J849)</f>
        <v/>
      </c>
      <c r="L849" s="13">
        <f>IF(B849="","",YEAR(B849))</f>
        <v/>
      </c>
      <c r="M849" s="13">
        <f>IF(B849="","",MONTH(B849))</f>
        <v/>
      </c>
      <c r="N849" s="9" t="n"/>
      <c r="O849" s="9" t="n"/>
      <c r="P849" s="9" t="n"/>
      <c r="Q849" s="9" t="n"/>
    </row>
    <row r="850">
      <c r="A850" s="9" t="n"/>
      <c r="B850" s="70" t="n"/>
      <c r="C850" s="9" t="n"/>
      <c r="D850" s="9" t="n"/>
      <c r="E850" s="9" t="n"/>
      <c r="F850" s="9" t="n"/>
      <c r="G850" s="9" t="n"/>
      <c r="H850" s="71" t="n"/>
      <c r="I850" s="9" t="n"/>
      <c r="J850" s="89">
        <f>IF(H850="","",IF(I850="Sí",ROUND(H850*Configuracion!$B$11,0),0))</f>
        <v/>
      </c>
      <c r="K850" s="89">
        <f>IF(H850="","",H850+J850)</f>
        <v/>
      </c>
      <c r="L850" s="13">
        <f>IF(B850="","",YEAR(B850))</f>
        <v/>
      </c>
      <c r="M850" s="13">
        <f>IF(B850="","",MONTH(B850))</f>
        <v/>
      </c>
      <c r="N850" s="9" t="n"/>
      <c r="O850" s="9" t="n"/>
      <c r="P850" s="9" t="n"/>
      <c r="Q850" s="9" t="n"/>
    </row>
    <row r="851">
      <c r="A851" s="9" t="n"/>
      <c r="B851" s="70" t="n"/>
      <c r="C851" s="9" t="n"/>
      <c r="D851" s="9" t="n"/>
      <c r="E851" s="9" t="n"/>
      <c r="F851" s="9" t="n"/>
      <c r="G851" s="9" t="n"/>
      <c r="H851" s="71" t="n"/>
      <c r="I851" s="9" t="n"/>
      <c r="J851" s="89">
        <f>IF(H851="","",IF(I851="Sí",ROUND(H851*Configuracion!$B$11,0),0))</f>
        <v/>
      </c>
      <c r="K851" s="89">
        <f>IF(H851="","",H851+J851)</f>
        <v/>
      </c>
      <c r="L851" s="13">
        <f>IF(B851="","",YEAR(B851))</f>
        <v/>
      </c>
      <c r="M851" s="13">
        <f>IF(B851="","",MONTH(B851))</f>
        <v/>
      </c>
      <c r="N851" s="9" t="n"/>
      <c r="O851" s="9" t="n"/>
      <c r="P851" s="9" t="n"/>
      <c r="Q851" s="9" t="n"/>
    </row>
    <row r="852">
      <c r="A852" s="9" t="n"/>
      <c r="B852" s="70" t="n"/>
      <c r="C852" s="9" t="n"/>
      <c r="D852" s="9" t="n"/>
      <c r="E852" s="9" t="n"/>
      <c r="F852" s="9" t="n"/>
      <c r="G852" s="9" t="n"/>
      <c r="H852" s="71" t="n"/>
      <c r="I852" s="9" t="n"/>
      <c r="J852" s="89">
        <f>IF(H852="","",IF(I852="Sí",ROUND(H852*Configuracion!$B$11,0),0))</f>
        <v/>
      </c>
      <c r="K852" s="89">
        <f>IF(H852="","",H852+J852)</f>
        <v/>
      </c>
      <c r="L852" s="13">
        <f>IF(B852="","",YEAR(B852))</f>
        <v/>
      </c>
      <c r="M852" s="13">
        <f>IF(B852="","",MONTH(B852))</f>
        <v/>
      </c>
      <c r="N852" s="9" t="n"/>
      <c r="O852" s="9" t="n"/>
      <c r="P852" s="9" t="n"/>
      <c r="Q852" s="9" t="n"/>
    </row>
    <row r="853">
      <c r="A853" s="9" t="n"/>
      <c r="B853" s="70" t="n"/>
      <c r="C853" s="9" t="n"/>
      <c r="D853" s="9" t="n"/>
      <c r="E853" s="9" t="n"/>
      <c r="F853" s="9" t="n"/>
      <c r="G853" s="9" t="n"/>
      <c r="H853" s="71" t="n"/>
      <c r="I853" s="9" t="n"/>
      <c r="J853" s="89">
        <f>IF(H853="","",IF(I853="Sí",ROUND(H853*Configuracion!$B$11,0),0))</f>
        <v/>
      </c>
      <c r="K853" s="89">
        <f>IF(H853="","",H853+J853)</f>
        <v/>
      </c>
      <c r="L853" s="13">
        <f>IF(B853="","",YEAR(B853))</f>
        <v/>
      </c>
      <c r="M853" s="13">
        <f>IF(B853="","",MONTH(B853))</f>
        <v/>
      </c>
      <c r="N853" s="9" t="n"/>
      <c r="O853" s="9" t="n"/>
      <c r="P853" s="9" t="n"/>
      <c r="Q853" s="9" t="n"/>
    </row>
    <row r="854">
      <c r="A854" s="9" t="n"/>
      <c r="B854" s="70" t="n"/>
      <c r="C854" s="9" t="n"/>
      <c r="D854" s="9" t="n"/>
      <c r="E854" s="9" t="n"/>
      <c r="F854" s="9" t="n"/>
      <c r="G854" s="9" t="n"/>
      <c r="H854" s="71" t="n"/>
      <c r="I854" s="9" t="n"/>
      <c r="J854" s="89">
        <f>IF(H854="","",IF(I854="Sí",ROUND(H854*Configuracion!$B$11,0),0))</f>
        <v/>
      </c>
      <c r="K854" s="89">
        <f>IF(H854="","",H854+J854)</f>
        <v/>
      </c>
      <c r="L854" s="13">
        <f>IF(B854="","",YEAR(B854))</f>
        <v/>
      </c>
      <c r="M854" s="13">
        <f>IF(B854="","",MONTH(B854))</f>
        <v/>
      </c>
      <c r="N854" s="9" t="n"/>
      <c r="O854" s="9" t="n"/>
      <c r="P854" s="9" t="n"/>
      <c r="Q854" s="9" t="n"/>
    </row>
    <row r="855">
      <c r="A855" s="9" t="n"/>
      <c r="B855" s="70" t="n"/>
      <c r="C855" s="9" t="n"/>
      <c r="D855" s="9" t="n"/>
      <c r="E855" s="9" t="n"/>
      <c r="F855" s="9" t="n"/>
      <c r="G855" s="9" t="n"/>
      <c r="H855" s="71" t="n"/>
      <c r="I855" s="9" t="n"/>
      <c r="J855" s="89">
        <f>IF(H855="","",IF(I855="Sí",ROUND(H855*Configuracion!$B$11,0),0))</f>
        <v/>
      </c>
      <c r="K855" s="89">
        <f>IF(H855="","",H855+J855)</f>
        <v/>
      </c>
      <c r="L855" s="13">
        <f>IF(B855="","",YEAR(B855))</f>
        <v/>
      </c>
      <c r="M855" s="13">
        <f>IF(B855="","",MONTH(B855))</f>
        <v/>
      </c>
      <c r="N855" s="9" t="n"/>
      <c r="O855" s="9" t="n"/>
      <c r="P855" s="9" t="n"/>
      <c r="Q855" s="9" t="n"/>
    </row>
    <row r="856">
      <c r="A856" s="9" t="n"/>
      <c r="B856" s="70" t="n"/>
      <c r="C856" s="9" t="n"/>
      <c r="D856" s="9" t="n"/>
      <c r="E856" s="9" t="n"/>
      <c r="F856" s="9" t="n"/>
      <c r="G856" s="9" t="n"/>
      <c r="H856" s="71" t="n"/>
      <c r="I856" s="9" t="n"/>
      <c r="J856" s="89">
        <f>IF(H856="","",IF(I856="Sí",ROUND(H856*Configuracion!$B$11,0),0))</f>
        <v/>
      </c>
      <c r="K856" s="89">
        <f>IF(H856="","",H856+J856)</f>
        <v/>
      </c>
      <c r="L856" s="13">
        <f>IF(B856="","",YEAR(B856))</f>
        <v/>
      </c>
      <c r="M856" s="13">
        <f>IF(B856="","",MONTH(B856))</f>
        <v/>
      </c>
      <c r="N856" s="9" t="n"/>
      <c r="O856" s="9" t="n"/>
      <c r="P856" s="9" t="n"/>
      <c r="Q856" s="9" t="n"/>
    </row>
    <row r="857">
      <c r="A857" s="9" t="n"/>
      <c r="B857" s="70" t="n"/>
      <c r="C857" s="9" t="n"/>
      <c r="D857" s="9" t="n"/>
      <c r="E857" s="9" t="n"/>
      <c r="F857" s="9" t="n"/>
      <c r="G857" s="9" t="n"/>
      <c r="H857" s="71" t="n"/>
      <c r="I857" s="9" t="n"/>
      <c r="J857" s="89">
        <f>IF(H857="","",IF(I857="Sí",ROUND(H857*Configuracion!$B$11,0),0))</f>
        <v/>
      </c>
      <c r="K857" s="89">
        <f>IF(H857="","",H857+J857)</f>
        <v/>
      </c>
      <c r="L857" s="13">
        <f>IF(B857="","",YEAR(B857))</f>
        <v/>
      </c>
      <c r="M857" s="13">
        <f>IF(B857="","",MONTH(B857))</f>
        <v/>
      </c>
      <c r="N857" s="9" t="n"/>
      <c r="O857" s="9" t="n"/>
      <c r="P857" s="9" t="n"/>
      <c r="Q857" s="9" t="n"/>
    </row>
    <row r="858">
      <c r="A858" s="9" t="n"/>
      <c r="B858" s="70" t="n"/>
      <c r="C858" s="9" t="n"/>
      <c r="D858" s="9" t="n"/>
      <c r="E858" s="9" t="n"/>
      <c r="F858" s="9" t="n"/>
      <c r="G858" s="9" t="n"/>
      <c r="H858" s="71" t="n"/>
      <c r="I858" s="9" t="n"/>
      <c r="J858" s="89">
        <f>IF(H858="","",IF(I858="Sí",ROUND(H858*Configuracion!$B$11,0),0))</f>
        <v/>
      </c>
      <c r="K858" s="89">
        <f>IF(H858="","",H858+J858)</f>
        <v/>
      </c>
      <c r="L858" s="13">
        <f>IF(B858="","",YEAR(B858))</f>
        <v/>
      </c>
      <c r="M858" s="13">
        <f>IF(B858="","",MONTH(B858))</f>
        <v/>
      </c>
      <c r="N858" s="9" t="n"/>
      <c r="O858" s="9" t="n"/>
      <c r="P858" s="9" t="n"/>
      <c r="Q858" s="9" t="n"/>
    </row>
    <row r="859">
      <c r="A859" s="9" t="n"/>
      <c r="B859" s="70" t="n"/>
      <c r="C859" s="9" t="n"/>
      <c r="D859" s="9" t="n"/>
      <c r="E859" s="9" t="n"/>
      <c r="F859" s="9" t="n"/>
      <c r="G859" s="9" t="n"/>
      <c r="H859" s="71" t="n"/>
      <c r="I859" s="9" t="n"/>
      <c r="J859" s="89">
        <f>IF(H859="","",IF(I859="Sí",ROUND(H859*Configuracion!$B$11,0),0))</f>
        <v/>
      </c>
      <c r="K859" s="89">
        <f>IF(H859="","",H859+J859)</f>
        <v/>
      </c>
      <c r="L859" s="13">
        <f>IF(B859="","",YEAR(B859))</f>
        <v/>
      </c>
      <c r="M859" s="13">
        <f>IF(B859="","",MONTH(B859))</f>
        <v/>
      </c>
      <c r="N859" s="9" t="n"/>
      <c r="O859" s="9" t="n"/>
      <c r="P859" s="9" t="n"/>
      <c r="Q859" s="9" t="n"/>
    </row>
    <row r="860">
      <c r="A860" s="9" t="n"/>
      <c r="B860" s="70" t="n"/>
      <c r="C860" s="9" t="n"/>
      <c r="D860" s="9" t="n"/>
      <c r="E860" s="9" t="n"/>
      <c r="F860" s="9" t="n"/>
      <c r="G860" s="9" t="n"/>
      <c r="H860" s="71" t="n"/>
      <c r="I860" s="9" t="n"/>
      <c r="J860" s="89">
        <f>IF(H860="","",IF(I860="Sí",ROUND(H860*Configuracion!$B$11,0),0))</f>
        <v/>
      </c>
      <c r="K860" s="89">
        <f>IF(H860="","",H860+J860)</f>
        <v/>
      </c>
      <c r="L860" s="13">
        <f>IF(B860="","",YEAR(B860))</f>
        <v/>
      </c>
      <c r="M860" s="13">
        <f>IF(B860="","",MONTH(B860))</f>
        <v/>
      </c>
      <c r="N860" s="9" t="n"/>
      <c r="O860" s="9" t="n"/>
      <c r="P860" s="9" t="n"/>
      <c r="Q860" s="9" t="n"/>
    </row>
    <row r="861">
      <c r="A861" s="9" t="n"/>
      <c r="B861" s="70" t="n"/>
      <c r="C861" s="9" t="n"/>
      <c r="D861" s="9" t="n"/>
      <c r="E861" s="9" t="n"/>
      <c r="F861" s="9" t="n"/>
      <c r="G861" s="9" t="n"/>
      <c r="H861" s="71" t="n"/>
      <c r="I861" s="9" t="n"/>
      <c r="J861" s="89">
        <f>IF(H861="","",IF(I861="Sí",ROUND(H861*Configuracion!$B$11,0),0))</f>
        <v/>
      </c>
      <c r="K861" s="89">
        <f>IF(H861="","",H861+J861)</f>
        <v/>
      </c>
      <c r="L861" s="13">
        <f>IF(B861="","",YEAR(B861))</f>
        <v/>
      </c>
      <c r="M861" s="13">
        <f>IF(B861="","",MONTH(B861))</f>
        <v/>
      </c>
      <c r="N861" s="9" t="n"/>
      <c r="O861" s="9" t="n"/>
      <c r="P861" s="9" t="n"/>
      <c r="Q861" s="9" t="n"/>
    </row>
    <row r="862">
      <c r="A862" s="9" t="n"/>
      <c r="B862" s="70" t="n"/>
      <c r="C862" s="9" t="n"/>
      <c r="D862" s="9" t="n"/>
      <c r="E862" s="9" t="n"/>
      <c r="F862" s="9" t="n"/>
      <c r="G862" s="9" t="n"/>
      <c r="H862" s="71" t="n"/>
      <c r="I862" s="9" t="n"/>
      <c r="J862" s="89">
        <f>IF(H862="","",IF(I862="Sí",ROUND(H862*Configuracion!$B$11,0),0))</f>
        <v/>
      </c>
      <c r="K862" s="89">
        <f>IF(H862="","",H862+J862)</f>
        <v/>
      </c>
      <c r="L862" s="13">
        <f>IF(B862="","",YEAR(B862))</f>
        <v/>
      </c>
      <c r="M862" s="13">
        <f>IF(B862="","",MONTH(B862))</f>
        <v/>
      </c>
      <c r="N862" s="9" t="n"/>
      <c r="O862" s="9" t="n"/>
      <c r="P862" s="9" t="n"/>
      <c r="Q862" s="9" t="n"/>
    </row>
    <row r="863">
      <c r="A863" s="9" t="n"/>
      <c r="B863" s="70" t="n"/>
      <c r="C863" s="9" t="n"/>
      <c r="D863" s="9" t="n"/>
      <c r="E863" s="9" t="n"/>
      <c r="F863" s="9" t="n"/>
      <c r="G863" s="9" t="n"/>
      <c r="H863" s="71" t="n"/>
      <c r="I863" s="9" t="n"/>
      <c r="J863" s="89">
        <f>IF(H863="","",IF(I863="Sí",ROUND(H863*Configuracion!$B$11,0),0))</f>
        <v/>
      </c>
      <c r="K863" s="89">
        <f>IF(H863="","",H863+J863)</f>
        <v/>
      </c>
      <c r="L863" s="13">
        <f>IF(B863="","",YEAR(B863))</f>
        <v/>
      </c>
      <c r="M863" s="13">
        <f>IF(B863="","",MONTH(B863))</f>
        <v/>
      </c>
      <c r="N863" s="9" t="n"/>
      <c r="O863" s="9" t="n"/>
      <c r="P863" s="9" t="n"/>
      <c r="Q863" s="9" t="n"/>
    </row>
    <row r="864">
      <c r="A864" s="9" t="n"/>
      <c r="B864" s="70" t="n"/>
      <c r="C864" s="9" t="n"/>
      <c r="D864" s="9" t="n"/>
      <c r="E864" s="9" t="n"/>
      <c r="F864" s="9" t="n"/>
      <c r="G864" s="9" t="n"/>
      <c r="H864" s="71" t="n"/>
      <c r="I864" s="9" t="n"/>
      <c r="J864" s="89">
        <f>IF(H864="","",IF(I864="Sí",ROUND(H864*Configuracion!$B$11,0),0))</f>
        <v/>
      </c>
      <c r="K864" s="89">
        <f>IF(H864="","",H864+J864)</f>
        <v/>
      </c>
      <c r="L864" s="13">
        <f>IF(B864="","",YEAR(B864))</f>
        <v/>
      </c>
      <c r="M864" s="13">
        <f>IF(B864="","",MONTH(B864))</f>
        <v/>
      </c>
      <c r="N864" s="9" t="n"/>
      <c r="O864" s="9" t="n"/>
      <c r="P864" s="9" t="n"/>
      <c r="Q864" s="9" t="n"/>
    </row>
    <row r="865">
      <c r="A865" s="9" t="n"/>
      <c r="B865" s="70" t="n"/>
      <c r="C865" s="9" t="n"/>
      <c r="D865" s="9" t="n"/>
      <c r="E865" s="9" t="n"/>
      <c r="F865" s="9" t="n"/>
      <c r="G865" s="9" t="n"/>
      <c r="H865" s="71" t="n"/>
      <c r="I865" s="9" t="n"/>
      <c r="J865" s="89">
        <f>IF(H865="","",IF(I865="Sí",ROUND(H865*Configuracion!$B$11,0),0))</f>
        <v/>
      </c>
      <c r="K865" s="89">
        <f>IF(H865="","",H865+J865)</f>
        <v/>
      </c>
      <c r="L865" s="13">
        <f>IF(B865="","",YEAR(B865))</f>
        <v/>
      </c>
      <c r="M865" s="13">
        <f>IF(B865="","",MONTH(B865))</f>
        <v/>
      </c>
      <c r="N865" s="9" t="n"/>
      <c r="O865" s="9" t="n"/>
      <c r="P865" s="9" t="n"/>
      <c r="Q865" s="9" t="n"/>
    </row>
    <row r="866">
      <c r="A866" s="9" t="n"/>
      <c r="B866" s="70" t="n"/>
      <c r="C866" s="9" t="n"/>
      <c r="D866" s="9" t="n"/>
      <c r="E866" s="9" t="n"/>
      <c r="F866" s="9" t="n"/>
      <c r="G866" s="9" t="n"/>
      <c r="H866" s="71" t="n"/>
      <c r="I866" s="9" t="n"/>
      <c r="J866" s="89">
        <f>IF(H866="","",IF(I866="Sí",ROUND(H866*Configuracion!$B$11,0),0))</f>
        <v/>
      </c>
      <c r="K866" s="89">
        <f>IF(H866="","",H866+J866)</f>
        <v/>
      </c>
      <c r="L866" s="13">
        <f>IF(B866="","",YEAR(B866))</f>
        <v/>
      </c>
      <c r="M866" s="13">
        <f>IF(B866="","",MONTH(B866))</f>
        <v/>
      </c>
      <c r="N866" s="9" t="n"/>
      <c r="O866" s="9" t="n"/>
      <c r="P866" s="9" t="n"/>
      <c r="Q866" s="9" t="n"/>
    </row>
    <row r="867">
      <c r="A867" s="9" t="n"/>
      <c r="B867" s="70" t="n"/>
      <c r="C867" s="9" t="n"/>
      <c r="D867" s="9" t="n"/>
      <c r="E867" s="9" t="n"/>
      <c r="F867" s="9" t="n"/>
      <c r="G867" s="9" t="n"/>
      <c r="H867" s="71" t="n"/>
      <c r="I867" s="9" t="n"/>
      <c r="J867" s="89">
        <f>IF(H867="","",IF(I867="Sí",ROUND(H867*Configuracion!$B$11,0),0))</f>
        <v/>
      </c>
      <c r="K867" s="89">
        <f>IF(H867="","",H867+J867)</f>
        <v/>
      </c>
      <c r="L867" s="13">
        <f>IF(B867="","",YEAR(B867))</f>
        <v/>
      </c>
      <c r="M867" s="13">
        <f>IF(B867="","",MONTH(B867))</f>
        <v/>
      </c>
      <c r="N867" s="9" t="n"/>
      <c r="O867" s="9" t="n"/>
      <c r="P867" s="9" t="n"/>
      <c r="Q867" s="9" t="n"/>
    </row>
    <row r="868">
      <c r="A868" s="9" t="n"/>
      <c r="B868" s="70" t="n"/>
      <c r="C868" s="9" t="n"/>
      <c r="D868" s="9" t="n"/>
      <c r="E868" s="9" t="n"/>
      <c r="F868" s="9" t="n"/>
      <c r="G868" s="9" t="n"/>
      <c r="H868" s="71" t="n"/>
      <c r="I868" s="9" t="n"/>
      <c r="J868" s="89">
        <f>IF(H868="","",IF(I868="Sí",ROUND(H868*Configuracion!$B$11,0),0))</f>
        <v/>
      </c>
      <c r="K868" s="89">
        <f>IF(H868="","",H868+J868)</f>
        <v/>
      </c>
      <c r="L868" s="13">
        <f>IF(B868="","",YEAR(B868))</f>
        <v/>
      </c>
      <c r="M868" s="13">
        <f>IF(B868="","",MONTH(B868))</f>
        <v/>
      </c>
      <c r="N868" s="9" t="n"/>
      <c r="O868" s="9" t="n"/>
      <c r="P868" s="9" t="n"/>
      <c r="Q868" s="9" t="n"/>
    </row>
    <row r="869">
      <c r="A869" s="9" t="n"/>
      <c r="B869" s="70" t="n"/>
      <c r="C869" s="9" t="n"/>
      <c r="D869" s="9" t="n"/>
      <c r="E869" s="9" t="n"/>
      <c r="F869" s="9" t="n"/>
      <c r="G869" s="9" t="n"/>
      <c r="H869" s="71" t="n"/>
      <c r="I869" s="9" t="n"/>
      <c r="J869" s="89">
        <f>IF(H869="","",IF(I869="Sí",ROUND(H869*Configuracion!$B$11,0),0))</f>
        <v/>
      </c>
      <c r="K869" s="89">
        <f>IF(H869="","",H869+J869)</f>
        <v/>
      </c>
      <c r="L869" s="13">
        <f>IF(B869="","",YEAR(B869))</f>
        <v/>
      </c>
      <c r="M869" s="13">
        <f>IF(B869="","",MONTH(B869))</f>
        <v/>
      </c>
      <c r="N869" s="9" t="n"/>
      <c r="O869" s="9" t="n"/>
      <c r="P869" s="9" t="n"/>
      <c r="Q869" s="9" t="n"/>
    </row>
    <row r="870">
      <c r="A870" s="9" t="n"/>
      <c r="B870" s="70" t="n"/>
      <c r="C870" s="9" t="n"/>
      <c r="D870" s="9" t="n"/>
      <c r="E870" s="9" t="n"/>
      <c r="F870" s="9" t="n"/>
      <c r="G870" s="9" t="n"/>
      <c r="H870" s="71" t="n"/>
      <c r="I870" s="9" t="n"/>
      <c r="J870" s="89">
        <f>IF(H870="","",IF(I870="Sí",ROUND(H870*Configuracion!$B$11,0),0))</f>
        <v/>
      </c>
      <c r="K870" s="89">
        <f>IF(H870="","",H870+J870)</f>
        <v/>
      </c>
      <c r="L870" s="13">
        <f>IF(B870="","",YEAR(B870))</f>
        <v/>
      </c>
      <c r="M870" s="13">
        <f>IF(B870="","",MONTH(B870))</f>
        <v/>
      </c>
      <c r="N870" s="9" t="n"/>
      <c r="O870" s="9" t="n"/>
      <c r="P870" s="9" t="n"/>
      <c r="Q870" s="9" t="n"/>
    </row>
    <row r="871">
      <c r="A871" s="9" t="n"/>
      <c r="B871" s="70" t="n"/>
      <c r="C871" s="9" t="n"/>
      <c r="D871" s="9" t="n"/>
      <c r="E871" s="9" t="n"/>
      <c r="F871" s="9" t="n"/>
      <c r="G871" s="9" t="n"/>
      <c r="H871" s="71" t="n"/>
      <c r="I871" s="9" t="n"/>
      <c r="J871" s="89">
        <f>IF(H871="","",IF(I871="Sí",ROUND(H871*Configuracion!$B$11,0),0))</f>
        <v/>
      </c>
      <c r="K871" s="89">
        <f>IF(H871="","",H871+J871)</f>
        <v/>
      </c>
      <c r="L871" s="13">
        <f>IF(B871="","",YEAR(B871))</f>
        <v/>
      </c>
      <c r="M871" s="13">
        <f>IF(B871="","",MONTH(B871))</f>
        <v/>
      </c>
      <c r="N871" s="9" t="n"/>
      <c r="O871" s="9" t="n"/>
      <c r="P871" s="9" t="n"/>
      <c r="Q871" s="9" t="n"/>
    </row>
    <row r="872">
      <c r="A872" s="9" t="n"/>
      <c r="B872" s="70" t="n"/>
      <c r="C872" s="9" t="n"/>
      <c r="D872" s="9" t="n"/>
      <c r="E872" s="9" t="n"/>
      <c r="F872" s="9" t="n"/>
      <c r="G872" s="9" t="n"/>
      <c r="H872" s="71" t="n"/>
      <c r="I872" s="9" t="n"/>
      <c r="J872" s="89">
        <f>IF(H872="","",IF(I872="Sí",ROUND(H872*Configuracion!$B$11,0),0))</f>
        <v/>
      </c>
      <c r="K872" s="89">
        <f>IF(H872="","",H872+J872)</f>
        <v/>
      </c>
      <c r="L872" s="13">
        <f>IF(B872="","",YEAR(B872))</f>
        <v/>
      </c>
      <c r="M872" s="13">
        <f>IF(B872="","",MONTH(B872))</f>
        <v/>
      </c>
      <c r="N872" s="9" t="n"/>
      <c r="O872" s="9" t="n"/>
      <c r="P872" s="9" t="n"/>
      <c r="Q872" s="9" t="n"/>
    </row>
    <row r="873">
      <c r="A873" s="9" t="n"/>
      <c r="B873" s="70" t="n"/>
      <c r="C873" s="9" t="n"/>
      <c r="D873" s="9" t="n"/>
      <c r="E873" s="9" t="n"/>
      <c r="F873" s="9" t="n"/>
      <c r="G873" s="9" t="n"/>
      <c r="H873" s="71" t="n"/>
      <c r="I873" s="9" t="n"/>
      <c r="J873" s="89">
        <f>IF(H873="","",IF(I873="Sí",ROUND(H873*Configuracion!$B$11,0),0))</f>
        <v/>
      </c>
      <c r="K873" s="89">
        <f>IF(H873="","",H873+J873)</f>
        <v/>
      </c>
      <c r="L873" s="13">
        <f>IF(B873="","",YEAR(B873))</f>
        <v/>
      </c>
      <c r="M873" s="13">
        <f>IF(B873="","",MONTH(B873))</f>
        <v/>
      </c>
      <c r="N873" s="9" t="n"/>
      <c r="O873" s="9" t="n"/>
      <c r="P873" s="9" t="n"/>
      <c r="Q873" s="9" t="n"/>
    </row>
    <row r="874">
      <c r="A874" s="9" t="n"/>
      <c r="B874" s="70" t="n"/>
      <c r="C874" s="9" t="n"/>
      <c r="D874" s="9" t="n"/>
      <c r="E874" s="9" t="n"/>
      <c r="F874" s="9" t="n"/>
      <c r="G874" s="9" t="n"/>
      <c r="H874" s="71" t="n"/>
      <c r="I874" s="9" t="n"/>
      <c r="J874" s="89">
        <f>IF(H874="","",IF(I874="Sí",ROUND(H874*Configuracion!$B$11,0),0))</f>
        <v/>
      </c>
      <c r="K874" s="89">
        <f>IF(H874="","",H874+J874)</f>
        <v/>
      </c>
      <c r="L874" s="13">
        <f>IF(B874="","",YEAR(B874))</f>
        <v/>
      </c>
      <c r="M874" s="13">
        <f>IF(B874="","",MONTH(B874))</f>
        <v/>
      </c>
      <c r="N874" s="9" t="n"/>
      <c r="O874" s="9" t="n"/>
      <c r="P874" s="9" t="n"/>
      <c r="Q874" s="9" t="n"/>
    </row>
    <row r="875">
      <c r="A875" s="9" t="n"/>
      <c r="B875" s="70" t="n"/>
      <c r="C875" s="9" t="n"/>
      <c r="D875" s="9" t="n"/>
      <c r="E875" s="9" t="n"/>
      <c r="F875" s="9" t="n"/>
      <c r="G875" s="9" t="n"/>
      <c r="H875" s="71" t="n"/>
      <c r="I875" s="9" t="n"/>
      <c r="J875" s="89">
        <f>IF(H875="","",IF(I875="Sí",ROUND(H875*Configuracion!$B$11,0),0))</f>
        <v/>
      </c>
      <c r="K875" s="89">
        <f>IF(H875="","",H875+J875)</f>
        <v/>
      </c>
      <c r="L875" s="13">
        <f>IF(B875="","",YEAR(B875))</f>
        <v/>
      </c>
      <c r="M875" s="13">
        <f>IF(B875="","",MONTH(B875))</f>
        <v/>
      </c>
      <c r="N875" s="9" t="n"/>
      <c r="O875" s="9" t="n"/>
      <c r="P875" s="9" t="n"/>
      <c r="Q875" s="9" t="n"/>
    </row>
    <row r="876">
      <c r="A876" s="9" t="n"/>
      <c r="B876" s="70" t="n"/>
      <c r="C876" s="9" t="n"/>
      <c r="D876" s="9" t="n"/>
      <c r="E876" s="9" t="n"/>
      <c r="F876" s="9" t="n"/>
      <c r="G876" s="9" t="n"/>
      <c r="H876" s="71" t="n"/>
      <c r="I876" s="9" t="n"/>
      <c r="J876" s="89">
        <f>IF(H876="","",IF(I876="Sí",ROUND(H876*Configuracion!$B$11,0),0))</f>
        <v/>
      </c>
      <c r="K876" s="89">
        <f>IF(H876="","",H876+J876)</f>
        <v/>
      </c>
      <c r="L876" s="13">
        <f>IF(B876="","",YEAR(B876))</f>
        <v/>
      </c>
      <c r="M876" s="13">
        <f>IF(B876="","",MONTH(B876))</f>
        <v/>
      </c>
      <c r="N876" s="9" t="n"/>
      <c r="O876" s="9" t="n"/>
      <c r="P876" s="9" t="n"/>
      <c r="Q876" s="9" t="n"/>
    </row>
    <row r="877">
      <c r="A877" s="9" t="n"/>
      <c r="B877" s="70" t="n"/>
      <c r="C877" s="9" t="n"/>
      <c r="D877" s="9" t="n"/>
      <c r="E877" s="9" t="n"/>
      <c r="F877" s="9" t="n"/>
      <c r="G877" s="9" t="n"/>
      <c r="H877" s="71" t="n"/>
      <c r="I877" s="9" t="n"/>
      <c r="J877" s="89">
        <f>IF(H877="","",IF(I877="Sí",ROUND(H877*Configuracion!$B$11,0),0))</f>
        <v/>
      </c>
      <c r="K877" s="89">
        <f>IF(H877="","",H877+J877)</f>
        <v/>
      </c>
      <c r="L877" s="13">
        <f>IF(B877="","",YEAR(B877))</f>
        <v/>
      </c>
      <c r="M877" s="13">
        <f>IF(B877="","",MONTH(B877))</f>
        <v/>
      </c>
      <c r="N877" s="9" t="n"/>
      <c r="O877" s="9" t="n"/>
      <c r="P877" s="9" t="n"/>
      <c r="Q877" s="9" t="n"/>
    </row>
    <row r="878">
      <c r="A878" s="9" t="n"/>
      <c r="B878" s="70" t="n"/>
      <c r="C878" s="9" t="n"/>
      <c r="D878" s="9" t="n"/>
      <c r="E878" s="9" t="n"/>
      <c r="F878" s="9" t="n"/>
      <c r="G878" s="9" t="n"/>
      <c r="H878" s="71" t="n"/>
      <c r="I878" s="9" t="n"/>
      <c r="J878" s="89">
        <f>IF(H878="","",IF(I878="Sí",ROUND(H878*Configuracion!$B$11,0),0))</f>
        <v/>
      </c>
      <c r="K878" s="89">
        <f>IF(H878="","",H878+J878)</f>
        <v/>
      </c>
      <c r="L878" s="13">
        <f>IF(B878="","",YEAR(B878))</f>
        <v/>
      </c>
      <c r="M878" s="13">
        <f>IF(B878="","",MONTH(B878))</f>
        <v/>
      </c>
      <c r="N878" s="9" t="n"/>
      <c r="O878" s="9" t="n"/>
      <c r="P878" s="9" t="n"/>
      <c r="Q878" s="9" t="n"/>
    </row>
    <row r="879">
      <c r="A879" s="9" t="n"/>
      <c r="B879" s="70" t="n"/>
      <c r="C879" s="9" t="n"/>
      <c r="D879" s="9" t="n"/>
      <c r="E879" s="9" t="n"/>
      <c r="F879" s="9" t="n"/>
      <c r="G879" s="9" t="n"/>
      <c r="H879" s="71" t="n"/>
      <c r="I879" s="9" t="n"/>
      <c r="J879" s="89">
        <f>IF(H879="","",IF(I879="Sí",ROUND(H879*Configuracion!$B$11,0),0))</f>
        <v/>
      </c>
      <c r="K879" s="89">
        <f>IF(H879="","",H879+J879)</f>
        <v/>
      </c>
      <c r="L879" s="13">
        <f>IF(B879="","",YEAR(B879))</f>
        <v/>
      </c>
      <c r="M879" s="13">
        <f>IF(B879="","",MONTH(B879))</f>
        <v/>
      </c>
      <c r="N879" s="9" t="n"/>
      <c r="O879" s="9" t="n"/>
      <c r="P879" s="9" t="n"/>
      <c r="Q879" s="9" t="n"/>
    </row>
    <row r="880">
      <c r="A880" s="9" t="n"/>
      <c r="B880" s="70" t="n"/>
      <c r="C880" s="9" t="n"/>
      <c r="D880" s="9" t="n"/>
      <c r="E880" s="9" t="n"/>
      <c r="F880" s="9" t="n"/>
      <c r="G880" s="9" t="n"/>
      <c r="H880" s="71" t="n"/>
      <c r="I880" s="9" t="n"/>
      <c r="J880" s="89">
        <f>IF(H880="","",IF(I880="Sí",ROUND(H880*Configuracion!$B$11,0),0))</f>
        <v/>
      </c>
      <c r="K880" s="89">
        <f>IF(H880="","",H880+J880)</f>
        <v/>
      </c>
      <c r="L880" s="13">
        <f>IF(B880="","",YEAR(B880))</f>
        <v/>
      </c>
      <c r="M880" s="13">
        <f>IF(B880="","",MONTH(B880))</f>
        <v/>
      </c>
      <c r="N880" s="9" t="n"/>
      <c r="O880" s="9" t="n"/>
      <c r="P880" s="9" t="n"/>
      <c r="Q880" s="9" t="n"/>
    </row>
    <row r="881">
      <c r="A881" s="9" t="n"/>
      <c r="B881" s="70" t="n"/>
      <c r="C881" s="9" t="n"/>
      <c r="D881" s="9" t="n"/>
      <c r="E881" s="9" t="n"/>
      <c r="F881" s="9" t="n"/>
      <c r="G881" s="9" t="n"/>
      <c r="H881" s="71" t="n"/>
      <c r="I881" s="9" t="n"/>
      <c r="J881" s="89">
        <f>IF(H881="","",IF(I881="Sí",ROUND(H881*Configuracion!$B$11,0),0))</f>
        <v/>
      </c>
      <c r="K881" s="89">
        <f>IF(H881="","",H881+J881)</f>
        <v/>
      </c>
      <c r="L881" s="13">
        <f>IF(B881="","",YEAR(B881))</f>
        <v/>
      </c>
      <c r="M881" s="13">
        <f>IF(B881="","",MONTH(B881))</f>
        <v/>
      </c>
      <c r="N881" s="9" t="n"/>
      <c r="O881" s="9" t="n"/>
      <c r="P881" s="9" t="n"/>
      <c r="Q881" s="9" t="n"/>
    </row>
    <row r="882">
      <c r="A882" s="9" t="n"/>
      <c r="B882" s="70" t="n"/>
      <c r="C882" s="9" t="n"/>
      <c r="D882" s="9" t="n"/>
      <c r="E882" s="9" t="n"/>
      <c r="F882" s="9" t="n"/>
      <c r="G882" s="9" t="n"/>
      <c r="H882" s="71" t="n"/>
      <c r="I882" s="9" t="n"/>
      <c r="J882" s="89">
        <f>IF(H882="","",IF(I882="Sí",ROUND(H882*Configuracion!$B$11,0),0))</f>
        <v/>
      </c>
      <c r="K882" s="89">
        <f>IF(H882="","",H882+J882)</f>
        <v/>
      </c>
      <c r="L882" s="13">
        <f>IF(B882="","",YEAR(B882))</f>
        <v/>
      </c>
      <c r="M882" s="13">
        <f>IF(B882="","",MONTH(B882))</f>
        <v/>
      </c>
      <c r="N882" s="9" t="n"/>
      <c r="O882" s="9" t="n"/>
      <c r="P882" s="9" t="n"/>
      <c r="Q882" s="9" t="n"/>
    </row>
    <row r="883">
      <c r="A883" s="9" t="n"/>
      <c r="B883" s="70" t="n"/>
      <c r="C883" s="9" t="n"/>
      <c r="D883" s="9" t="n"/>
      <c r="E883" s="9" t="n"/>
      <c r="F883" s="9" t="n"/>
      <c r="G883" s="9" t="n"/>
      <c r="H883" s="71" t="n"/>
      <c r="I883" s="9" t="n"/>
      <c r="J883" s="89">
        <f>IF(H883="","",IF(I883="Sí",ROUND(H883*Configuracion!$B$11,0),0))</f>
        <v/>
      </c>
      <c r="K883" s="89">
        <f>IF(H883="","",H883+J883)</f>
        <v/>
      </c>
      <c r="L883" s="13">
        <f>IF(B883="","",YEAR(B883))</f>
        <v/>
      </c>
      <c r="M883" s="13">
        <f>IF(B883="","",MONTH(B883))</f>
        <v/>
      </c>
      <c r="N883" s="9" t="n"/>
      <c r="O883" s="9" t="n"/>
      <c r="P883" s="9" t="n"/>
      <c r="Q883" s="9" t="n"/>
    </row>
    <row r="884">
      <c r="A884" s="9" t="n"/>
      <c r="B884" s="70" t="n"/>
      <c r="C884" s="9" t="n"/>
      <c r="D884" s="9" t="n"/>
      <c r="E884" s="9" t="n"/>
      <c r="F884" s="9" t="n"/>
      <c r="G884" s="9" t="n"/>
      <c r="H884" s="71" t="n"/>
      <c r="I884" s="9" t="n"/>
      <c r="J884" s="89">
        <f>IF(H884="","",IF(I884="Sí",ROUND(H884*Configuracion!$B$11,0),0))</f>
        <v/>
      </c>
      <c r="K884" s="89">
        <f>IF(H884="","",H884+J884)</f>
        <v/>
      </c>
      <c r="L884" s="13">
        <f>IF(B884="","",YEAR(B884))</f>
        <v/>
      </c>
      <c r="M884" s="13">
        <f>IF(B884="","",MONTH(B884))</f>
        <v/>
      </c>
      <c r="N884" s="9" t="n"/>
      <c r="O884" s="9" t="n"/>
      <c r="P884" s="9" t="n"/>
      <c r="Q884" s="9" t="n"/>
    </row>
    <row r="885">
      <c r="A885" s="9" t="n"/>
      <c r="B885" s="70" t="n"/>
      <c r="C885" s="9" t="n"/>
      <c r="D885" s="9" t="n"/>
      <c r="E885" s="9" t="n"/>
      <c r="F885" s="9" t="n"/>
      <c r="G885" s="9" t="n"/>
      <c r="H885" s="71" t="n"/>
      <c r="I885" s="9" t="n"/>
      <c r="J885" s="89">
        <f>IF(H885="","",IF(I885="Sí",ROUND(H885*Configuracion!$B$11,0),0))</f>
        <v/>
      </c>
      <c r="K885" s="89">
        <f>IF(H885="","",H885+J885)</f>
        <v/>
      </c>
      <c r="L885" s="13">
        <f>IF(B885="","",YEAR(B885))</f>
        <v/>
      </c>
      <c r="M885" s="13">
        <f>IF(B885="","",MONTH(B885))</f>
        <v/>
      </c>
      <c r="N885" s="9" t="n"/>
      <c r="O885" s="9" t="n"/>
      <c r="P885" s="9" t="n"/>
      <c r="Q885" s="9" t="n"/>
    </row>
    <row r="886">
      <c r="A886" s="9" t="n"/>
      <c r="B886" s="70" t="n"/>
      <c r="C886" s="9" t="n"/>
      <c r="D886" s="9" t="n"/>
      <c r="E886" s="9" t="n"/>
      <c r="F886" s="9" t="n"/>
      <c r="G886" s="9" t="n"/>
      <c r="H886" s="71" t="n"/>
      <c r="I886" s="9" t="n"/>
      <c r="J886" s="89">
        <f>IF(H886="","",IF(I886="Sí",ROUND(H886*Configuracion!$B$11,0),0))</f>
        <v/>
      </c>
      <c r="K886" s="89">
        <f>IF(H886="","",H886+J886)</f>
        <v/>
      </c>
      <c r="L886" s="13">
        <f>IF(B886="","",YEAR(B886))</f>
        <v/>
      </c>
      <c r="M886" s="13">
        <f>IF(B886="","",MONTH(B886))</f>
        <v/>
      </c>
      <c r="N886" s="9" t="n"/>
      <c r="O886" s="9" t="n"/>
      <c r="P886" s="9" t="n"/>
      <c r="Q886" s="9" t="n"/>
    </row>
    <row r="887">
      <c r="A887" s="9" t="n"/>
      <c r="B887" s="70" t="n"/>
      <c r="C887" s="9" t="n"/>
      <c r="D887" s="9" t="n"/>
      <c r="E887" s="9" t="n"/>
      <c r="F887" s="9" t="n"/>
      <c r="G887" s="9" t="n"/>
      <c r="H887" s="71" t="n"/>
      <c r="I887" s="9" t="n"/>
      <c r="J887" s="89">
        <f>IF(H887="","",IF(I887="Sí",ROUND(H887*Configuracion!$B$11,0),0))</f>
        <v/>
      </c>
      <c r="K887" s="89">
        <f>IF(H887="","",H887+J887)</f>
        <v/>
      </c>
      <c r="L887" s="13">
        <f>IF(B887="","",YEAR(B887))</f>
        <v/>
      </c>
      <c r="M887" s="13">
        <f>IF(B887="","",MONTH(B887))</f>
        <v/>
      </c>
      <c r="N887" s="9" t="n"/>
      <c r="O887" s="9" t="n"/>
      <c r="P887" s="9" t="n"/>
      <c r="Q887" s="9" t="n"/>
    </row>
    <row r="888">
      <c r="A888" s="9" t="n"/>
      <c r="B888" s="70" t="n"/>
      <c r="C888" s="9" t="n"/>
      <c r="D888" s="9" t="n"/>
      <c r="E888" s="9" t="n"/>
      <c r="F888" s="9" t="n"/>
      <c r="G888" s="9" t="n"/>
      <c r="H888" s="71" t="n"/>
      <c r="I888" s="9" t="n"/>
      <c r="J888" s="89">
        <f>IF(H888="","",IF(I888="Sí",ROUND(H888*Configuracion!$B$11,0),0))</f>
        <v/>
      </c>
      <c r="K888" s="89">
        <f>IF(H888="","",H888+J888)</f>
        <v/>
      </c>
      <c r="L888" s="13">
        <f>IF(B888="","",YEAR(B888))</f>
        <v/>
      </c>
      <c r="M888" s="13">
        <f>IF(B888="","",MONTH(B888))</f>
        <v/>
      </c>
      <c r="N888" s="9" t="n"/>
      <c r="O888" s="9" t="n"/>
      <c r="P888" s="9" t="n"/>
      <c r="Q888" s="9" t="n"/>
    </row>
    <row r="889">
      <c r="A889" s="9" t="n"/>
      <c r="B889" s="70" t="n"/>
      <c r="C889" s="9" t="n"/>
      <c r="D889" s="9" t="n"/>
      <c r="E889" s="9" t="n"/>
      <c r="F889" s="9" t="n"/>
      <c r="G889" s="9" t="n"/>
      <c r="H889" s="71" t="n"/>
      <c r="I889" s="9" t="n"/>
      <c r="J889" s="89">
        <f>IF(H889="","",IF(I889="Sí",ROUND(H889*Configuracion!$B$11,0),0))</f>
        <v/>
      </c>
      <c r="K889" s="89">
        <f>IF(H889="","",H889+J889)</f>
        <v/>
      </c>
      <c r="L889" s="13">
        <f>IF(B889="","",YEAR(B889))</f>
        <v/>
      </c>
      <c r="M889" s="13">
        <f>IF(B889="","",MONTH(B889))</f>
        <v/>
      </c>
      <c r="N889" s="9" t="n"/>
      <c r="O889" s="9" t="n"/>
      <c r="P889" s="9" t="n"/>
      <c r="Q889" s="9" t="n"/>
    </row>
    <row r="890">
      <c r="A890" s="9" t="n"/>
      <c r="B890" s="70" t="n"/>
      <c r="C890" s="9" t="n"/>
      <c r="D890" s="9" t="n"/>
      <c r="E890" s="9" t="n"/>
      <c r="F890" s="9" t="n"/>
      <c r="G890" s="9" t="n"/>
      <c r="H890" s="71" t="n"/>
      <c r="I890" s="9" t="n"/>
      <c r="J890" s="89">
        <f>IF(H890="","",IF(I890="Sí",ROUND(H890*Configuracion!$B$11,0),0))</f>
        <v/>
      </c>
      <c r="K890" s="89">
        <f>IF(H890="","",H890+J890)</f>
        <v/>
      </c>
      <c r="L890" s="13">
        <f>IF(B890="","",YEAR(B890))</f>
        <v/>
      </c>
      <c r="M890" s="13">
        <f>IF(B890="","",MONTH(B890))</f>
        <v/>
      </c>
      <c r="N890" s="9" t="n"/>
      <c r="O890" s="9" t="n"/>
      <c r="P890" s="9" t="n"/>
      <c r="Q890" s="9" t="n"/>
    </row>
    <row r="891">
      <c r="A891" s="9" t="n"/>
      <c r="B891" s="70" t="n"/>
      <c r="C891" s="9" t="n"/>
      <c r="D891" s="9" t="n"/>
      <c r="E891" s="9" t="n"/>
      <c r="F891" s="9" t="n"/>
      <c r="G891" s="9" t="n"/>
      <c r="H891" s="71" t="n"/>
      <c r="I891" s="9" t="n"/>
      <c r="J891" s="89">
        <f>IF(H891="","",IF(I891="Sí",ROUND(H891*Configuracion!$B$11,0),0))</f>
        <v/>
      </c>
      <c r="K891" s="89">
        <f>IF(H891="","",H891+J891)</f>
        <v/>
      </c>
      <c r="L891" s="13">
        <f>IF(B891="","",YEAR(B891))</f>
        <v/>
      </c>
      <c r="M891" s="13">
        <f>IF(B891="","",MONTH(B891))</f>
        <v/>
      </c>
      <c r="N891" s="9" t="n"/>
      <c r="O891" s="9" t="n"/>
      <c r="P891" s="9" t="n"/>
      <c r="Q891" s="9" t="n"/>
    </row>
    <row r="892">
      <c r="A892" s="9" t="n"/>
      <c r="B892" s="70" t="n"/>
      <c r="C892" s="9" t="n"/>
      <c r="D892" s="9" t="n"/>
      <c r="E892" s="9" t="n"/>
      <c r="F892" s="9" t="n"/>
      <c r="G892" s="9" t="n"/>
      <c r="H892" s="71" t="n"/>
      <c r="I892" s="9" t="n"/>
      <c r="J892" s="89">
        <f>IF(H892="","",IF(I892="Sí",ROUND(H892*Configuracion!$B$11,0),0))</f>
        <v/>
      </c>
      <c r="K892" s="89">
        <f>IF(H892="","",H892+J892)</f>
        <v/>
      </c>
      <c r="L892" s="13">
        <f>IF(B892="","",YEAR(B892))</f>
        <v/>
      </c>
      <c r="M892" s="13">
        <f>IF(B892="","",MONTH(B892))</f>
        <v/>
      </c>
      <c r="N892" s="9" t="n"/>
      <c r="O892" s="9" t="n"/>
      <c r="P892" s="9" t="n"/>
      <c r="Q892" s="9" t="n"/>
    </row>
    <row r="893">
      <c r="A893" s="9" t="n"/>
      <c r="B893" s="70" t="n"/>
      <c r="C893" s="9" t="n"/>
      <c r="D893" s="9" t="n"/>
      <c r="E893" s="9" t="n"/>
      <c r="F893" s="9" t="n"/>
      <c r="G893" s="9" t="n"/>
      <c r="H893" s="71" t="n"/>
      <c r="I893" s="9" t="n"/>
      <c r="J893" s="89">
        <f>IF(H893="","",IF(I893="Sí",ROUND(H893*Configuracion!$B$11,0),0))</f>
        <v/>
      </c>
      <c r="K893" s="89">
        <f>IF(H893="","",H893+J893)</f>
        <v/>
      </c>
      <c r="L893" s="13">
        <f>IF(B893="","",YEAR(B893))</f>
        <v/>
      </c>
      <c r="M893" s="13">
        <f>IF(B893="","",MONTH(B893))</f>
        <v/>
      </c>
      <c r="N893" s="9" t="n"/>
      <c r="O893" s="9" t="n"/>
      <c r="P893" s="9" t="n"/>
      <c r="Q893" s="9" t="n"/>
    </row>
    <row r="894">
      <c r="A894" s="9" t="n"/>
      <c r="B894" s="70" t="n"/>
      <c r="C894" s="9" t="n"/>
      <c r="D894" s="9" t="n"/>
      <c r="E894" s="9" t="n"/>
      <c r="F894" s="9" t="n"/>
      <c r="G894" s="9" t="n"/>
      <c r="H894" s="71" t="n"/>
      <c r="I894" s="9" t="n"/>
      <c r="J894" s="89">
        <f>IF(H894="","",IF(I894="Sí",ROUND(H894*Configuracion!$B$11,0),0))</f>
        <v/>
      </c>
      <c r="K894" s="89">
        <f>IF(H894="","",H894+J894)</f>
        <v/>
      </c>
      <c r="L894" s="13">
        <f>IF(B894="","",YEAR(B894))</f>
        <v/>
      </c>
      <c r="M894" s="13">
        <f>IF(B894="","",MONTH(B894))</f>
        <v/>
      </c>
      <c r="N894" s="9" t="n"/>
      <c r="O894" s="9" t="n"/>
      <c r="P894" s="9" t="n"/>
      <c r="Q894" s="9" t="n"/>
    </row>
    <row r="895">
      <c r="A895" s="9" t="n"/>
      <c r="B895" s="70" t="n"/>
      <c r="C895" s="9" t="n"/>
      <c r="D895" s="9" t="n"/>
      <c r="E895" s="9" t="n"/>
      <c r="F895" s="9" t="n"/>
      <c r="G895" s="9" t="n"/>
      <c r="H895" s="71" t="n"/>
      <c r="I895" s="9" t="n"/>
      <c r="J895" s="89">
        <f>IF(H895="","",IF(I895="Sí",ROUND(H895*Configuracion!$B$11,0),0))</f>
        <v/>
      </c>
      <c r="K895" s="89">
        <f>IF(H895="","",H895+J895)</f>
        <v/>
      </c>
      <c r="L895" s="13">
        <f>IF(B895="","",YEAR(B895))</f>
        <v/>
      </c>
      <c r="M895" s="13">
        <f>IF(B895="","",MONTH(B895))</f>
        <v/>
      </c>
      <c r="N895" s="9" t="n"/>
      <c r="O895" s="9" t="n"/>
      <c r="P895" s="9" t="n"/>
      <c r="Q895" s="9" t="n"/>
    </row>
    <row r="896">
      <c r="A896" s="9" t="n"/>
      <c r="B896" s="70" t="n"/>
      <c r="C896" s="9" t="n"/>
      <c r="D896" s="9" t="n"/>
      <c r="E896" s="9" t="n"/>
      <c r="F896" s="9" t="n"/>
      <c r="G896" s="9" t="n"/>
      <c r="H896" s="71" t="n"/>
      <c r="I896" s="9" t="n"/>
      <c r="J896" s="89">
        <f>IF(H896="","",IF(I896="Sí",ROUND(H896*Configuracion!$B$11,0),0))</f>
        <v/>
      </c>
      <c r="K896" s="89">
        <f>IF(H896="","",H896+J896)</f>
        <v/>
      </c>
      <c r="L896" s="13">
        <f>IF(B896="","",YEAR(B896))</f>
        <v/>
      </c>
      <c r="M896" s="13">
        <f>IF(B896="","",MONTH(B896))</f>
        <v/>
      </c>
      <c r="N896" s="9" t="n"/>
      <c r="O896" s="9" t="n"/>
      <c r="P896" s="9" t="n"/>
      <c r="Q896" s="9" t="n"/>
    </row>
    <row r="897">
      <c r="A897" s="9" t="n"/>
      <c r="B897" s="70" t="n"/>
      <c r="C897" s="9" t="n"/>
      <c r="D897" s="9" t="n"/>
      <c r="E897" s="9" t="n"/>
      <c r="F897" s="9" t="n"/>
      <c r="G897" s="9" t="n"/>
      <c r="H897" s="71" t="n"/>
      <c r="I897" s="9" t="n"/>
      <c r="J897" s="89">
        <f>IF(H897="","",IF(I897="Sí",ROUND(H897*Configuracion!$B$11,0),0))</f>
        <v/>
      </c>
      <c r="K897" s="89">
        <f>IF(H897="","",H897+J897)</f>
        <v/>
      </c>
      <c r="L897" s="13">
        <f>IF(B897="","",YEAR(B897))</f>
        <v/>
      </c>
      <c r="M897" s="13">
        <f>IF(B897="","",MONTH(B897))</f>
        <v/>
      </c>
      <c r="N897" s="9" t="n"/>
      <c r="O897" s="9" t="n"/>
      <c r="P897" s="9" t="n"/>
      <c r="Q897" s="9" t="n"/>
    </row>
    <row r="898">
      <c r="A898" s="9" t="n"/>
      <c r="B898" s="70" t="n"/>
      <c r="C898" s="9" t="n"/>
      <c r="D898" s="9" t="n"/>
      <c r="E898" s="9" t="n"/>
      <c r="F898" s="9" t="n"/>
      <c r="G898" s="9" t="n"/>
      <c r="H898" s="71" t="n"/>
      <c r="I898" s="9" t="n"/>
      <c r="J898" s="89">
        <f>IF(H898="","",IF(I898="Sí",ROUND(H898*Configuracion!$B$11,0),0))</f>
        <v/>
      </c>
      <c r="K898" s="89">
        <f>IF(H898="","",H898+J898)</f>
        <v/>
      </c>
      <c r="L898" s="13">
        <f>IF(B898="","",YEAR(B898))</f>
        <v/>
      </c>
      <c r="M898" s="13">
        <f>IF(B898="","",MONTH(B898))</f>
        <v/>
      </c>
      <c r="N898" s="9" t="n"/>
      <c r="O898" s="9" t="n"/>
      <c r="P898" s="9" t="n"/>
      <c r="Q898" s="9" t="n"/>
    </row>
    <row r="899">
      <c r="A899" s="9" t="n"/>
      <c r="B899" s="70" t="n"/>
      <c r="C899" s="9" t="n"/>
      <c r="D899" s="9" t="n"/>
      <c r="E899" s="9" t="n"/>
      <c r="F899" s="9" t="n"/>
      <c r="G899" s="9" t="n"/>
      <c r="H899" s="71" t="n"/>
      <c r="I899" s="9" t="n"/>
      <c r="J899" s="89">
        <f>IF(H899="","",IF(I899="Sí",ROUND(H899*Configuracion!$B$11,0),0))</f>
        <v/>
      </c>
      <c r="K899" s="89">
        <f>IF(H899="","",H899+J899)</f>
        <v/>
      </c>
      <c r="L899" s="13">
        <f>IF(B899="","",YEAR(B899))</f>
        <v/>
      </c>
      <c r="M899" s="13">
        <f>IF(B899="","",MONTH(B899))</f>
        <v/>
      </c>
      <c r="N899" s="9" t="n"/>
      <c r="O899" s="9" t="n"/>
      <c r="P899" s="9" t="n"/>
      <c r="Q899" s="9" t="n"/>
    </row>
    <row r="900">
      <c r="A900" s="9" t="n"/>
      <c r="B900" s="70" t="n"/>
      <c r="C900" s="9" t="n"/>
      <c r="D900" s="9" t="n"/>
      <c r="E900" s="9" t="n"/>
      <c r="F900" s="9" t="n"/>
      <c r="G900" s="9" t="n"/>
      <c r="H900" s="71" t="n"/>
      <c r="I900" s="9" t="n"/>
      <c r="J900" s="89">
        <f>IF(H900="","",IF(I900="Sí",ROUND(H900*Configuracion!$B$11,0),0))</f>
        <v/>
      </c>
      <c r="K900" s="89">
        <f>IF(H900="","",H900+J900)</f>
        <v/>
      </c>
      <c r="L900" s="13">
        <f>IF(B900="","",YEAR(B900))</f>
        <v/>
      </c>
      <c r="M900" s="13">
        <f>IF(B900="","",MONTH(B900))</f>
        <v/>
      </c>
      <c r="N900" s="9" t="n"/>
      <c r="O900" s="9" t="n"/>
      <c r="P900" s="9" t="n"/>
      <c r="Q900" s="9" t="n"/>
    </row>
    <row r="901">
      <c r="A901" s="9" t="n"/>
      <c r="B901" s="70" t="n"/>
      <c r="C901" s="9" t="n"/>
      <c r="D901" s="9" t="n"/>
      <c r="E901" s="9" t="n"/>
      <c r="F901" s="9" t="n"/>
      <c r="G901" s="9" t="n"/>
      <c r="H901" s="71" t="n"/>
      <c r="I901" s="9" t="n"/>
      <c r="J901" s="89">
        <f>IF(H901="","",IF(I901="Sí",ROUND(H901*Configuracion!$B$11,0),0))</f>
        <v/>
      </c>
      <c r="K901" s="89">
        <f>IF(H901="","",H901+J901)</f>
        <v/>
      </c>
      <c r="L901" s="13">
        <f>IF(B901="","",YEAR(B901))</f>
        <v/>
      </c>
      <c r="M901" s="13">
        <f>IF(B901="","",MONTH(B901))</f>
        <v/>
      </c>
      <c r="N901" s="9" t="n"/>
      <c r="O901" s="9" t="n"/>
      <c r="P901" s="9" t="n"/>
      <c r="Q901" s="9" t="n"/>
    </row>
    <row r="902">
      <c r="A902" s="9" t="n"/>
      <c r="B902" s="70" t="n"/>
      <c r="C902" s="9" t="n"/>
      <c r="D902" s="9" t="n"/>
      <c r="E902" s="9" t="n"/>
      <c r="F902" s="9" t="n"/>
      <c r="G902" s="9" t="n"/>
      <c r="H902" s="71" t="n"/>
      <c r="I902" s="9" t="n"/>
      <c r="J902" s="89">
        <f>IF(H902="","",IF(I902="Sí",ROUND(H902*Configuracion!$B$11,0),0))</f>
        <v/>
      </c>
      <c r="K902" s="89">
        <f>IF(H902="","",H902+J902)</f>
        <v/>
      </c>
      <c r="L902" s="13">
        <f>IF(B902="","",YEAR(B902))</f>
        <v/>
      </c>
      <c r="M902" s="13">
        <f>IF(B902="","",MONTH(B902))</f>
        <v/>
      </c>
      <c r="N902" s="9" t="n"/>
      <c r="O902" s="9" t="n"/>
      <c r="P902" s="9" t="n"/>
      <c r="Q902" s="9" t="n"/>
    </row>
    <row r="903">
      <c r="A903" s="9" t="n"/>
      <c r="B903" s="70" t="n"/>
      <c r="C903" s="9" t="n"/>
      <c r="D903" s="9" t="n"/>
      <c r="E903" s="9" t="n"/>
      <c r="F903" s="9" t="n"/>
      <c r="G903" s="9" t="n"/>
      <c r="H903" s="71" t="n"/>
      <c r="I903" s="9" t="n"/>
      <c r="J903" s="89">
        <f>IF(H903="","",IF(I903="Sí",ROUND(H903*Configuracion!$B$11,0),0))</f>
        <v/>
      </c>
      <c r="K903" s="89">
        <f>IF(H903="","",H903+J903)</f>
        <v/>
      </c>
      <c r="L903" s="13">
        <f>IF(B903="","",YEAR(B903))</f>
        <v/>
      </c>
      <c r="M903" s="13">
        <f>IF(B903="","",MONTH(B903))</f>
        <v/>
      </c>
      <c r="N903" s="9" t="n"/>
      <c r="O903" s="9" t="n"/>
      <c r="P903" s="9" t="n"/>
      <c r="Q903" s="9" t="n"/>
    </row>
    <row r="904">
      <c r="A904" s="9" t="n"/>
      <c r="B904" s="70" t="n"/>
      <c r="C904" s="9" t="n"/>
      <c r="D904" s="9" t="n"/>
      <c r="E904" s="9" t="n"/>
      <c r="F904" s="9" t="n"/>
      <c r="G904" s="9" t="n"/>
      <c r="H904" s="71" t="n"/>
      <c r="I904" s="9" t="n"/>
      <c r="J904" s="89">
        <f>IF(H904="","",IF(I904="Sí",ROUND(H904*Configuracion!$B$11,0),0))</f>
        <v/>
      </c>
      <c r="K904" s="89">
        <f>IF(H904="","",H904+J904)</f>
        <v/>
      </c>
      <c r="L904" s="13">
        <f>IF(B904="","",YEAR(B904))</f>
        <v/>
      </c>
      <c r="M904" s="13">
        <f>IF(B904="","",MONTH(B904))</f>
        <v/>
      </c>
      <c r="N904" s="9" t="n"/>
      <c r="O904" s="9" t="n"/>
      <c r="P904" s="9" t="n"/>
      <c r="Q904" s="9" t="n"/>
    </row>
    <row r="905">
      <c r="A905" s="9" t="n"/>
      <c r="B905" s="70" t="n"/>
      <c r="C905" s="9" t="n"/>
      <c r="D905" s="9" t="n"/>
      <c r="E905" s="9" t="n"/>
      <c r="F905" s="9" t="n"/>
      <c r="G905" s="9" t="n"/>
      <c r="H905" s="71" t="n"/>
      <c r="I905" s="9" t="n"/>
      <c r="J905" s="89">
        <f>IF(H905="","",IF(I905="Sí",ROUND(H905*Configuracion!$B$11,0),0))</f>
        <v/>
      </c>
      <c r="K905" s="89">
        <f>IF(H905="","",H905+J905)</f>
        <v/>
      </c>
      <c r="L905" s="13">
        <f>IF(B905="","",YEAR(B905))</f>
        <v/>
      </c>
      <c r="M905" s="13">
        <f>IF(B905="","",MONTH(B905))</f>
        <v/>
      </c>
      <c r="N905" s="9" t="n"/>
      <c r="O905" s="9" t="n"/>
      <c r="P905" s="9" t="n"/>
      <c r="Q905" s="9" t="n"/>
    </row>
    <row r="906">
      <c r="A906" s="9" t="n"/>
      <c r="B906" s="70" t="n"/>
      <c r="C906" s="9" t="n"/>
      <c r="D906" s="9" t="n"/>
      <c r="E906" s="9" t="n"/>
      <c r="F906" s="9" t="n"/>
      <c r="G906" s="9" t="n"/>
      <c r="H906" s="71" t="n"/>
      <c r="I906" s="9" t="n"/>
      <c r="J906" s="89">
        <f>IF(H906="","",IF(I906="Sí",ROUND(H906*Configuracion!$B$11,0),0))</f>
        <v/>
      </c>
      <c r="K906" s="89">
        <f>IF(H906="","",H906+J906)</f>
        <v/>
      </c>
      <c r="L906" s="13">
        <f>IF(B906="","",YEAR(B906))</f>
        <v/>
      </c>
      <c r="M906" s="13">
        <f>IF(B906="","",MONTH(B906))</f>
        <v/>
      </c>
      <c r="N906" s="9" t="n"/>
      <c r="O906" s="9" t="n"/>
      <c r="P906" s="9" t="n"/>
      <c r="Q906" s="9" t="n"/>
    </row>
    <row r="907">
      <c r="A907" s="9" t="n"/>
      <c r="B907" s="70" t="n"/>
      <c r="C907" s="9" t="n"/>
      <c r="D907" s="9" t="n"/>
      <c r="E907" s="9" t="n"/>
      <c r="F907" s="9" t="n"/>
      <c r="G907" s="9" t="n"/>
      <c r="H907" s="71" t="n"/>
      <c r="I907" s="9" t="n"/>
      <c r="J907" s="89">
        <f>IF(H907="","",IF(I907="Sí",ROUND(H907*Configuracion!$B$11,0),0))</f>
        <v/>
      </c>
      <c r="K907" s="89">
        <f>IF(H907="","",H907+J907)</f>
        <v/>
      </c>
      <c r="L907" s="13">
        <f>IF(B907="","",YEAR(B907))</f>
        <v/>
      </c>
      <c r="M907" s="13">
        <f>IF(B907="","",MONTH(B907))</f>
        <v/>
      </c>
      <c r="N907" s="9" t="n"/>
      <c r="O907" s="9" t="n"/>
      <c r="P907" s="9" t="n"/>
      <c r="Q907" s="9" t="n"/>
    </row>
    <row r="908">
      <c r="A908" s="9" t="n"/>
      <c r="B908" s="70" t="n"/>
      <c r="C908" s="9" t="n"/>
      <c r="D908" s="9" t="n"/>
      <c r="E908" s="9" t="n"/>
      <c r="F908" s="9" t="n"/>
      <c r="G908" s="9" t="n"/>
      <c r="H908" s="71" t="n"/>
      <c r="I908" s="9" t="n"/>
      <c r="J908" s="89">
        <f>IF(H908="","",IF(I908="Sí",ROUND(H908*Configuracion!$B$11,0),0))</f>
        <v/>
      </c>
      <c r="K908" s="89">
        <f>IF(H908="","",H908+J908)</f>
        <v/>
      </c>
      <c r="L908" s="13">
        <f>IF(B908="","",YEAR(B908))</f>
        <v/>
      </c>
      <c r="M908" s="13">
        <f>IF(B908="","",MONTH(B908))</f>
        <v/>
      </c>
      <c r="N908" s="9" t="n"/>
      <c r="O908" s="9" t="n"/>
      <c r="P908" s="9" t="n"/>
      <c r="Q908" s="9" t="n"/>
    </row>
    <row r="909">
      <c r="A909" s="9" t="n"/>
      <c r="B909" s="70" t="n"/>
      <c r="C909" s="9" t="n"/>
      <c r="D909" s="9" t="n"/>
      <c r="E909" s="9" t="n"/>
      <c r="F909" s="9" t="n"/>
      <c r="G909" s="9" t="n"/>
      <c r="H909" s="71" t="n"/>
      <c r="I909" s="9" t="n"/>
      <c r="J909" s="89">
        <f>IF(H909="","",IF(I909="Sí",ROUND(H909*Configuracion!$B$11,0),0))</f>
        <v/>
      </c>
      <c r="K909" s="89">
        <f>IF(H909="","",H909+J909)</f>
        <v/>
      </c>
      <c r="L909" s="13">
        <f>IF(B909="","",YEAR(B909))</f>
        <v/>
      </c>
      <c r="M909" s="13">
        <f>IF(B909="","",MONTH(B909))</f>
        <v/>
      </c>
      <c r="N909" s="9" t="n"/>
      <c r="O909" s="9" t="n"/>
      <c r="P909" s="9" t="n"/>
      <c r="Q909" s="9" t="n"/>
    </row>
    <row r="910">
      <c r="A910" s="9" t="n"/>
      <c r="B910" s="70" t="n"/>
      <c r="C910" s="9" t="n"/>
      <c r="D910" s="9" t="n"/>
      <c r="E910" s="9" t="n"/>
      <c r="F910" s="9" t="n"/>
      <c r="G910" s="9" t="n"/>
      <c r="H910" s="71" t="n"/>
      <c r="I910" s="9" t="n"/>
      <c r="J910" s="89">
        <f>IF(H910="","",IF(I910="Sí",ROUND(H910*Configuracion!$B$11,0),0))</f>
        <v/>
      </c>
      <c r="K910" s="89">
        <f>IF(H910="","",H910+J910)</f>
        <v/>
      </c>
      <c r="L910" s="13">
        <f>IF(B910="","",YEAR(B910))</f>
        <v/>
      </c>
      <c r="M910" s="13">
        <f>IF(B910="","",MONTH(B910))</f>
        <v/>
      </c>
      <c r="N910" s="9" t="n"/>
      <c r="O910" s="9" t="n"/>
      <c r="P910" s="9" t="n"/>
      <c r="Q910" s="9" t="n"/>
    </row>
    <row r="911">
      <c r="A911" s="9" t="n"/>
      <c r="B911" s="70" t="n"/>
      <c r="C911" s="9" t="n"/>
      <c r="D911" s="9" t="n"/>
      <c r="E911" s="9" t="n"/>
      <c r="F911" s="9" t="n"/>
      <c r="G911" s="9" t="n"/>
      <c r="H911" s="71" t="n"/>
      <c r="I911" s="9" t="n"/>
      <c r="J911" s="89">
        <f>IF(H911="","",IF(I911="Sí",ROUND(H911*Configuracion!$B$11,0),0))</f>
        <v/>
      </c>
      <c r="K911" s="89">
        <f>IF(H911="","",H911+J911)</f>
        <v/>
      </c>
      <c r="L911" s="13">
        <f>IF(B911="","",YEAR(B911))</f>
        <v/>
      </c>
      <c r="M911" s="13">
        <f>IF(B911="","",MONTH(B911))</f>
        <v/>
      </c>
      <c r="N911" s="9" t="n"/>
      <c r="O911" s="9" t="n"/>
      <c r="P911" s="9" t="n"/>
      <c r="Q911" s="9" t="n"/>
    </row>
    <row r="912">
      <c r="A912" s="9" t="n"/>
      <c r="B912" s="70" t="n"/>
      <c r="C912" s="9" t="n"/>
      <c r="D912" s="9" t="n"/>
      <c r="E912" s="9" t="n"/>
      <c r="F912" s="9" t="n"/>
      <c r="G912" s="9" t="n"/>
      <c r="H912" s="71" t="n"/>
      <c r="I912" s="9" t="n"/>
      <c r="J912" s="89">
        <f>IF(H912="","",IF(I912="Sí",ROUND(H912*Configuracion!$B$11,0),0))</f>
        <v/>
      </c>
      <c r="K912" s="89">
        <f>IF(H912="","",H912+J912)</f>
        <v/>
      </c>
      <c r="L912" s="13">
        <f>IF(B912="","",YEAR(B912))</f>
        <v/>
      </c>
      <c r="M912" s="13">
        <f>IF(B912="","",MONTH(B912))</f>
        <v/>
      </c>
      <c r="N912" s="9" t="n"/>
      <c r="O912" s="9" t="n"/>
      <c r="P912" s="9" t="n"/>
      <c r="Q912" s="9" t="n"/>
    </row>
    <row r="913">
      <c r="A913" s="9" t="n"/>
      <c r="B913" s="70" t="n"/>
      <c r="C913" s="9" t="n"/>
      <c r="D913" s="9" t="n"/>
      <c r="E913" s="9" t="n"/>
      <c r="F913" s="9" t="n"/>
      <c r="G913" s="9" t="n"/>
      <c r="H913" s="71" t="n"/>
      <c r="I913" s="9" t="n"/>
      <c r="J913" s="89">
        <f>IF(H913="","",IF(I913="Sí",ROUND(H913*Configuracion!$B$11,0),0))</f>
        <v/>
      </c>
      <c r="K913" s="89">
        <f>IF(H913="","",H913+J913)</f>
        <v/>
      </c>
      <c r="L913" s="13">
        <f>IF(B913="","",YEAR(B913))</f>
        <v/>
      </c>
      <c r="M913" s="13">
        <f>IF(B913="","",MONTH(B913))</f>
        <v/>
      </c>
      <c r="N913" s="9" t="n"/>
      <c r="O913" s="9" t="n"/>
      <c r="P913" s="9" t="n"/>
      <c r="Q913" s="9" t="n"/>
    </row>
    <row r="914">
      <c r="A914" s="9" t="n"/>
      <c r="B914" s="70" t="n"/>
      <c r="C914" s="9" t="n"/>
      <c r="D914" s="9" t="n"/>
      <c r="E914" s="9" t="n"/>
      <c r="F914" s="9" t="n"/>
      <c r="G914" s="9" t="n"/>
      <c r="H914" s="71" t="n"/>
      <c r="I914" s="9" t="n"/>
      <c r="J914" s="89">
        <f>IF(H914="","",IF(I914="Sí",ROUND(H914*Configuracion!$B$11,0),0))</f>
        <v/>
      </c>
      <c r="K914" s="89">
        <f>IF(H914="","",H914+J914)</f>
        <v/>
      </c>
      <c r="L914" s="13">
        <f>IF(B914="","",YEAR(B914))</f>
        <v/>
      </c>
      <c r="M914" s="13">
        <f>IF(B914="","",MONTH(B914))</f>
        <v/>
      </c>
      <c r="N914" s="9" t="n"/>
      <c r="O914" s="9" t="n"/>
      <c r="P914" s="9" t="n"/>
      <c r="Q914" s="9" t="n"/>
    </row>
    <row r="915">
      <c r="A915" s="9" t="n"/>
      <c r="B915" s="70" t="n"/>
      <c r="C915" s="9" t="n"/>
      <c r="D915" s="9" t="n"/>
      <c r="E915" s="9" t="n"/>
      <c r="F915" s="9" t="n"/>
      <c r="G915" s="9" t="n"/>
      <c r="H915" s="71" t="n"/>
      <c r="I915" s="9" t="n"/>
      <c r="J915" s="89">
        <f>IF(H915="","",IF(I915="Sí",ROUND(H915*Configuracion!$B$11,0),0))</f>
        <v/>
      </c>
      <c r="K915" s="89">
        <f>IF(H915="","",H915+J915)</f>
        <v/>
      </c>
      <c r="L915" s="13">
        <f>IF(B915="","",YEAR(B915))</f>
        <v/>
      </c>
      <c r="M915" s="13">
        <f>IF(B915="","",MONTH(B915))</f>
        <v/>
      </c>
      <c r="N915" s="9" t="n"/>
      <c r="O915" s="9" t="n"/>
      <c r="P915" s="9" t="n"/>
      <c r="Q915" s="9" t="n"/>
    </row>
    <row r="916">
      <c r="A916" s="9" t="n"/>
      <c r="B916" s="70" t="n"/>
      <c r="C916" s="9" t="n"/>
      <c r="D916" s="9" t="n"/>
      <c r="E916" s="9" t="n"/>
      <c r="F916" s="9" t="n"/>
      <c r="G916" s="9" t="n"/>
      <c r="H916" s="71" t="n"/>
      <c r="I916" s="9" t="n"/>
      <c r="J916" s="89">
        <f>IF(H916="","",IF(I916="Sí",ROUND(H916*Configuracion!$B$11,0),0))</f>
        <v/>
      </c>
      <c r="K916" s="89">
        <f>IF(H916="","",H916+J916)</f>
        <v/>
      </c>
      <c r="L916" s="13">
        <f>IF(B916="","",YEAR(B916))</f>
        <v/>
      </c>
      <c r="M916" s="13">
        <f>IF(B916="","",MONTH(B916))</f>
        <v/>
      </c>
      <c r="N916" s="9" t="n"/>
      <c r="O916" s="9" t="n"/>
      <c r="P916" s="9" t="n"/>
      <c r="Q916" s="9" t="n"/>
    </row>
    <row r="917">
      <c r="A917" s="9" t="n"/>
      <c r="B917" s="70" t="n"/>
      <c r="C917" s="9" t="n"/>
      <c r="D917" s="9" t="n"/>
      <c r="E917" s="9" t="n"/>
      <c r="F917" s="9" t="n"/>
      <c r="G917" s="9" t="n"/>
      <c r="H917" s="71" t="n"/>
      <c r="I917" s="9" t="n"/>
      <c r="J917" s="89">
        <f>IF(H917="","",IF(I917="Sí",ROUND(H917*Configuracion!$B$11,0),0))</f>
        <v/>
      </c>
      <c r="K917" s="89">
        <f>IF(H917="","",H917+J917)</f>
        <v/>
      </c>
      <c r="L917" s="13">
        <f>IF(B917="","",YEAR(B917))</f>
        <v/>
      </c>
      <c r="M917" s="13">
        <f>IF(B917="","",MONTH(B917))</f>
        <v/>
      </c>
      <c r="N917" s="9" t="n"/>
      <c r="O917" s="9" t="n"/>
      <c r="P917" s="9" t="n"/>
      <c r="Q917" s="9" t="n"/>
    </row>
    <row r="918">
      <c r="A918" s="9" t="n"/>
      <c r="B918" s="70" t="n"/>
      <c r="C918" s="9" t="n"/>
      <c r="D918" s="9" t="n"/>
      <c r="E918" s="9" t="n"/>
      <c r="F918" s="9" t="n"/>
      <c r="G918" s="9" t="n"/>
      <c r="H918" s="71" t="n"/>
      <c r="I918" s="9" t="n"/>
      <c r="J918" s="89">
        <f>IF(H918="","",IF(I918="Sí",ROUND(H918*Configuracion!$B$11,0),0))</f>
        <v/>
      </c>
      <c r="K918" s="89">
        <f>IF(H918="","",H918+J918)</f>
        <v/>
      </c>
      <c r="L918" s="13">
        <f>IF(B918="","",YEAR(B918))</f>
        <v/>
      </c>
      <c r="M918" s="13">
        <f>IF(B918="","",MONTH(B918))</f>
        <v/>
      </c>
      <c r="N918" s="9" t="n"/>
      <c r="O918" s="9" t="n"/>
      <c r="P918" s="9" t="n"/>
      <c r="Q918" s="9" t="n"/>
    </row>
    <row r="919">
      <c r="A919" s="9" t="n"/>
      <c r="B919" s="70" t="n"/>
      <c r="C919" s="9" t="n"/>
      <c r="D919" s="9" t="n"/>
      <c r="E919" s="9" t="n"/>
      <c r="F919" s="9" t="n"/>
      <c r="G919" s="9" t="n"/>
      <c r="H919" s="71" t="n"/>
      <c r="I919" s="9" t="n"/>
      <c r="J919" s="89">
        <f>IF(H919="","",IF(I919="Sí",ROUND(H919*Configuracion!$B$11,0),0))</f>
        <v/>
      </c>
      <c r="K919" s="89">
        <f>IF(H919="","",H919+J919)</f>
        <v/>
      </c>
      <c r="L919" s="13">
        <f>IF(B919="","",YEAR(B919))</f>
        <v/>
      </c>
      <c r="M919" s="13">
        <f>IF(B919="","",MONTH(B919))</f>
        <v/>
      </c>
      <c r="N919" s="9" t="n"/>
      <c r="O919" s="9" t="n"/>
      <c r="P919" s="9" t="n"/>
      <c r="Q919" s="9" t="n"/>
    </row>
    <row r="920">
      <c r="A920" s="9" t="n"/>
      <c r="B920" s="70" t="n"/>
      <c r="C920" s="9" t="n"/>
      <c r="D920" s="9" t="n"/>
      <c r="E920" s="9" t="n"/>
      <c r="F920" s="9" t="n"/>
      <c r="G920" s="9" t="n"/>
      <c r="H920" s="71" t="n"/>
      <c r="I920" s="9" t="n"/>
      <c r="J920" s="89">
        <f>IF(H920="","",IF(I920="Sí",ROUND(H920*Configuracion!$B$11,0),0))</f>
        <v/>
      </c>
      <c r="K920" s="89">
        <f>IF(H920="","",H920+J920)</f>
        <v/>
      </c>
      <c r="L920" s="13">
        <f>IF(B920="","",YEAR(B920))</f>
        <v/>
      </c>
      <c r="M920" s="13">
        <f>IF(B920="","",MONTH(B920))</f>
        <v/>
      </c>
      <c r="N920" s="9" t="n"/>
      <c r="O920" s="9" t="n"/>
      <c r="P920" s="9" t="n"/>
      <c r="Q920" s="9" t="n"/>
    </row>
    <row r="921">
      <c r="A921" s="9" t="n"/>
      <c r="B921" s="70" t="n"/>
      <c r="C921" s="9" t="n"/>
      <c r="D921" s="9" t="n"/>
      <c r="E921" s="9" t="n"/>
      <c r="F921" s="9" t="n"/>
      <c r="G921" s="9" t="n"/>
      <c r="H921" s="71" t="n"/>
      <c r="I921" s="9" t="n"/>
      <c r="J921" s="89">
        <f>IF(H921="","",IF(I921="Sí",ROUND(H921*Configuracion!$B$11,0),0))</f>
        <v/>
      </c>
      <c r="K921" s="89">
        <f>IF(H921="","",H921+J921)</f>
        <v/>
      </c>
      <c r="L921" s="13">
        <f>IF(B921="","",YEAR(B921))</f>
        <v/>
      </c>
      <c r="M921" s="13">
        <f>IF(B921="","",MONTH(B921))</f>
        <v/>
      </c>
      <c r="N921" s="9" t="n"/>
      <c r="O921" s="9" t="n"/>
      <c r="P921" s="9" t="n"/>
      <c r="Q921" s="9" t="n"/>
    </row>
    <row r="922">
      <c r="A922" s="9" t="n"/>
      <c r="B922" s="70" t="n"/>
      <c r="C922" s="9" t="n"/>
      <c r="D922" s="9" t="n"/>
      <c r="E922" s="9" t="n"/>
      <c r="F922" s="9" t="n"/>
      <c r="G922" s="9" t="n"/>
      <c r="H922" s="71" t="n"/>
      <c r="I922" s="9" t="n"/>
      <c r="J922" s="89">
        <f>IF(H922="","",IF(I922="Sí",ROUND(H922*Configuracion!$B$11,0),0))</f>
        <v/>
      </c>
      <c r="K922" s="89">
        <f>IF(H922="","",H922+J922)</f>
        <v/>
      </c>
      <c r="L922" s="13">
        <f>IF(B922="","",YEAR(B922))</f>
        <v/>
      </c>
      <c r="M922" s="13">
        <f>IF(B922="","",MONTH(B922))</f>
        <v/>
      </c>
      <c r="N922" s="9" t="n"/>
      <c r="O922" s="9" t="n"/>
      <c r="P922" s="9" t="n"/>
      <c r="Q922" s="9" t="n"/>
    </row>
    <row r="923">
      <c r="A923" s="9" t="n"/>
      <c r="B923" s="70" t="n"/>
      <c r="C923" s="9" t="n"/>
      <c r="D923" s="9" t="n"/>
      <c r="E923" s="9" t="n"/>
      <c r="F923" s="9" t="n"/>
      <c r="G923" s="9" t="n"/>
      <c r="H923" s="71" t="n"/>
      <c r="I923" s="9" t="n"/>
      <c r="J923" s="89">
        <f>IF(H923="","",IF(I923="Sí",ROUND(H923*Configuracion!$B$11,0),0))</f>
        <v/>
      </c>
      <c r="K923" s="89">
        <f>IF(H923="","",H923+J923)</f>
        <v/>
      </c>
      <c r="L923" s="13">
        <f>IF(B923="","",YEAR(B923))</f>
        <v/>
      </c>
      <c r="M923" s="13">
        <f>IF(B923="","",MONTH(B923))</f>
        <v/>
      </c>
      <c r="N923" s="9" t="n"/>
      <c r="O923" s="9" t="n"/>
      <c r="P923" s="9" t="n"/>
      <c r="Q923" s="9" t="n"/>
    </row>
    <row r="924">
      <c r="A924" s="9" t="n"/>
      <c r="B924" s="70" t="n"/>
      <c r="C924" s="9" t="n"/>
      <c r="D924" s="9" t="n"/>
      <c r="E924" s="9" t="n"/>
      <c r="F924" s="9" t="n"/>
      <c r="G924" s="9" t="n"/>
      <c r="H924" s="71" t="n"/>
      <c r="I924" s="9" t="n"/>
      <c r="J924" s="89">
        <f>IF(H924="","",IF(I924="Sí",ROUND(H924*Configuracion!$B$11,0),0))</f>
        <v/>
      </c>
      <c r="K924" s="89">
        <f>IF(H924="","",H924+J924)</f>
        <v/>
      </c>
      <c r="L924" s="13">
        <f>IF(B924="","",YEAR(B924))</f>
        <v/>
      </c>
      <c r="M924" s="13">
        <f>IF(B924="","",MONTH(B924))</f>
        <v/>
      </c>
      <c r="N924" s="9" t="n"/>
      <c r="O924" s="9" t="n"/>
      <c r="P924" s="9" t="n"/>
      <c r="Q924" s="9" t="n"/>
    </row>
    <row r="925">
      <c r="A925" s="9" t="n"/>
      <c r="B925" s="70" t="n"/>
      <c r="C925" s="9" t="n"/>
      <c r="D925" s="9" t="n"/>
      <c r="E925" s="9" t="n"/>
      <c r="F925" s="9" t="n"/>
      <c r="G925" s="9" t="n"/>
      <c r="H925" s="71" t="n"/>
      <c r="I925" s="9" t="n"/>
      <c r="J925" s="89">
        <f>IF(H925="","",IF(I925="Sí",ROUND(H925*Configuracion!$B$11,0),0))</f>
        <v/>
      </c>
      <c r="K925" s="89">
        <f>IF(H925="","",H925+J925)</f>
        <v/>
      </c>
      <c r="L925" s="13">
        <f>IF(B925="","",YEAR(B925))</f>
        <v/>
      </c>
      <c r="M925" s="13">
        <f>IF(B925="","",MONTH(B925))</f>
        <v/>
      </c>
      <c r="N925" s="9" t="n"/>
      <c r="O925" s="9" t="n"/>
      <c r="P925" s="9" t="n"/>
      <c r="Q925" s="9" t="n"/>
    </row>
    <row r="926">
      <c r="A926" s="9" t="n"/>
      <c r="B926" s="70" t="n"/>
      <c r="C926" s="9" t="n"/>
      <c r="D926" s="9" t="n"/>
      <c r="E926" s="9" t="n"/>
      <c r="F926" s="9" t="n"/>
      <c r="G926" s="9" t="n"/>
      <c r="H926" s="71" t="n"/>
      <c r="I926" s="9" t="n"/>
      <c r="J926" s="89">
        <f>IF(H926="","",IF(I926="Sí",ROUND(H926*Configuracion!$B$11,0),0))</f>
        <v/>
      </c>
      <c r="K926" s="89">
        <f>IF(H926="","",H926+J926)</f>
        <v/>
      </c>
      <c r="L926" s="13">
        <f>IF(B926="","",YEAR(B926))</f>
        <v/>
      </c>
      <c r="M926" s="13">
        <f>IF(B926="","",MONTH(B926))</f>
        <v/>
      </c>
      <c r="N926" s="9" t="n"/>
      <c r="O926" s="9" t="n"/>
      <c r="P926" s="9" t="n"/>
      <c r="Q926" s="9" t="n"/>
    </row>
    <row r="927">
      <c r="A927" s="9" t="n"/>
      <c r="B927" s="70" t="n"/>
      <c r="C927" s="9" t="n"/>
      <c r="D927" s="9" t="n"/>
      <c r="E927" s="9" t="n"/>
      <c r="F927" s="9" t="n"/>
      <c r="G927" s="9" t="n"/>
      <c r="H927" s="71" t="n"/>
      <c r="I927" s="9" t="n"/>
      <c r="J927" s="89">
        <f>IF(H927="","",IF(I927="Sí",ROUND(H927*Configuracion!$B$11,0),0))</f>
        <v/>
      </c>
      <c r="K927" s="89">
        <f>IF(H927="","",H927+J927)</f>
        <v/>
      </c>
      <c r="L927" s="13">
        <f>IF(B927="","",YEAR(B927))</f>
        <v/>
      </c>
      <c r="M927" s="13">
        <f>IF(B927="","",MONTH(B927))</f>
        <v/>
      </c>
      <c r="N927" s="9" t="n"/>
      <c r="O927" s="9" t="n"/>
      <c r="P927" s="9" t="n"/>
      <c r="Q927" s="9" t="n"/>
    </row>
    <row r="928">
      <c r="A928" s="9" t="n"/>
      <c r="B928" s="70" t="n"/>
      <c r="C928" s="9" t="n"/>
      <c r="D928" s="9" t="n"/>
      <c r="E928" s="9" t="n"/>
      <c r="F928" s="9" t="n"/>
      <c r="G928" s="9" t="n"/>
      <c r="H928" s="71" t="n"/>
      <c r="I928" s="9" t="n"/>
      <c r="J928" s="89">
        <f>IF(H928="","",IF(I928="Sí",ROUND(H928*Configuracion!$B$11,0),0))</f>
        <v/>
      </c>
      <c r="K928" s="89">
        <f>IF(H928="","",H928+J928)</f>
        <v/>
      </c>
      <c r="L928" s="13">
        <f>IF(B928="","",YEAR(B928))</f>
        <v/>
      </c>
      <c r="M928" s="13">
        <f>IF(B928="","",MONTH(B928))</f>
        <v/>
      </c>
      <c r="N928" s="9" t="n"/>
      <c r="O928" s="9" t="n"/>
      <c r="P928" s="9" t="n"/>
      <c r="Q928" s="9" t="n"/>
    </row>
    <row r="929">
      <c r="A929" s="9" t="n"/>
      <c r="B929" s="70" t="n"/>
      <c r="C929" s="9" t="n"/>
      <c r="D929" s="9" t="n"/>
      <c r="E929" s="9" t="n"/>
      <c r="F929" s="9" t="n"/>
      <c r="G929" s="9" t="n"/>
      <c r="H929" s="71" t="n"/>
      <c r="I929" s="9" t="n"/>
      <c r="J929" s="89">
        <f>IF(H929="","",IF(I929="Sí",ROUND(H929*Configuracion!$B$11,0),0))</f>
        <v/>
      </c>
      <c r="K929" s="89">
        <f>IF(H929="","",H929+J929)</f>
        <v/>
      </c>
      <c r="L929" s="13">
        <f>IF(B929="","",YEAR(B929))</f>
        <v/>
      </c>
      <c r="M929" s="13">
        <f>IF(B929="","",MONTH(B929))</f>
        <v/>
      </c>
      <c r="N929" s="9" t="n"/>
      <c r="O929" s="9" t="n"/>
      <c r="P929" s="9" t="n"/>
      <c r="Q929" s="9" t="n"/>
    </row>
    <row r="930">
      <c r="A930" s="9" t="n"/>
      <c r="B930" s="70" t="n"/>
      <c r="C930" s="9" t="n"/>
      <c r="D930" s="9" t="n"/>
      <c r="E930" s="9" t="n"/>
      <c r="F930" s="9" t="n"/>
      <c r="G930" s="9" t="n"/>
      <c r="H930" s="71" t="n"/>
      <c r="I930" s="9" t="n"/>
      <c r="J930" s="89">
        <f>IF(H930="","",IF(I930="Sí",ROUND(H930*Configuracion!$B$11,0),0))</f>
        <v/>
      </c>
      <c r="K930" s="89">
        <f>IF(H930="","",H930+J930)</f>
        <v/>
      </c>
      <c r="L930" s="13">
        <f>IF(B930="","",YEAR(B930))</f>
        <v/>
      </c>
      <c r="M930" s="13">
        <f>IF(B930="","",MONTH(B930))</f>
        <v/>
      </c>
      <c r="N930" s="9" t="n"/>
      <c r="O930" s="9" t="n"/>
      <c r="P930" s="9" t="n"/>
      <c r="Q930" s="9" t="n"/>
    </row>
    <row r="931">
      <c r="A931" s="9" t="n"/>
      <c r="B931" s="70" t="n"/>
      <c r="C931" s="9" t="n"/>
      <c r="D931" s="9" t="n"/>
      <c r="E931" s="9" t="n"/>
      <c r="F931" s="9" t="n"/>
      <c r="G931" s="9" t="n"/>
      <c r="H931" s="71" t="n"/>
      <c r="I931" s="9" t="n"/>
      <c r="J931" s="89">
        <f>IF(H931="","",IF(I931="Sí",ROUND(H931*Configuracion!$B$11,0),0))</f>
        <v/>
      </c>
      <c r="K931" s="89">
        <f>IF(H931="","",H931+J931)</f>
        <v/>
      </c>
      <c r="L931" s="13">
        <f>IF(B931="","",YEAR(B931))</f>
        <v/>
      </c>
      <c r="M931" s="13">
        <f>IF(B931="","",MONTH(B931))</f>
        <v/>
      </c>
      <c r="N931" s="9" t="n"/>
      <c r="O931" s="9" t="n"/>
      <c r="P931" s="9" t="n"/>
      <c r="Q931" s="9" t="n"/>
    </row>
    <row r="932">
      <c r="A932" s="9" t="n"/>
      <c r="B932" s="70" t="n"/>
      <c r="C932" s="9" t="n"/>
      <c r="D932" s="9" t="n"/>
      <c r="E932" s="9" t="n"/>
      <c r="F932" s="9" t="n"/>
      <c r="G932" s="9" t="n"/>
      <c r="H932" s="71" t="n"/>
      <c r="I932" s="9" t="n"/>
      <c r="J932" s="89">
        <f>IF(H932="","",IF(I932="Sí",ROUND(H932*Configuracion!$B$11,0),0))</f>
        <v/>
      </c>
      <c r="K932" s="89">
        <f>IF(H932="","",H932+J932)</f>
        <v/>
      </c>
      <c r="L932" s="13">
        <f>IF(B932="","",YEAR(B932))</f>
        <v/>
      </c>
      <c r="M932" s="13">
        <f>IF(B932="","",MONTH(B932))</f>
        <v/>
      </c>
      <c r="N932" s="9" t="n"/>
      <c r="O932" s="9" t="n"/>
      <c r="P932" s="9" t="n"/>
      <c r="Q932" s="9" t="n"/>
    </row>
    <row r="933">
      <c r="A933" s="9" t="n"/>
      <c r="B933" s="70" t="n"/>
      <c r="C933" s="9" t="n"/>
      <c r="D933" s="9" t="n"/>
      <c r="E933" s="9" t="n"/>
      <c r="F933" s="9" t="n"/>
      <c r="G933" s="9" t="n"/>
      <c r="H933" s="71" t="n"/>
      <c r="I933" s="9" t="n"/>
      <c r="J933" s="89">
        <f>IF(H933="","",IF(I933="Sí",ROUND(H933*Configuracion!$B$11,0),0))</f>
        <v/>
      </c>
      <c r="K933" s="89">
        <f>IF(H933="","",H933+J933)</f>
        <v/>
      </c>
      <c r="L933" s="13">
        <f>IF(B933="","",YEAR(B933))</f>
        <v/>
      </c>
      <c r="M933" s="13">
        <f>IF(B933="","",MONTH(B933))</f>
        <v/>
      </c>
      <c r="N933" s="9" t="n"/>
      <c r="O933" s="9" t="n"/>
      <c r="P933" s="9" t="n"/>
      <c r="Q933" s="9" t="n"/>
    </row>
    <row r="934">
      <c r="A934" s="9" t="n"/>
      <c r="B934" s="70" t="n"/>
      <c r="C934" s="9" t="n"/>
      <c r="D934" s="9" t="n"/>
      <c r="E934" s="9" t="n"/>
      <c r="F934" s="9" t="n"/>
      <c r="G934" s="9" t="n"/>
      <c r="H934" s="71" t="n"/>
      <c r="I934" s="9" t="n"/>
      <c r="J934" s="89">
        <f>IF(H934="","",IF(I934="Sí",ROUND(H934*Configuracion!$B$11,0),0))</f>
        <v/>
      </c>
      <c r="K934" s="89">
        <f>IF(H934="","",H934+J934)</f>
        <v/>
      </c>
      <c r="L934" s="13">
        <f>IF(B934="","",YEAR(B934))</f>
        <v/>
      </c>
      <c r="M934" s="13">
        <f>IF(B934="","",MONTH(B934))</f>
        <v/>
      </c>
      <c r="N934" s="9" t="n"/>
      <c r="O934" s="9" t="n"/>
      <c r="P934" s="9" t="n"/>
      <c r="Q934" s="9" t="n"/>
    </row>
    <row r="935">
      <c r="A935" s="9" t="n"/>
      <c r="B935" s="70" t="n"/>
      <c r="C935" s="9" t="n"/>
      <c r="D935" s="9" t="n"/>
      <c r="E935" s="9" t="n"/>
      <c r="F935" s="9" t="n"/>
      <c r="G935" s="9" t="n"/>
      <c r="H935" s="71" t="n"/>
      <c r="I935" s="9" t="n"/>
      <c r="J935" s="89">
        <f>IF(H935="","",IF(I935="Sí",ROUND(H935*Configuracion!$B$11,0),0))</f>
        <v/>
      </c>
      <c r="K935" s="89">
        <f>IF(H935="","",H935+J935)</f>
        <v/>
      </c>
      <c r="L935" s="13">
        <f>IF(B935="","",YEAR(B935))</f>
        <v/>
      </c>
      <c r="M935" s="13">
        <f>IF(B935="","",MONTH(B935))</f>
        <v/>
      </c>
      <c r="N935" s="9" t="n"/>
      <c r="O935" s="9" t="n"/>
      <c r="P935" s="9" t="n"/>
      <c r="Q935" s="9" t="n"/>
    </row>
    <row r="936">
      <c r="A936" s="9" t="n"/>
      <c r="B936" s="70" t="n"/>
      <c r="C936" s="9" t="n"/>
      <c r="D936" s="9" t="n"/>
      <c r="E936" s="9" t="n"/>
      <c r="F936" s="9" t="n"/>
      <c r="G936" s="9" t="n"/>
      <c r="H936" s="71" t="n"/>
      <c r="I936" s="9" t="n"/>
      <c r="J936" s="89">
        <f>IF(H936="","",IF(I936="Sí",ROUND(H936*Configuracion!$B$11,0),0))</f>
        <v/>
      </c>
      <c r="K936" s="89">
        <f>IF(H936="","",H936+J936)</f>
        <v/>
      </c>
      <c r="L936" s="13">
        <f>IF(B936="","",YEAR(B936))</f>
        <v/>
      </c>
      <c r="M936" s="13">
        <f>IF(B936="","",MONTH(B936))</f>
        <v/>
      </c>
      <c r="N936" s="9" t="n"/>
      <c r="O936" s="9" t="n"/>
      <c r="P936" s="9" t="n"/>
      <c r="Q936" s="9" t="n"/>
    </row>
    <row r="937">
      <c r="A937" s="9" t="n"/>
      <c r="B937" s="70" t="n"/>
      <c r="C937" s="9" t="n"/>
      <c r="D937" s="9" t="n"/>
      <c r="E937" s="9" t="n"/>
      <c r="F937" s="9" t="n"/>
      <c r="G937" s="9" t="n"/>
      <c r="H937" s="71" t="n"/>
      <c r="I937" s="9" t="n"/>
      <c r="J937" s="89">
        <f>IF(H937="","",IF(I937="Sí",ROUND(H937*Configuracion!$B$11,0),0))</f>
        <v/>
      </c>
      <c r="K937" s="89">
        <f>IF(H937="","",H937+J937)</f>
        <v/>
      </c>
      <c r="L937" s="13">
        <f>IF(B937="","",YEAR(B937))</f>
        <v/>
      </c>
      <c r="M937" s="13">
        <f>IF(B937="","",MONTH(B937))</f>
        <v/>
      </c>
      <c r="N937" s="9" t="n"/>
      <c r="O937" s="9" t="n"/>
      <c r="P937" s="9" t="n"/>
      <c r="Q937" s="9" t="n"/>
    </row>
    <row r="938">
      <c r="A938" s="9" t="n"/>
      <c r="B938" s="70" t="n"/>
      <c r="C938" s="9" t="n"/>
      <c r="D938" s="9" t="n"/>
      <c r="E938" s="9" t="n"/>
      <c r="F938" s="9" t="n"/>
      <c r="G938" s="9" t="n"/>
      <c r="H938" s="71" t="n"/>
      <c r="I938" s="9" t="n"/>
      <c r="J938" s="89">
        <f>IF(H938="","",IF(I938="Sí",ROUND(H938*Configuracion!$B$11,0),0))</f>
        <v/>
      </c>
      <c r="K938" s="89">
        <f>IF(H938="","",H938+J938)</f>
        <v/>
      </c>
      <c r="L938" s="13">
        <f>IF(B938="","",YEAR(B938))</f>
        <v/>
      </c>
      <c r="M938" s="13">
        <f>IF(B938="","",MONTH(B938))</f>
        <v/>
      </c>
      <c r="N938" s="9" t="n"/>
      <c r="O938" s="9" t="n"/>
      <c r="P938" s="9" t="n"/>
      <c r="Q938" s="9" t="n"/>
    </row>
    <row r="939">
      <c r="A939" s="9" t="n"/>
      <c r="B939" s="70" t="n"/>
      <c r="C939" s="9" t="n"/>
      <c r="D939" s="9" t="n"/>
      <c r="E939" s="9" t="n"/>
      <c r="F939" s="9" t="n"/>
      <c r="G939" s="9" t="n"/>
      <c r="H939" s="71" t="n"/>
      <c r="I939" s="9" t="n"/>
      <c r="J939" s="89">
        <f>IF(H939="","",IF(I939="Sí",ROUND(H939*Configuracion!$B$11,0),0))</f>
        <v/>
      </c>
      <c r="K939" s="89">
        <f>IF(H939="","",H939+J939)</f>
        <v/>
      </c>
      <c r="L939" s="13">
        <f>IF(B939="","",YEAR(B939))</f>
        <v/>
      </c>
      <c r="M939" s="13">
        <f>IF(B939="","",MONTH(B939))</f>
        <v/>
      </c>
      <c r="N939" s="9" t="n"/>
      <c r="O939" s="9" t="n"/>
      <c r="P939" s="9" t="n"/>
      <c r="Q939" s="9" t="n"/>
    </row>
    <row r="940">
      <c r="A940" s="9" t="n"/>
      <c r="B940" s="70" t="n"/>
      <c r="C940" s="9" t="n"/>
      <c r="D940" s="9" t="n"/>
      <c r="E940" s="9" t="n"/>
      <c r="F940" s="9" t="n"/>
      <c r="G940" s="9" t="n"/>
      <c r="H940" s="71" t="n"/>
      <c r="I940" s="9" t="n"/>
      <c r="J940" s="89">
        <f>IF(H940="","",IF(I940="Sí",ROUND(H940*Configuracion!$B$11,0),0))</f>
        <v/>
      </c>
      <c r="K940" s="89">
        <f>IF(H940="","",H940+J940)</f>
        <v/>
      </c>
      <c r="L940" s="13">
        <f>IF(B940="","",YEAR(B940))</f>
        <v/>
      </c>
      <c r="M940" s="13">
        <f>IF(B940="","",MONTH(B940))</f>
        <v/>
      </c>
      <c r="N940" s="9" t="n"/>
      <c r="O940" s="9" t="n"/>
      <c r="P940" s="9" t="n"/>
      <c r="Q940" s="9" t="n"/>
    </row>
    <row r="941">
      <c r="A941" s="9" t="n"/>
      <c r="B941" s="70" t="n"/>
      <c r="C941" s="9" t="n"/>
      <c r="D941" s="9" t="n"/>
      <c r="E941" s="9" t="n"/>
      <c r="F941" s="9" t="n"/>
      <c r="G941" s="9" t="n"/>
      <c r="H941" s="71" t="n"/>
      <c r="I941" s="9" t="n"/>
      <c r="J941" s="89">
        <f>IF(H941="","",IF(I941="Sí",ROUND(H941*Configuracion!$B$11,0),0))</f>
        <v/>
      </c>
      <c r="K941" s="89">
        <f>IF(H941="","",H941+J941)</f>
        <v/>
      </c>
      <c r="L941" s="13">
        <f>IF(B941="","",YEAR(B941))</f>
        <v/>
      </c>
      <c r="M941" s="13">
        <f>IF(B941="","",MONTH(B941))</f>
        <v/>
      </c>
      <c r="N941" s="9" t="n"/>
      <c r="O941" s="9" t="n"/>
      <c r="P941" s="9" t="n"/>
      <c r="Q941" s="9" t="n"/>
    </row>
    <row r="942">
      <c r="A942" s="9" t="n"/>
      <c r="B942" s="70" t="n"/>
      <c r="C942" s="9" t="n"/>
      <c r="D942" s="9" t="n"/>
      <c r="E942" s="9" t="n"/>
      <c r="F942" s="9" t="n"/>
      <c r="G942" s="9" t="n"/>
      <c r="H942" s="71" t="n"/>
      <c r="I942" s="9" t="n"/>
      <c r="J942" s="89">
        <f>IF(H942="","",IF(I942="Sí",ROUND(H942*Configuracion!$B$11,0),0))</f>
        <v/>
      </c>
      <c r="K942" s="89">
        <f>IF(H942="","",H942+J942)</f>
        <v/>
      </c>
      <c r="L942" s="13">
        <f>IF(B942="","",YEAR(B942))</f>
        <v/>
      </c>
      <c r="M942" s="13">
        <f>IF(B942="","",MONTH(B942))</f>
        <v/>
      </c>
      <c r="N942" s="9" t="n"/>
      <c r="O942" s="9" t="n"/>
      <c r="P942" s="9" t="n"/>
      <c r="Q942" s="9" t="n"/>
    </row>
    <row r="943">
      <c r="A943" s="9" t="n"/>
      <c r="B943" s="70" t="n"/>
      <c r="C943" s="9" t="n"/>
      <c r="D943" s="9" t="n"/>
      <c r="E943" s="9" t="n"/>
      <c r="F943" s="9" t="n"/>
      <c r="G943" s="9" t="n"/>
      <c r="H943" s="71" t="n"/>
      <c r="I943" s="9" t="n"/>
      <c r="J943" s="89">
        <f>IF(H943="","",IF(I943="Sí",ROUND(H943*Configuracion!$B$11,0),0))</f>
        <v/>
      </c>
      <c r="K943" s="89">
        <f>IF(H943="","",H943+J943)</f>
        <v/>
      </c>
      <c r="L943" s="13">
        <f>IF(B943="","",YEAR(B943))</f>
        <v/>
      </c>
      <c r="M943" s="13">
        <f>IF(B943="","",MONTH(B943))</f>
        <v/>
      </c>
      <c r="N943" s="9" t="n"/>
      <c r="O943" s="9" t="n"/>
      <c r="P943" s="9" t="n"/>
      <c r="Q943" s="9" t="n"/>
    </row>
    <row r="944">
      <c r="A944" s="9" t="n"/>
      <c r="B944" s="70" t="n"/>
      <c r="C944" s="9" t="n"/>
      <c r="D944" s="9" t="n"/>
      <c r="E944" s="9" t="n"/>
      <c r="F944" s="9" t="n"/>
      <c r="G944" s="9" t="n"/>
      <c r="H944" s="71" t="n"/>
      <c r="I944" s="9" t="n"/>
      <c r="J944" s="89">
        <f>IF(H944="","",IF(I944="Sí",ROUND(H944*Configuracion!$B$11,0),0))</f>
        <v/>
      </c>
      <c r="K944" s="89">
        <f>IF(H944="","",H944+J944)</f>
        <v/>
      </c>
      <c r="L944" s="13">
        <f>IF(B944="","",YEAR(B944))</f>
        <v/>
      </c>
      <c r="M944" s="13">
        <f>IF(B944="","",MONTH(B944))</f>
        <v/>
      </c>
      <c r="N944" s="9" t="n"/>
      <c r="O944" s="9" t="n"/>
      <c r="P944" s="9" t="n"/>
      <c r="Q944" s="9" t="n"/>
    </row>
    <row r="945">
      <c r="A945" s="9" t="n"/>
      <c r="B945" s="70" t="n"/>
      <c r="C945" s="9" t="n"/>
      <c r="D945" s="9" t="n"/>
      <c r="E945" s="9" t="n"/>
      <c r="F945" s="9" t="n"/>
      <c r="G945" s="9" t="n"/>
      <c r="H945" s="71" t="n"/>
      <c r="I945" s="9" t="n"/>
      <c r="J945" s="89">
        <f>IF(H945="","",IF(I945="Sí",ROUND(H945*Configuracion!$B$11,0),0))</f>
        <v/>
      </c>
      <c r="K945" s="89">
        <f>IF(H945="","",H945+J945)</f>
        <v/>
      </c>
      <c r="L945" s="13">
        <f>IF(B945="","",YEAR(B945))</f>
        <v/>
      </c>
      <c r="M945" s="13">
        <f>IF(B945="","",MONTH(B945))</f>
        <v/>
      </c>
      <c r="N945" s="9" t="n"/>
      <c r="O945" s="9" t="n"/>
      <c r="P945" s="9" t="n"/>
      <c r="Q945" s="9" t="n"/>
    </row>
    <row r="946">
      <c r="A946" s="9" t="n"/>
      <c r="B946" s="70" t="n"/>
      <c r="C946" s="9" t="n"/>
      <c r="D946" s="9" t="n"/>
      <c r="E946" s="9" t="n"/>
      <c r="F946" s="9" t="n"/>
      <c r="G946" s="9" t="n"/>
      <c r="H946" s="71" t="n"/>
      <c r="I946" s="9" t="n"/>
      <c r="J946" s="89">
        <f>IF(H946="","",IF(I946="Sí",ROUND(H946*Configuracion!$B$11,0),0))</f>
        <v/>
      </c>
      <c r="K946" s="89">
        <f>IF(H946="","",H946+J946)</f>
        <v/>
      </c>
      <c r="L946" s="13">
        <f>IF(B946="","",YEAR(B946))</f>
        <v/>
      </c>
      <c r="M946" s="13">
        <f>IF(B946="","",MONTH(B946))</f>
        <v/>
      </c>
      <c r="N946" s="9" t="n"/>
      <c r="O946" s="9" t="n"/>
      <c r="P946" s="9" t="n"/>
      <c r="Q946" s="9" t="n"/>
    </row>
    <row r="947">
      <c r="A947" s="9" t="n"/>
      <c r="B947" s="70" t="n"/>
      <c r="C947" s="9" t="n"/>
      <c r="D947" s="9" t="n"/>
      <c r="E947" s="9" t="n"/>
      <c r="F947" s="9" t="n"/>
      <c r="G947" s="9" t="n"/>
      <c r="H947" s="71" t="n"/>
      <c r="I947" s="9" t="n"/>
      <c r="J947" s="89">
        <f>IF(H947="","",IF(I947="Sí",ROUND(H947*Configuracion!$B$11,0),0))</f>
        <v/>
      </c>
      <c r="K947" s="89">
        <f>IF(H947="","",H947+J947)</f>
        <v/>
      </c>
      <c r="L947" s="13">
        <f>IF(B947="","",YEAR(B947))</f>
        <v/>
      </c>
      <c r="M947" s="13">
        <f>IF(B947="","",MONTH(B947))</f>
        <v/>
      </c>
      <c r="N947" s="9" t="n"/>
      <c r="O947" s="9" t="n"/>
      <c r="P947" s="9" t="n"/>
      <c r="Q947" s="9" t="n"/>
    </row>
    <row r="948">
      <c r="A948" s="9" t="n"/>
      <c r="B948" s="70" t="n"/>
      <c r="C948" s="9" t="n"/>
      <c r="D948" s="9" t="n"/>
      <c r="E948" s="9" t="n"/>
      <c r="F948" s="9" t="n"/>
      <c r="G948" s="9" t="n"/>
      <c r="H948" s="71" t="n"/>
      <c r="I948" s="9" t="n"/>
      <c r="J948" s="89">
        <f>IF(H948="","",IF(I948="Sí",ROUND(H948*Configuracion!$B$11,0),0))</f>
        <v/>
      </c>
      <c r="K948" s="89">
        <f>IF(H948="","",H948+J948)</f>
        <v/>
      </c>
      <c r="L948" s="13">
        <f>IF(B948="","",YEAR(B948))</f>
        <v/>
      </c>
      <c r="M948" s="13">
        <f>IF(B948="","",MONTH(B948))</f>
        <v/>
      </c>
      <c r="N948" s="9" t="n"/>
      <c r="O948" s="9" t="n"/>
      <c r="P948" s="9" t="n"/>
      <c r="Q948" s="9" t="n"/>
    </row>
    <row r="949">
      <c r="A949" s="9" t="n"/>
      <c r="B949" s="70" t="n"/>
      <c r="C949" s="9" t="n"/>
      <c r="D949" s="9" t="n"/>
      <c r="E949" s="9" t="n"/>
      <c r="F949" s="9" t="n"/>
      <c r="G949" s="9" t="n"/>
      <c r="H949" s="71" t="n"/>
      <c r="I949" s="9" t="n"/>
      <c r="J949" s="89">
        <f>IF(H949="","",IF(I949="Sí",ROUND(H949*Configuracion!$B$11,0),0))</f>
        <v/>
      </c>
      <c r="K949" s="89">
        <f>IF(H949="","",H949+J949)</f>
        <v/>
      </c>
      <c r="L949" s="13">
        <f>IF(B949="","",YEAR(B949))</f>
        <v/>
      </c>
      <c r="M949" s="13">
        <f>IF(B949="","",MONTH(B949))</f>
        <v/>
      </c>
      <c r="N949" s="9" t="n"/>
      <c r="O949" s="9" t="n"/>
      <c r="P949" s="9" t="n"/>
      <c r="Q949" s="9" t="n"/>
    </row>
    <row r="950">
      <c r="A950" s="9" t="n"/>
      <c r="B950" s="70" t="n"/>
      <c r="C950" s="9" t="n"/>
      <c r="D950" s="9" t="n"/>
      <c r="E950" s="9" t="n"/>
      <c r="F950" s="9" t="n"/>
      <c r="G950" s="9" t="n"/>
      <c r="H950" s="71" t="n"/>
      <c r="I950" s="9" t="n"/>
      <c r="J950" s="89">
        <f>IF(H950="","",IF(I950="Sí",ROUND(H950*Configuracion!$B$11,0),0))</f>
        <v/>
      </c>
      <c r="K950" s="89">
        <f>IF(H950="","",H950+J950)</f>
        <v/>
      </c>
      <c r="L950" s="13">
        <f>IF(B950="","",YEAR(B950))</f>
        <v/>
      </c>
      <c r="M950" s="13">
        <f>IF(B950="","",MONTH(B950))</f>
        <v/>
      </c>
      <c r="N950" s="9" t="n"/>
      <c r="O950" s="9" t="n"/>
      <c r="P950" s="9" t="n"/>
      <c r="Q950" s="9" t="n"/>
    </row>
    <row r="951">
      <c r="A951" s="9" t="n"/>
      <c r="B951" s="70" t="n"/>
      <c r="C951" s="9" t="n"/>
      <c r="D951" s="9" t="n"/>
      <c r="E951" s="9" t="n"/>
      <c r="F951" s="9" t="n"/>
      <c r="G951" s="9" t="n"/>
      <c r="H951" s="71" t="n"/>
      <c r="I951" s="9" t="n"/>
      <c r="J951" s="89">
        <f>IF(H951="","",IF(I951="Sí",ROUND(H951*Configuracion!$B$11,0),0))</f>
        <v/>
      </c>
      <c r="K951" s="89">
        <f>IF(H951="","",H951+J951)</f>
        <v/>
      </c>
      <c r="L951" s="13">
        <f>IF(B951="","",YEAR(B951))</f>
        <v/>
      </c>
      <c r="M951" s="13">
        <f>IF(B951="","",MONTH(B951))</f>
        <v/>
      </c>
      <c r="N951" s="9" t="n"/>
      <c r="O951" s="9" t="n"/>
      <c r="P951" s="9" t="n"/>
      <c r="Q951" s="9" t="n"/>
    </row>
    <row r="952">
      <c r="A952" s="9" t="n"/>
      <c r="B952" s="70" t="n"/>
      <c r="C952" s="9" t="n"/>
      <c r="D952" s="9" t="n"/>
      <c r="E952" s="9" t="n"/>
      <c r="F952" s="9" t="n"/>
      <c r="G952" s="9" t="n"/>
      <c r="H952" s="71" t="n"/>
      <c r="I952" s="9" t="n"/>
      <c r="J952" s="89">
        <f>IF(H952="","",IF(I952="Sí",ROUND(H952*Configuracion!$B$11,0),0))</f>
        <v/>
      </c>
      <c r="K952" s="89">
        <f>IF(H952="","",H952+J952)</f>
        <v/>
      </c>
      <c r="L952" s="13">
        <f>IF(B952="","",YEAR(B952))</f>
        <v/>
      </c>
      <c r="M952" s="13">
        <f>IF(B952="","",MONTH(B952))</f>
        <v/>
      </c>
      <c r="N952" s="9" t="n"/>
      <c r="O952" s="9" t="n"/>
      <c r="P952" s="9" t="n"/>
      <c r="Q952" s="9" t="n"/>
    </row>
    <row r="953">
      <c r="A953" s="9" t="n"/>
      <c r="B953" s="70" t="n"/>
      <c r="C953" s="9" t="n"/>
      <c r="D953" s="9" t="n"/>
      <c r="E953" s="9" t="n"/>
      <c r="F953" s="9" t="n"/>
      <c r="G953" s="9" t="n"/>
      <c r="H953" s="71" t="n"/>
      <c r="I953" s="9" t="n"/>
      <c r="J953" s="89">
        <f>IF(H953="","",IF(I953="Sí",ROUND(H953*Configuracion!$B$11,0),0))</f>
        <v/>
      </c>
      <c r="K953" s="89">
        <f>IF(H953="","",H953+J953)</f>
        <v/>
      </c>
      <c r="L953" s="13">
        <f>IF(B953="","",YEAR(B953))</f>
        <v/>
      </c>
      <c r="M953" s="13">
        <f>IF(B953="","",MONTH(B953))</f>
        <v/>
      </c>
      <c r="N953" s="9" t="n"/>
      <c r="O953" s="9" t="n"/>
      <c r="P953" s="9" t="n"/>
      <c r="Q953" s="9" t="n"/>
    </row>
    <row r="954">
      <c r="A954" s="9" t="n"/>
      <c r="B954" s="70" t="n"/>
      <c r="C954" s="9" t="n"/>
      <c r="D954" s="9" t="n"/>
      <c r="E954" s="9" t="n"/>
      <c r="F954" s="9" t="n"/>
      <c r="G954" s="9" t="n"/>
      <c r="H954" s="71" t="n"/>
      <c r="I954" s="9" t="n"/>
      <c r="J954" s="89">
        <f>IF(H954="","",IF(I954="Sí",ROUND(H954*Configuracion!$B$11,0),0))</f>
        <v/>
      </c>
      <c r="K954" s="89">
        <f>IF(H954="","",H954+J954)</f>
        <v/>
      </c>
      <c r="L954" s="13">
        <f>IF(B954="","",YEAR(B954))</f>
        <v/>
      </c>
      <c r="M954" s="13">
        <f>IF(B954="","",MONTH(B954))</f>
        <v/>
      </c>
      <c r="N954" s="9" t="n"/>
      <c r="O954" s="9" t="n"/>
      <c r="P954" s="9" t="n"/>
      <c r="Q954" s="9" t="n"/>
    </row>
    <row r="955">
      <c r="A955" s="9" t="n"/>
      <c r="B955" s="70" t="n"/>
      <c r="C955" s="9" t="n"/>
      <c r="D955" s="9" t="n"/>
      <c r="E955" s="9" t="n"/>
      <c r="F955" s="9" t="n"/>
      <c r="G955" s="9" t="n"/>
      <c r="H955" s="71" t="n"/>
      <c r="I955" s="9" t="n"/>
      <c r="J955" s="89">
        <f>IF(H955="","",IF(I955="Sí",ROUND(H955*Configuracion!$B$11,0),0))</f>
        <v/>
      </c>
      <c r="K955" s="89">
        <f>IF(H955="","",H955+J955)</f>
        <v/>
      </c>
      <c r="L955" s="13">
        <f>IF(B955="","",YEAR(B955))</f>
        <v/>
      </c>
      <c r="M955" s="13">
        <f>IF(B955="","",MONTH(B955))</f>
        <v/>
      </c>
      <c r="N955" s="9" t="n"/>
      <c r="O955" s="9" t="n"/>
      <c r="P955" s="9" t="n"/>
      <c r="Q955" s="9" t="n"/>
    </row>
    <row r="956">
      <c r="A956" s="9" t="n"/>
      <c r="B956" s="70" t="n"/>
      <c r="C956" s="9" t="n"/>
      <c r="D956" s="9" t="n"/>
      <c r="E956" s="9" t="n"/>
      <c r="F956" s="9" t="n"/>
      <c r="G956" s="9" t="n"/>
      <c r="H956" s="71" t="n"/>
      <c r="I956" s="9" t="n"/>
      <c r="J956" s="89">
        <f>IF(H956="","",IF(I956="Sí",ROUND(H956*Configuracion!$B$11,0),0))</f>
        <v/>
      </c>
      <c r="K956" s="89">
        <f>IF(H956="","",H956+J956)</f>
        <v/>
      </c>
      <c r="L956" s="13">
        <f>IF(B956="","",YEAR(B956))</f>
        <v/>
      </c>
      <c r="M956" s="13">
        <f>IF(B956="","",MONTH(B956))</f>
        <v/>
      </c>
      <c r="N956" s="9" t="n"/>
      <c r="O956" s="9" t="n"/>
      <c r="P956" s="9" t="n"/>
      <c r="Q956" s="9" t="n"/>
    </row>
    <row r="957">
      <c r="A957" s="9" t="n"/>
      <c r="B957" s="70" t="n"/>
      <c r="C957" s="9" t="n"/>
      <c r="D957" s="9" t="n"/>
      <c r="E957" s="9" t="n"/>
      <c r="F957" s="9" t="n"/>
      <c r="G957" s="9" t="n"/>
      <c r="H957" s="71" t="n"/>
      <c r="I957" s="9" t="n"/>
      <c r="J957" s="89">
        <f>IF(H957="","",IF(I957="Sí",ROUND(H957*Configuracion!$B$11,0),0))</f>
        <v/>
      </c>
      <c r="K957" s="89">
        <f>IF(H957="","",H957+J957)</f>
        <v/>
      </c>
      <c r="L957" s="13">
        <f>IF(B957="","",YEAR(B957))</f>
        <v/>
      </c>
      <c r="M957" s="13">
        <f>IF(B957="","",MONTH(B957))</f>
        <v/>
      </c>
      <c r="N957" s="9" t="n"/>
      <c r="O957" s="9" t="n"/>
      <c r="P957" s="9" t="n"/>
      <c r="Q957" s="9" t="n"/>
    </row>
    <row r="958">
      <c r="A958" s="9" t="n"/>
      <c r="B958" s="70" t="n"/>
      <c r="C958" s="9" t="n"/>
      <c r="D958" s="9" t="n"/>
      <c r="E958" s="9" t="n"/>
      <c r="F958" s="9" t="n"/>
      <c r="G958" s="9" t="n"/>
      <c r="H958" s="71" t="n"/>
      <c r="I958" s="9" t="n"/>
      <c r="J958" s="89">
        <f>IF(H958="","",IF(I958="Sí",ROUND(H958*Configuracion!$B$11,0),0))</f>
        <v/>
      </c>
      <c r="K958" s="89">
        <f>IF(H958="","",H958+J958)</f>
        <v/>
      </c>
      <c r="L958" s="13">
        <f>IF(B958="","",YEAR(B958))</f>
        <v/>
      </c>
      <c r="M958" s="13">
        <f>IF(B958="","",MONTH(B958))</f>
        <v/>
      </c>
      <c r="N958" s="9" t="n"/>
      <c r="O958" s="9" t="n"/>
      <c r="P958" s="9" t="n"/>
      <c r="Q958" s="9" t="n"/>
    </row>
    <row r="959">
      <c r="A959" s="9" t="n"/>
      <c r="B959" s="70" t="n"/>
      <c r="C959" s="9" t="n"/>
      <c r="D959" s="9" t="n"/>
      <c r="E959" s="9" t="n"/>
      <c r="F959" s="9" t="n"/>
      <c r="G959" s="9" t="n"/>
      <c r="H959" s="71" t="n"/>
      <c r="I959" s="9" t="n"/>
      <c r="J959" s="89">
        <f>IF(H959="","",IF(I959="Sí",ROUND(H959*Configuracion!$B$11,0),0))</f>
        <v/>
      </c>
      <c r="K959" s="89">
        <f>IF(H959="","",H959+J959)</f>
        <v/>
      </c>
      <c r="L959" s="13">
        <f>IF(B959="","",YEAR(B959))</f>
        <v/>
      </c>
      <c r="M959" s="13">
        <f>IF(B959="","",MONTH(B959))</f>
        <v/>
      </c>
      <c r="N959" s="9" t="n"/>
      <c r="O959" s="9" t="n"/>
      <c r="P959" s="9" t="n"/>
      <c r="Q959" s="9" t="n"/>
    </row>
    <row r="960">
      <c r="A960" s="9" t="n"/>
      <c r="B960" s="70" t="n"/>
      <c r="C960" s="9" t="n"/>
      <c r="D960" s="9" t="n"/>
      <c r="E960" s="9" t="n"/>
      <c r="F960" s="9" t="n"/>
      <c r="G960" s="9" t="n"/>
      <c r="H960" s="71" t="n"/>
      <c r="I960" s="9" t="n"/>
      <c r="J960" s="89">
        <f>IF(H960="","",IF(I960="Sí",ROUND(H960*Configuracion!$B$11,0),0))</f>
        <v/>
      </c>
      <c r="K960" s="89">
        <f>IF(H960="","",H960+J960)</f>
        <v/>
      </c>
      <c r="L960" s="13">
        <f>IF(B960="","",YEAR(B960))</f>
        <v/>
      </c>
      <c r="M960" s="13">
        <f>IF(B960="","",MONTH(B960))</f>
        <v/>
      </c>
      <c r="N960" s="9" t="n"/>
      <c r="O960" s="9" t="n"/>
      <c r="P960" s="9" t="n"/>
      <c r="Q960" s="9" t="n"/>
    </row>
    <row r="961">
      <c r="A961" s="9" t="n"/>
      <c r="B961" s="70" t="n"/>
      <c r="C961" s="9" t="n"/>
      <c r="D961" s="9" t="n"/>
      <c r="E961" s="9" t="n"/>
      <c r="F961" s="9" t="n"/>
      <c r="G961" s="9" t="n"/>
      <c r="H961" s="71" t="n"/>
      <c r="I961" s="9" t="n"/>
      <c r="J961" s="89">
        <f>IF(H961="","",IF(I961="Sí",ROUND(H961*Configuracion!$B$11,0),0))</f>
        <v/>
      </c>
      <c r="K961" s="89">
        <f>IF(H961="","",H961+J961)</f>
        <v/>
      </c>
      <c r="L961" s="13">
        <f>IF(B961="","",YEAR(B961))</f>
        <v/>
      </c>
      <c r="M961" s="13">
        <f>IF(B961="","",MONTH(B961))</f>
        <v/>
      </c>
      <c r="N961" s="9" t="n"/>
      <c r="O961" s="9" t="n"/>
      <c r="P961" s="9" t="n"/>
      <c r="Q961" s="9" t="n"/>
    </row>
    <row r="962">
      <c r="A962" s="9" t="n"/>
      <c r="B962" s="70" t="n"/>
      <c r="C962" s="9" t="n"/>
      <c r="D962" s="9" t="n"/>
      <c r="E962" s="9" t="n"/>
      <c r="F962" s="9" t="n"/>
      <c r="G962" s="9" t="n"/>
      <c r="H962" s="71" t="n"/>
      <c r="I962" s="9" t="n"/>
      <c r="J962" s="89">
        <f>IF(H962="","",IF(I962="Sí",ROUND(H962*Configuracion!$B$11,0),0))</f>
        <v/>
      </c>
      <c r="K962" s="89">
        <f>IF(H962="","",H962+J962)</f>
        <v/>
      </c>
      <c r="L962" s="13">
        <f>IF(B962="","",YEAR(B962))</f>
        <v/>
      </c>
      <c r="M962" s="13">
        <f>IF(B962="","",MONTH(B962))</f>
        <v/>
      </c>
      <c r="N962" s="9" t="n"/>
      <c r="O962" s="9" t="n"/>
      <c r="P962" s="9" t="n"/>
      <c r="Q962" s="9" t="n"/>
    </row>
    <row r="963">
      <c r="A963" s="9" t="n"/>
      <c r="B963" s="70" t="n"/>
      <c r="C963" s="9" t="n"/>
      <c r="D963" s="9" t="n"/>
      <c r="E963" s="9" t="n"/>
      <c r="F963" s="9" t="n"/>
      <c r="G963" s="9" t="n"/>
      <c r="H963" s="71" t="n"/>
      <c r="I963" s="9" t="n"/>
      <c r="J963" s="89">
        <f>IF(H963="","",IF(I963="Sí",ROUND(H963*Configuracion!$B$11,0),0))</f>
        <v/>
      </c>
      <c r="K963" s="89">
        <f>IF(H963="","",H963+J963)</f>
        <v/>
      </c>
      <c r="L963" s="13">
        <f>IF(B963="","",YEAR(B963))</f>
        <v/>
      </c>
      <c r="M963" s="13">
        <f>IF(B963="","",MONTH(B963))</f>
        <v/>
      </c>
      <c r="N963" s="9" t="n"/>
      <c r="O963" s="9" t="n"/>
      <c r="P963" s="9" t="n"/>
      <c r="Q963" s="9" t="n"/>
    </row>
    <row r="964">
      <c r="A964" s="9" t="n"/>
      <c r="B964" s="70" t="n"/>
      <c r="C964" s="9" t="n"/>
      <c r="D964" s="9" t="n"/>
      <c r="E964" s="9" t="n"/>
      <c r="F964" s="9" t="n"/>
      <c r="G964" s="9" t="n"/>
      <c r="H964" s="71" t="n"/>
      <c r="I964" s="9" t="n"/>
      <c r="J964" s="89">
        <f>IF(H964="","",IF(I964="Sí",ROUND(H964*Configuracion!$B$11,0),0))</f>
        <v/>
      </c>
      <c r="K964" s="89">
        <f>IF(H964="","",H964+J964)</f>
        <v/>
      </c>
      <c r="L964" s="13">
        <f>IF(B964="","",YEAR(B964))</f>
        <v/>
      </c>
      <c r="M964" s="13">
        <f>IF(B964="","",MONTH(B964))</f>
        <v/>
      </c>
      <c r="N964" s="9" t="n"/>
      <c r="O964" s="9" t="n"/>
      <c r="P964" s="9" t="n"/>
      <c r="Q964" s="9" t="n"/>
    </row>
    <row r="965">
      <c r="A965" s="9" t="n"/>
      <c r="B965" s="70" t="n"/>
      <c r="C965" s="9" t="n"/>
      <c r="D965" s="9" t="n"/>
      <c r="E965" s="9" t="n"/>
      <c r="F965" s="9" t="n"/>
      <c r="G965" s="9" t="n"/>
      <c r="H965" s="71" t="n"/>
      <c r="I965" s="9" t="n"/>
      <c r="J965" s="89">
        <f>IF(H965="","",IF(I965="Sí",ROUND(H965*Configuracion!$B$11,0),0))</f>
        <v/>
      </c>
      <c r="K965" s="89">
        <f>IF(H965="","",H965+J965)</f>
        <v/>
      </c>
      <c r="L965" s="13">
        <f>IF(B965="","",YEAR(B965))</f>
        <v/>
      </c>
      <c r="M965" s="13">
        <f>IF(B965="","",MONTH(B965))</f>
        <v/>
      </c>
      <c r="N965" s="9" t="n"/>
      <c r="O965" s="9" t="n"/>
      <c r="P965" s="9" t="n"/>
      <c r="Q965" s="9" t="n"/>
    </row>
    <row r="966">
      <c r="A966" s="9" t="n"/>
      <c r="B966" s="70" t="n"/>
      <c r="C966" s="9" t="n"/>
      <c r="D966" s="9" t="n"/>
      <c r="E966" s="9" t="n"/>
      <c r="F966" s="9" t="n"/>
      <c r="G966" s="9" t="n"/>
      <c r="H966" s="71" t="n"/>
      <c r="I966" s="9" t="n"/>
      <c r="J966" s="89">
        <f>IF(H966="","",IF(I966="Sí",ROUND(H966*Configuracion!$B$11,0),0))</f>
        <v/>
      </c>
      <c r="K966" s="89">
        <f>IF(H966="","",H966+J966)</f>
        <v/>
      </c>
      <c r="L966" s="13">
        <f>IF(B966="","",YEAR(B966))</f>
        <v/>
      </c>
      <c r="M966" s="13">
        <f>IF(B966="","",MONTH(B966))</f>
        <v/>
      </c>
      <c r="N966" s="9" t="n"/>
      <c r="O966" s="9" t="n"/>
      <c r="P966" s="9" t="n"/>
      <c r="Q966" s="9" t="n"/>
    </row>
    <row r="967">
      <c r="A967" s="9" t="n"/>
      <c r="B967" s="70" t="n"/>
      <c r="C967" s="9" t="n"/>
      <c r="D967" s="9" t="n"/>
      <c r="E967" s="9" t="n"/>
      <c r="F967" s="9" t="n"/>
      <c r="G967" s="9" t="n"/>
      <c r="H967" s="71" t="n"/>
      <c r="I967" s="9" t="n"/>
      <c r="J967" s="89">
        <f>IF(H967="","",IF(I967="Sí",ROUND(H967*Configuracion!$B$11,0),0))</f>
        <v/>
      </c>
      <c r="K967" s="89">
        <f>IF(H967="","",H967+J967)</f>
        <v/>
      </c>
      <c r="L967" s="13">
        <f>IF(B967="","",YEAR(B967))</f>
        <v/>
      </c>
      <c r="M967" s="13">
        <f>IF(B967="","",MONTH(B967))</f>
        <v/>
      </c>
      <c r="N967" s="9" t="n"/>
      <c r="O967" s="9" t="n"/>
      <c r="P967" s="9" t="n"/>
      <c r="Q967" s="9" t="n"/>
    </row>
    <row r="968">
      <c r="A968" s="9" t="n"/>
      <c r="B968" s="70" t="n"/>
      <c r="C968" s="9" t="n"/>
      <c r="D968" s="9" t="n"/>
      <c r="E968" s="9" t="n"/>
      <c r="F968" s="9" t="n"/>
      <c r="G968" s="9" t="n"/>
      <c r="H968" s="71" t="n"/>
      <c r="I968" s="9" t="n"/>
      <c r="J968" s="89">
        <f>IF(H968="","",IF(I968="Sí",ROUND(H968*Configuracion!$B$11,0),0))</f>
        <v/>
      </c>
      <c r="K968" s="89">
        <f>IF(H968="","",H968+J968)</f>
        <v/>
      </c>
      <c r="L968" s="13">
        <f>IF(B968="","",YEAR(B968))</f>
        <v/>
      </c>
      <c r="M968" s="13">
        <f>IF(B968="","",MONTH(B968))</f>
        <v/>
      </c>
      <c r="N968" s="9" t="n"/>
      <c r="O968" s="9" t="n"/>
      <c r="P968" s="9" t="n"/>
      <c r="Q968" s="9" t="n"/>
    </row>
    <row r="969">
      <c r="A969" s="9" t="n"/>
      <c r="B969" s="70" t="n"/>
      <c r="C969" s="9" t="n"/>
      <c r="D969" s="9" t="n"/>
      <c r="E969" s="9" t="n"/>
      <c r="F969" s="9" t="n"/>
      <c r="G969" s="9" t="n"/>
      <c r="H969" s="71" t="n"/>
      <c r="I969" s="9" t="n"/>
      <c r="J969" s="89">
        <f>IF(H969="","",IF(I969="Sí",ROUND(H969*Configuracion!$B$11,0),0))</f>
        <v/>
      </c>
      <c r="K969" s="89">
        <f>IF(H969="","",H969+J969)</f>
        <v/>
      </c>
      <c r="L969" s="13">
        <f>IF(B969="","",YEAR(B969))</f>
        <v/>
      </c>
      <c r="M969" s="13">
        <f>IF(B969="","",MONTH(B969))</f>
        <v/>
      </c>
      <c r="N969" s="9" t="n"/>
      <c r="O969" s="9" t="n"/>
      <c r="P969" s="9" t="n"/>
      <c r="Q969" s="9" t="n"/>
    </row>
    <row r="970">
      <c r="A970" s="9" t="n"/>
      <c r="B970" s="70" t="n"/>
      <c r="C970" s="9" t="n"/>
      <c r="D970" s="9" t="n"/>
      <c r="E970" s="9" t="n"/>
      <c r="F970" s="9" t="n"/>
      <c r="G970" s="9" t="n"/>
      <c r="H970" s="71" t="n"/>
      <c r="I970" s="9" t="n"/>
      <c r="J970" s="89">
        <f>IF(H970="","",IF(I970="Sí",ROUND(H970*Configuracion!$B$11,0),0))</f>
        <v/>
      </c>
      <c r="K970" s="89">
        <f>IF(H970="","",H970+J970)</f>
        <v/>
      </c>
      <c r="L970" s="13">
        <f>IF(B970="","",YEAR(B970))</f>
        <v/>
      </c>
      <c r="M970" s="13">
        <f>IF(B970="","",MONTH(B970))</f>
        <v/>
      </c>
      <c r="N970" s="9" t="n"/>
      <c r="O970" s="9" t="n"/>
      <c r="P970" s="9" t="n"/>
      <c r="Q970" s="9" t="n"/>
    </row>
    <row r="971">
      <c r="A971" s="9" t="n"/>
      <c r="B971" s="70" t="n"/>
      <c r="C971" s="9" t="n"/>
      <c r="D971" s="9" t="n"/>
      <c r="E971" s="9" t="n"/>
      <c r="F971" s="9" t="n"/>
      <c r="G971" s="9" t="n"/>
      <c r="H971" s="71" t="n"/>
      <c r="I971" s="9" t="n"/>
      <c r="J971" s="89">
        <f>IF(H971="","",IF(I971="Sí",ROUND(H971*Configuracion!$B$11,0),0))</f>
        <v/>
      </c>
      <c r="K971" s="89">
        <f>IF(H971="","",H971+J971)</f>
        <v/>
      </c>
      <c r="L971" s="13">
        <f>IF(B971="","",YEAR(B971))</f>
        <v/>
      </c>
      <c r="M971" s="13">
        <f>IF(B971="","",MONTH(B971))</f>
        <v/>
      </c>
      <c r="N971" s="9" t="n"/>
      <c r="O971" s="9" t="n"/>
      <c r="P971" s="9" t="n"/>
      <c r="Q971" s="9" t="n"/>
    </row>
    <row r="972">
      <c r="A972" s="9" t="n"/>
      <c r="B972" s="70" t="n"/>
      <c r="C972" s="9" t="n"/>
      <c r="D972" s="9" t="n"/>
      <c r="E972" s="9" t="n"/>
      <c r="F972" s="9" t="n"/>
      <c r="G972" s="9" t="n"/>
      <c r="H972" s="71" t="n"/>
      <c r="I972" s="9" t="n"/>
      <c r="J972" s="89">
        <f>IF(H972="","",IF(I972="Sí",ROUND(H972*Configuracion!$B$11,0),0))</f>
        <v/>
      </c>
      <c r="K972" s="89">
        <f>IF(H972="","",H972+J972)</f>
        <v/>
      </c>
      <c r="L972" s="13">
        <f>IF(B972="","",YEAR(B972))</f>
        <v/>
      </c>
      <c r="M972" s="13">
        <f>IF(B972="","",MONTH(B972))</f>
        <v/>
      </c>
      <c r="N972" s="9" t="n"/>
      <c r="O972" s="9" t="n"/>
      <c r="P972" s="9" t="n"/>
      <c r="Q972" s="9" t="n"/>
    </row>
    <row r="973">
      <c r="A973" s="9" t="n"/>
      <c r="B973" s="70" t="n"/>
      <c r="C973" s="9" t="n"/>
      <c r="D973" s="9" t="n"/>
      <c r="E973" s="9" t="n"/>
      <c r="F973" s="9" t="n"/>
      <c r="G973" s="9" t="n"/>
      <c r="H973" s="71" t="n"/>
      <c r="I973" s="9" t="n"/>
      <c r="J973" s="89">
        <f>IF(H973="","",IF(I973="Sí",ROUND(H973*Configuracion!$B$11,0),0))</f>
        <v/>
      </c>
      <c r="K973" s="89">
        <f>IF(H973="","",H973+J973)</f>
        <v/>
      </c>
      <c r="L973" s="13">
        <f>IF(B973="","",YEAR(B973))</f>
        <v/>
      </c>
      <c r="M973" s="13">
        <f>IF(B973="","",MONTH(B973))</f>
        <v/>
      </c>
      <c r="N973" s="9" t="n"/>
      <c r="O973" s="9" t="n"/>
      <c r="P973" s="9" t="n"/>
      <c r="Q973" s="9" t="n"/>
    </row>
    <row r="974">
      <c r="A974" s="9" t="n"/>
      <c r="B974" s="70" t="n"/>
      <c r="C974" s="9" t="n"/>
      <c r="D974" s="9" t="n"/>
      <c r="E974" s="9" t="n"/>
      <c r="F974" s="9" t="n"/>
      <c r="G974" s="9" t="n"/>
      <c r="H974" s="71" t="n"/>
      <c r="I974" s="9" t="n"/>
      <c r="J974" s="89">
        <f>IF(H974="","",IF(I974="Sí",ROUND(H974*Configuracion!$B$11,0),0))</f>
        <v/>
      </c>
      <c r="K974" s="89">
        <f>IF(H974="","",H974+J974)</f>
        <v/>
      </c>
      <c r="L974" s="13">
        <f>IF(B974="","",YEAR(B974))</f>
        <v/>
      </c>
      <c r="M974" s="13">
        <f>IF(B974="","",MONTH(B974))</f>
        <v/>
      </c>
      <c r="N974" s="9" t="n"/>
      <c r="O974" s="9" t="n"/>
      <c r="P974" s="9" t="n"/>
      <c r="Q974" s="9" t="n"/>
    </row>
    <row r="975">
      <c r="A975" s="9" t="n"/>
      <c r="B975" s="70" t="n"/>
      <c r="C975" s="9" t="n"/>
      <c r="D975" s="9" t="n"/>
      <c r="E975" s="9" t="n"/>
      <c r="F975" s="9" t="n"/>
      <c r="G975" s="9" t="n"/>
      <c r="H975" s="71" t="n"/>
      <c r="I975" s="9" t="n"/>
      <c r="J975" s="89">
        <f>IF(H975="","",IF(I975="Sí",ROUND(H975*Configuracion!$B$11,0),0))</f>
        <v/>
      </c>
      <c r="K975" s="89">
        <f>IF(H975="","",H975+J975)</f>
        <v/>
      </c>
      <c r="L975" s="13">
        <f>IF(B975="","",YEAR(B975))</f>
        <v/>
      </c>
      <c r="M975" s="13">
        <f>IF(B975="","",MONTH(B975))</f>
        <v/>
      </c>
      <c r="N975" s="9" t="n"/>
      <c r="O975" s="9" t="n"/>
      <c r="P975" s="9" t="n"/>
      <c r="Q975" s="9" t="n"/>
    </row>
    <row r="976">
      <c r="A976" s="9" t="n"/>
      <c r="B976" s="70" t="n"/>
      <c r="C976" s="9" t="n"/>
      <c r="D976" s="9" t="n"/>
      <c r="E976" s="9" t="n"/>
      <c r="F976" s="9" t="n"/>
      <c r="G976" s="9" t="n"/>
      <c r="H976" s="71" t="n"/>
      <c r="I976" s="9" t="n"/>
      <c r="J976" s="89">
        <f>IF(H976="","",IF(I976="Sí",ROUND(H976*Configuracion!$B$11,0),0))</f>
        <v/>
      </c>
      <c r="K976" s="89">
        <f>IF(H976="","",H976+J976)</f>
        <v/>
      </c>
      <c r="L976" s="13">
        <f>IF(B976="","",YEAR(B976))</f>
        <v/>
      </c>
      <c r="M976" s="13">
        <f>IF(B976="","",MONTH(B976))</f>
        <v/>
      </c>
      <c r="N976" s="9" t="n"/>
      <c r="O976" s="9" t="n"/>
      <c r="P976" s="9" t="n"/>
      <c r="Q976" s="9" t="n"/>
    </row>
    <row r="977">
      <c r="A977" s="9" t="n"/>
      <c r="B977" s="70" t="n"/>
      <c r="C977" s="9" t="n"/>
      <c r="D977" s="9" t="n"/>
      <c r="E977" s="9" t="n"/>
      <c r="F977" s="9" t="n"/>
      <c r="G977" s="9" t="n"/>
      <c r="H977" s="71" t="n"/>
      <c r="I977" s="9" t="n"/>
      <c r="J977" s="89">
        <f>IF(H977="","",IF(I977="Sí",ROUND(H977*Configuracion!$B$11,0),0))</f>
        <v/>
      </c>
      <c r="K977" s="89">
        <f>IF(H977="","",H977+J977)</f>
        <v/>
      </c>
      <c r="L977" s="13">
        <f>IF(B977="","",YEAR(B977))</f>
        <v/>
      </c>
      <c r="M977" s="13">
        <f>IF(B977="","",MONTH(B977))</f>
        <v/>
      </c>
      <c r="N977" s="9" t="n"/>
      <c r="O977" s="9" t="n"/>
      <c r="P977" s="9" t="n"/>
      <c r="Q977" s="9" t="n"/>
    </row>
    <row r="978">
      <c r="A978" s="9" t="n"/>
      <c r="B978" s="70" t="n"/>
      <c r="C978" s="9" t="n"/>
      <c r="D978" s="9" t="n"/>
      <c r="E978" s="9" t="n"/>
      <c r="F978" s="9" t="n"/>
      <c r="G978" s="9" t="n"/>
      <c r="H978" s="71" t="n"/>
      <c r="I978" s="9" t="n"/>
      <c r="J978" s="89">
        <f>IF(H978="","",IF(I978="Sí",ROUND(H978*Configuracion!$B$11,0),0))</f>
        <v/>
      </c>
      <c r="K978" s="89">
        <f>IF(H978="","",H978+J978)</f>
        <v/>
      </c>
      <c r="L978" s="13">
        <f>IF(B978="","",YEAR(B978))</f>
        <v/>
      </c>
      <c r="M978" s="13">
        <f>IF(B978="","",MONTH(B978))</f>
        <v/>
      </c>
      <c r="N978" s="9" t="n"/>
      <c r="O978" s="9" t="n"/>
      <c r="P978" s="9" t="n"/>
      <c r="Q978" s="9" t="n"/>
    </row>
    <row r="979">
      <c r="A979" s="9" t="n"/>
      <c r="B979" s="70" t="n"/>
      <c r="C979" s="9" t="n"/>
      <c r="D979" s="9" t="n"/>
      <c r="E979" s="9" t="n"/>
      <c r="F979" s="9" t="n"/>
      <c r="G979" s="9" t="n"/>
      <c r="H979" s="71" t="n"/>
      <c r="I979" s="9" t="n"/>
      <c r="J979" s="89">
        <f>IF(H979="","",IF(I979="Sí",ROUND(H979*Configuracion!$B$11,0),0))</f>
        <v/>
      </c>
      <c r="K979" s="89">
        <f>IF(H979="","",H979+J979)</f>
        <v/>
      </c>
      <c r="L979" s="13">
        <f>IF(B979="","",YEAR(B979))</f>
        <v/>
      </c>
      <c r="M979" s="13">
        <f>IF(B979="","",MONTH(B979))</f>
        <v/>
      </c>
      <c r="N979" s="9" t="n"/>
      <c r="O979" s="9" t="n"/>
      <c r="P979" s="9" t="n"/>
      <c r="Q979" s="9" t="n"/>
    </row>
    <row r="980">
      <c r="A980" s="9" t="n"/>
      <c r="B980" s="70" t="n"/>
      <c r="C980" s="9" t="n"/>
      <c r="D980" s="9" t="n"/>
      <c r="E980" s="9" t="n"/>
      <c r="F980" s="9" t="n"/>
      <c r="G980" s="9" t="n"/>
      <c r="H980" s="71" t="n"/>
      <c r="I980" s="9" t="n"/>
      <c r="J980" s="89">
        <f>IF(H980="","",IF(I980="Sí",ROUND(H980*Configuracion!$B$11,0),0))</f>
        <v/>
      </c>
      <c r="K980" s="89">
        <f>IF(H980="","",H980+J980)</f>
        <v/>
      </c>
      <c r="L980" s="13">
        <f>IF(B980="","",YEAR(B980))</f>
        <v/>
      </c>
      <c r="M980" s="13">
        <f>IF(B980="","",MONTH(B980))</f>
        <v/>
      </c>
      <c r="N980" s="9" t="n"/>
      <c r="O980" s="9" t="n"/>
      <c r="P980" s="9" t="n"/>
      <c r="Q980" s="9" t="n"/>
    </row>
    <row r="981">
      <c r="A981" s="9" t="n"/>
      <c r="B981" s="70" t="n"/>
      <c r="C981" s="9" t="n"/>
      <c r="D981" s="9" t="n"/>
      <c r="E981" s="9" t="n"/>
      <c r="F981" s="9" t="n"/>
      <c r="G981" s="9" t="n"/>
      <c r="H981" s="71" t="n"/>
      <c r="I981" s="9" t="n"/>
      <c r="J981" s="89">
        <f>IF(H981="","",IF(I981="Sí",ROUND(H981*Configuracion!$B$11,0),0))</f>
        <v/>
      </c>
      <c r="K981" s="89">
        <f>IF(H981="","",H981+J981)</f>
        <v/>
      </c>
      <c r="L981" s="13">
        <f>IF(B981="","",YEAR(B981))</f>
        <v/>
      </c>
      <c r="M981" s="13">
        <f>IF(B981="","",MONTH(B981))</f>
        <v/>
      </c>
      <c r="N981" s="9" t="n"/>
      <c r="O981" s="9" t="n"/>
      <c r="P981" s="9" t="n"/>
      <c r="Q981" s="9" t="n"/>
    </row>
    <row r="982">
      <c r="A982" s="9" t="n"/>
      <c r="B982" s="70" t="n"/>
      <c r="C982" s="9" t="n"/>
      <c r="D982" s="9" t="n"/>
      <c r="E982" s="9" t="n"/>
      <c r="F982" s="9" t="n"/>
      <c r="G982" s="9" t="n"/>
      <c r="H982" s="71" t="n"/>
      <c r="I982" s="9" t="n"/>
      <c r="J982" s="89">
        <f>IF(H982="","",IF(I982="Sí",ROUND(H982*Configuracion!$B$11,0),0))</f>
        <v/>
      </c>
      <c r="K982" s="89">
        <f>IF(H982="","",H982+J982)</f>
        <v/>
      </c>
      <c r="L982" s="13">
        <f>IF(B982="","",YEAR(B982))</f>
        <v/>
      </c>
      <c r="M982" s="13">
        <f>IF(B982="","",MONTH(B982))</f>
        <v/>
      </c>
      <c r="N982" s="9" t="n"/>
      <c r="O982" s="9" t="n"/>
      <c r="P982" s="9" t="n"/>
      <c r="Q982" s="9" t="n"/>
    </row>
    <row r="983">
      <c r="A983" s="9" t="n"/>
      <c r="B983" s="70" t="n"/>
      <c r="C983" s="9" t="n"/>
      <c r="D983" s="9" t="n"/>
      <c r="E983" s="9" t="n"/>
      <c r="F983" s="9" t="n"/>
      <c r="G983" s="9" t="n"/>
      <c r="H983" s="71" t="n"/>
      <c r="I983" s="9" t="n"/>
      <c r="J983" s="89">
        <f>IF(H983="","",IF(I983="Sí",ROUND(H983*Configuracion!$B$11,0),0))</f>
        <v/>
      </c>
      <c r="K983" s="89">
        <f>IF(H983="","",H983+J983)</f>
        <v/>
      </c>
      <c r="L983" s="13">
        <f>IF(B983="","",YEAR(B983))</f>
        <v/>
      </c>
      <c r="M983" s="13">
        <f>IF(B983="","",MONTH(B983))</f>
        <v/>
      </c>
      <c r="N983" s="9" t="n"/>
      <c r="O983" s="9" t="n"/>
      <c r="P983" s="9" t="n"/>
      <c r="Q983" s="9" t="n"/>
    </row>
    <row r="984">
      <c r="A984" s="9" t="n"/>
      <c r="B984" s="70" t="n"/>
      <c r="C984" s="9" t="n"/>
      <c r="D984" s="9" t="n"/>
      <c r="E984" s="9" t="n"/>
      <c r="F984" s="9" t="n"/>
      <c r="G984" s="9" t="n"/>
      <c r="H984" s="71" t="n"/>
      <c r="I984" s="9" t="n"/>
      <c r="J984" s="89">
        <f>IF(H984="","",IF(I984="Sí",ROUND(H984*Configuracion!$B$11,0),0))</f>
        <v/>
      </c>
      <c r="K984" s="89">
        <f>IF(H984="","",H984+J984)</f>
        <v/>
      </c>
      <c r="L984" s="13">
        <f>IF(B984="","",YEAR(B984))</f>
        <v/>
      </c>
      <c r="M984" s="13">
        <f>IF(B984="","",MONTH(B984))</f>
        <v/>
      </c>
      <c r="N984" s="9" t="n"/>
      <c r="O984" s="9" t="n"/>
      <c r="P984" s="9" t="n"/>
      <c r="Q984" s="9" t="n"/>
    </row>
    <row r="985">
      <c r="A985" s="9" t="n"/>
      <c r="B985" s="70" t="n"/>
      <c r="C985" s="9" t="n"/>
      <c r="D985" s="9" t="n"/>
      <c r="E985" s="9" t="n"/>
      <c r="F985" s="9" t="n"/>
      <c r="G985" s="9" t="n"/>
      <c r="H985" s="71" t="n"/>
      <c r="I985" s="9" t="n"/>
      <c r="J985" s="89">
        <f>IF(H985="","",IF(I985="Sí",ROUND(H985*Configuracion!$B$11,0),0))</f>
        <v/>
      </c>
      <c r="K985" s="89">
        <f>IF(H985="","",H985+J985)</f>
        <v/>
      </c>
      <c r="L985" s="13">
        <f>IF(B985="","",YEAR(B985))</f>
        <v/>
      </c>
      <c r="M985" s="13">
        <f>IF(B985="","",MONTH(B985))</f>
        <v/>
      </c>
      <c r="N985" s="9" t="n"/>
      <c r="O985" s="9" t="n"/>
      <c r="P985" s="9" t="n"/>
      <c r="Q985" s="9" t="n"/>
    </row>
    <row r="986">
      <c r="A986" s="9" t="n"/>
      <c r="B986" s="70" t="n"/>
      <c r="C986" s="9" t="n"/>
      <c r="D986" s="9" t="n"/>
      <c r="E986" s="9" t="n"/>
      <c r="F986" s="9" t="n"/>
      <c r="G986" s="9" t="n"/>
      <c r="H986" s="71" t="n"/>
      <c r="I986" s="9" t="n"/>
      <c r="J986" s="89">
        <f>IF(H986="","",IF(I986="Sí",ROUND(H986*Configuracion!$B$11,0),0))</f>
        <v/>
      </c>
      <c r="K986" s="89">
        <f>IF(H986="","",H986+J986)</f>
        <v/>
      </c>
      <c r="L986" s="13">
        <f>IF(B986="","",YEAR(B986))</f>
        <v/>
      </c>
      <c r="M986" s="13">
        <f>IF(B986="","",MONTH(B986))</f>
        <v/>
      </c>
      <c r="N986" s="9" t="n"/>
      <c r="O986" s="9" t="n"/>
      <c r="P986" s="9" t="n"/>
      <c r="Q986" s="9" t="n"/>
    </row>
    <row r="987">
      <c r="A987" s="9" t="n"/>
      <c r="B987" s="70" t="n"/>
      <c r="C987" s="9" t="n"/>
      <c r="D987" s="9" t="n"/>
      <c r="E987" s="9" t="n"/>
      <c r="F987" s="9" t="n"/>
      <c r="G987" s="9" t="n"/>
      <c r="H987" s="71" t="n"/>
      <c r="I987" s="9" t="n"/>
      <c r="J987" s="89">
        <f>IF(H987="","",IF(I987="Sí",ROUND(H987*Configuracion!$B$11,0),0))</f>
        <v/>
      </c>
      <c r="K987" s="89">
        <f>IF(H987="","",H987+J987)</f>
        <v/>
      </c>
      <c r="L987" s="13">
        <f>IF(B987="","",YEAR(B987))</f>
        <v/>
      </c>
      <c r="M987" s="13">
        <f>IF(B987="","",MONTH(B987))</f>
        <v/>
      </c>
      <c r="N987" s="9" t="n"/>
      <c r="O987" s="9" t="n"/>
      <c r="P987" s="9" t="n"/>
      <c r="Q987" s="9" t="n"/>
    </row>
    <row r="988">
      <c r="A988" s="9" t="n"/>
      <c r="B988" s="70" t="n"/>
      <c r="C988" s="9" t="n"/>
      <c r="D988" s="9" t="n"/>
      <c r="E988" s="9" t="n"/>
      <c r="F988" s="9" t="n"/>
      <c r="G988" s="9" t="n"/>
      <c r="H988" s="71" t="n"/>
      <c r="I988" s="9" t="n"/>
      <c r="J988" s="89">
        <f>IF(H988="","",IF(I988="Sí",ROUND(H988*Configuracion!$B$11,0),0))</f>
        <v/>
      </c>
      <c r="K988" s="89">
        <f>IF(H988="","",H988+J988)</f>
        <v/>
      </c>
      <c r="L988" s="13">
        <f>IF(B988="","",YEAR(B988))</f>
        <v/>
      </c>
      <c r="M988" s="13">
        <f>IF(B988="","",MONTH(B988))</f>
        <v/>
      </c>
      <c r="N988" s="9" t="n"/>
      <c r="O988" s="9" t="n"/>
      <c r="P988" s="9" t="n"/>
      <c r="Q988" s="9" t="n"/>
    </row>
    <row r="989">
      <c r="A989" s="9" t="n"/>
      <c r="B989" s="70" t="n"/>
      <c r="C989" s="9" t="n"/>
      <c r="D989" s="9" t="n"/>
      <c r="E989" s="9" t="n"/>
      <c r="F989" s="9" t="n"/>
      <c r="G989" s="9" t="n"/>
      <c r="H989" s="71" t="n"/>
      <c r="I989" s="9" t="n"/>
      <c r="J989" s="89">
        <f>IF(H989="","",IF(I989="Sí",ROUND(H989*Configuracion!$B$11,0),0))</f>
        <v/>
      </c>
      <c r="K989" s="89">
        <f>IF(H989="","",H989+J989)</f>
        <v/>
      </c>
      <c r="L989" s="13">
        <f>IF(B989="","",YEAR(B989))</f>
        <v/>
      </c>
      <c r="M989" s="13">
        <f>IF(B989="","",MONTH(B989))</f>
        <v/>
      </c>
      <c r="N989" s="9" t="n"/>
      <c r="O989" s="9" t="n"/>
      <c r="P989" s="9" t="n"/>
      <c r="Q989" s="9" t="n"/>
    </row>
    <row r="990">
      <c r="A990" s="9" t="n"/>
      <c r="B990" s="70" t="n"/>
      <c r="C990" s="9" t="n"/>
      <c r="D990" s="9" t="n"/>
      <c r="E990" s="9" t="n"/>
      <c r="F990" s="9" t="n"/>
      <c r="G990" s="9" t="n"/>
      <c r="H990" s="71" t="n"/>
      <c r="I990" s="9" t="n"/>
      <c r="J990" s="89">
        <f>IF(H990="","",IF(I990="Sí",ROUND(H990*Configuracion!$B$11,0),0))</f>
        <v/>
      </c>
      <c r="K990" s="89">
        <f>IF(H990="","",H990+J990)</f>
        <v/>
      </c>
      <c r="L990" s="13">
        <f>IF(B990="","",YEAR(B990))</f>
        <v/>
      </c>
      <c r="M990" s="13">
        <f>IF(B990="","",MONTH(B990))</f>
        <v/>
      </c>
      <c r="N990" s="9" t="n"/>
      <c r="O990" s="9" t="n"/>
      <c r="P990" s="9" t="n"/>
      <c r="Q990" s="9" t="n"/>
    </row>
    <row r="991">
      <c r="A991" s="9" t="n"/>
      <c r="B991" s="70" t="n"/>
      <c r="C991" s="9" t="n"/>
      <c r="D991" s="9" t="n"/>
      <c r="E991" s="9" t="n"/>
      <c r="F991" s="9" t="n"/>
      <c r="G991" s="9" t="n"/>
      <c r="H991" s="71" t="n"/>
      <c r="I991" s="9" t="n"/>
      <c r="J991" s="89">
        <f>IF(H991="","",IF(I991="Sí",ROUND(H991*Configuracion!$B$11,0),0))</f>
        <v/>
      </c>
      <c r="K991" s="89">
        <f>IF(H991="","",H991+J991)</f>
        <v/>
      </c>
      <c r="L991" s="13">
        <f>IF(B991="","",YEAR(B991))</f>
        <v/>
      </c>
      <c r="M991" s="13">
        <f>IF(B991="","",MONTH(B991))</f>
        <v/>
      </c>
      <c r="N991" s="9" t="n"/>
      <c r="O991" s="9" t="n"/>
      <c r="P991" s="9" t="n"/>
      <c r="Q991" s="9" t="n"/>
    </row>
    <row r="992">
      <c r="A992" s="9" t="n"/>
      <c r="B992" s="70" t="n"/>
      <c r="C992" s="9" t="n"/>
      <c r="D992" s="9" t="n"/>
      <c r="E992" s="9" t="n"/>
      <c r="F992" s="9" t="n"/>
      <c r="G992" s="9" t="n"/>
      <c r="H992" s="71" t="n"/>
      <c r="I992" s="9" t="n"/>
      <c r="J992" s="89">
        <f>IF(H992="","",IF(I992="Sí",ROUND(H992*Configuracion!$B$11,0),0))</f>
        <v/>
      </c>
      <c r="K992" s="89">
        <f>IF(H992="","",H992+J992)</f>
        <v/>
      </c>
      <c r="L992" s="13">
        <f>IF(B992="","",YEAR(B992))</f>
        <v/>
      </c>
      <c r="M992" s="13">
        <f>IF(B992="","",MONTH(B992))</f>
        <v/>
      </c>
      <c r="N992" s="9" t="n"/>
      <c r="O992" s="9" t="n"/>
      <c r="P992" s="9" t="n"/>
      <c r="Q992" s="9" t="n"/>
    </row>
    <row r="993">
      <c r="A993" s="9" t="n"/>
      <c r="B993" s="70" t="n"/>
      <c r="C993" s="9" t="n"/>
      <c r="D993" s="9" t="n"/>
      <c r="E993" s="9" t="n"/>
      <c r="F993" s="9" t="n"/>
      <c r="G993" s="9" t="n"/>
      <c r="H993" s="71" t="n"/>
      <c r="I993" s="9" t="n"/>
      <c r="J993" s="89">
        <f>IF(H993="","",IF(I993="Sí",ROUND(H993*Configuracion!$B$11,0),0))</f>
        <v/>
      </c>
      <c r="K993" s="89">
        <f>IF(H993="","",H993+J993)</f>
        <v/>
      </c>
      <c r="L993" s="13">
        <f>IF(B993="","",YEAR(B993))</f>
        <v/>
      </c>
      <c r="M993" s="13">
        <f>IF(B993="","",MONTH(B993))</f>
        <v/>
      </c>
      <c r="N993" s="9" t="n"/>
      <c r="O993" s="9" t="n"/>
      <c r="P993" s="9" t="n"/>
      <c r="Q993" s="9" t="n"/>
    </row>
    <row r="994">
      <c r="A994" s="9" t="n"/>
      <c r="B994" s="70" t="n"/>
      <c r="C994" s="9" t="n"/>
      <c r="D994" s="9" t="n"/>
      <c r="E994" s="9" t="n"/>
      <c r="F994" s="9" t="n"/>
      <c r="G994" s="9" t="n"/>
      <c r="H994" s="71" t="n"/>
      <c r="I994" s="9" t="n"/>
      <c r="J994" s="89">
        <f>IF(H994="","",IF(I994="Sí",ROUND(H994*Configuracion!$B$11,0),0))</f>
        <v/>
      </c>
      <c r="K994" s="89">
        <f>IF(H994="","",H994+J994)</f>
        <v/>
      </c>
      <c r="L994" s="13">
        <f>IF(B994="","",YEAR(B994))</f>
        <v/>
      </c>
      <c r="M994" s="13">
        <f>IF(B994="","",MONTH(B994))</f>
        <v/>
      </c>
      <c r="N994" s="9" t="n"/>
      <c r="O994" s="9" t="n"/>
      <c r="P994" s="9" t="n"/>
      <c r="Q994" s="9" t="n"/>
    </row>
    <row r="995">
      <c r="A995" s="9" t="n"/>
      <c r="B995" s="70" t="n"/>
      <c r="C995" s="9" t="n"/>
      <c r="D995" s="9" t="n"/>
      <c r="E995" s="9" t="n"/>
      <c r="F995" s="9" t="n"/>
      <c r="G995" s="9" t="n"/>
      <c r="H995" s="71" t="n"/>
      <c r="I995" s="9" t="n"/>
      <c r="J995" s="89">
        <f>IF(H995="","",IF(I995="Sí",ROUND(H995*Configuracion!$B$11,0),0))</f>
        <v/>
      </c>
      <c r="K995" s="89">
        <f>IF(H995="","",H995+J995)</f>
        <v/>
      </c>
      <c r="L995" s="13">
        <f>IF(B995="","",YEAR(B995))</f>
        <v/>
      </c>
      <c r="M995" s="13">
        <f>IF(B995="","",MONTH(B995))</f>
        <v/>
      </c>
      <c r="N995" s="9" t="n"/>
      <c r="O995" s="9" t="n"/>
      <c r="P995" s="9" t="n"/>
      <c r="Q995" s="9" t="n"/>
    </row>
    <row r="996">
      <c r="A996" s="9" t="n"/>
      <c r="B996" s="70" t="n"/>
      <c r="C996" s="9" t="n"/>
      <c r="D996" s="9" t="n"/>
      <c r="E996" s="9" t="n"/>
      <c r="F996" s="9" t="n"/>
      <c r="G996" s="9" t="n"/>
      <c r="H996" s="71" t="n"/>
      <c r="I996" s="9" t="n"/>
      <c r="J996" s="89">
        <f>IF(H996="","",IF(I996="Sí",ROUND(H996*Configuracion!$B$11,0),0))</f>
        <v/>
      </c>
      <c r="K996" s="89">
        <f>IF(H996="","",H996+J996)</f>
        <v/>
      </c>
      <c r="L996" s="13">
        <f>IF(B996="","",YEAR(B996))</f>
        <v/>
      </c>
      <c r="M996" s="13">
        <f>IF(B996="","",MONTH(B996))</f>
        <v/>
      </c>
      <c r="N996" s="9" t="n"/>
      <c r="O996" s="9" t="n"/>
      <c r="P996" s="9" t="n"/>
      <c r="Q996" s="9" t="n"/>
    </row>
    <row r="997">
      <c r="A997" s="9" t="n"/>
      <c r="B997" s="70" t="n"/>
      <c r="C997" s="9" t="n"/>
      <c r="D997" s="9" t="n"/>
      <c r="E997" s="9" t="n"/>
      <c r="F997" s="9" t="n"/>
      <c r="G997" s="9" t="n"/>
      <c r="H997" s="71" t="n"/>
      <c r="I997" s="9" t="n"/>
      <c r="J997" s="89">
        <f>IF(H997="","",IF(I997="Sí",ROUND(H997*Configuracion!$B$11,0),0))</f>
        <v/>
      </c>
      <c r="K997" s="89">
        <f>IF(H997="","",H997+J997)</f>
        <v/>
      </c>
      <c r="L997" s="13">
        <f>IF(B997="","",YEAR(B997))</f>
        <v/>
      </c>
      <c r="M997" s="13">
        <f>IF(B997="","",MONTH(B997))</f>
        <v/>
      </c>
      <c r="N997" s="9" t="n"/>
      <c r="O997" s="9" t="n"/>
      <c r="P997" s="9" t="n"/>
      <c r="Q997" s="9" t="n"/>
    </row>
    <row r="998">
      <c r="A998" s="9" t="n"/>
      <c r="B998" s="70" t="n"/>
      <c r="C998" s="9" t="n"/>
      <c r="D998" s="9" t="n"/>
      <c r="E998" s="9" t="n"/>
      <c r="F998" s="9" t="n"/>
      <c r="G998" s="9" t="n"/>
      <c r="H998" s="71" t="n"/>
      <c r="I998" s="9" t="n"/>
      <c r="J998" s="89">
        <f>IF(H998="","",IF(I998="Sí",ROUND(H998*Configuracion!$B$11,0),0))</f>
        <v/>
      </c>
      <c r="K998" s="89">
        <f>IF(H998="","",H998+J998)</f>
        <v/>
      </c>
      <c r="L998" s="13">
        <f>IF(B998="","",YEAR(B998))</f>
        <v/>
      </c>
      <c r="M998" s="13">
        <f>IF(B998="","",MONTH(B998))</f>
        <v/>
      </c>
      <c r="N998" s="9" t="n"/>
      <c r="O998" s="9" t="n"/>
      <c r="P998" s="9" t="n"/>
      <c r="Q998" s="9" t="n"/>
    </row>
    <row r="999">
      <c r="A999" s="9" t="n"/>
      <c r="B999" s="70" t="n"/>
      <c r="C999" s="9" t="n"/>
      <c r="D999" s="9" t="n"/>
      <c r="E999" s="9" t="n"/>
      <c r="F999" s="9" t="n"/>
      <c r="G999" s="9" t="n"/>
      <c r="H999" s="71" t="n"/>
      <c r="I999" s="9" t="n"/>
      <c r="J999" s="89">
        <f>IF(H999="","",IF(I999="Sí",ROUND(H999*Configuracion!$B$11,0),0))</f>
        <v/>
      </c>
      <c r="K999" s="89">
        <f>IF(H999="","",H999+J999)</f>
        <v/>
      </c>
      <c r="L999" s="13">
        <f>IF(B999="","",YEAR(B999))</f>
        <v/>
      </c>
      <c r="M999" s="13">
        <f>IF(B999="","",MONTH(B999))</f>
        <v/>
      </c>
      <c r="N999" s="9" t="n"/>
      <c r="O999" s="9" t="n"/>
      <c r="P999" s="9" t="n"/>
      <c r="Q999" s="9" t="n"/>
    </row>
    <row r="1000">
      <c r="A1000" s="9" t="n"/>
      <c r="B1000" s="70" t="n"/>
      <c r="C1000" s="9" t="n"/>
      <c r="D1000" s="9" t="n"/>
      <c r="E1000" s="9" t="n"/>
      <c r="F1000" s="9" t="n"/>
      <c r="G1000" s="9" t="n"/>
      <c r="H1000" s="71" t="n"/>
      <c r="I1000" s="9" t="n"/>
      <c r="J1000" s="89">
        <f>IF(H1000="","",IF(I1000="Sí",ROUND(H1000*Configuracion!$B$11,0),0))</f>
        <v/>
      </c>
      <c r="K1000" s="89">
        <f>IF(H1000="","",H1000+J1000)</f>
        <v/>
      </c>
      <c r="L1000" s="13">
        <f>IF(B1000="","",YEAR(B1000))</f>
        <v/>
      </c>
      <c r="M1000" s="13">
        <f>IF(B1000="","",MONTH(B1000))</f>
        <v/>
      </c>
      <c r="N1000" s="9" t="n"/>
      <c r="O1000" s="9" t="n"/>
      <c r="P1000" s="9" t="n"/>
      <c r="Q1000" s="9" t="n"/>
    </row>
    <row r="1001">
      <c r="A1001" s="9" t="n"/>
      <c r="B1001" s="70" t="n"/>
      <c r="C1001" s="9" t="n"/>
      <c r="D1001" s="9" t="n"/>
      <c r="E1001" s="9" t="n"/>
      <c r="F1001" s="9" t="n"/>
      <c r="G1001" s="9" t="n"/>
      <c r="H1001" s="71" t="n"/>
      <c r="I1001" s="9" t="n"/>
      <c r="J1001" s="89">
        <f>IF(H1001="","",IF(I1001="Sí",ROUND(H1001*Configuracion!$B$11,0),0))</f>
        <v/>
      </c>
      <c r="K1001" s="89">
        <f>IF(H1001="","",H1001+J1001)</f>
        <v/>
      </c>
      <c r="L1001" s="13">
        <f>IF(B1001="","",YEAR(B1001))</f>
        <v/>
      </c>
      <c r="M1001" s="13">
        <f>IF(B1001="","",MONTH(B1001))</f>
        <v/>
      </c>
      <c r="N1001" s="9" t="n"/>
      <c r="O1001" s="9" t="n"/>
      <c r="P1001" s="9" t="n"/>
      <c r="Q1001" s="9" t="n"/>
    </row>
    <row r="1002">
      <c r="A1002" s="9" t="n"/>
      <c r="B1002" s="70" t="n"/>
      <c r="C1002" s="9" t="n"/>
      <c r="D1002" s="9" t="n"/>
      <c r="E1002" s="9" t="n"/>
      <c r="F1002" s="9" t="n"/>
      <c r="G1002" s="9" t="n"/>
      <c r="H1002" s="71" t="n"/>
      <c r="I1002" s="9" t="n"/>
      <c r="J1002" s="89">
        <f>IF(H1002="","",IF(I1002="Sí",ROUND(H1002*Configuracion!$B$11,0),0))</f>
        <v/>
      </c>
      <c r="K1002" s="89">
        <f>IF(H1002="","",H1002+J1002)</f>
        <v/>
      </c>
      <c r="L1002" s="13">
        <f>IF(B1002="","",YEAR(B1002))</f>
        <v/>
      </c>
      <c r="M1002" s="13">
        <f>IF(B1002="","",MONTH(B1002))</f>
        <v/>
      </c>
      <c r="N1002" s="9" t="n"/>
      <c r="O1002" s="9" t="n"/>
      <c r="P1002" s="9" t="n"/>
      <c r="Q1002" s="9" t="n"/>
    </row>
    <row r="1003">
      <c r="A1003" s="9" t="n"/>
      <c r="B1003" s="70" t="n"/>
      <c r="C1003" s="9" t="n"/>
      <c r="D1003" s="9" t="n"/>
      <c r="E1003" s="9" t="n"/>
      <c r="F1003" s="9" t="n"/>
      <c r="G1003" s="9" t="n"/>
      <c r="H1003" s="71" t="n"/>
      <c r="I1003" s="9" t="n"/>
      <c r="J1003" s="89">
        <f>IF(H1003="","",IF(I1003="Sí",ROUND(H1003*Configuracion!$B$11,0),0))</f>
        <v/>
      </c>
      <c r="K1003" s="89">
        <f>IF(H1003="","",H1003+J1003)</f>
        <v/>
      </c>
      <c r="L1003" s="13">
        <f>IF(B1003="","",YEAR(B1003))</f>
        <v/>
      </c>
      <c r="M1003" s="13">
        <f>IF(B1003="","",MONTH(B1003))</f>
        <v/>
      </c>
      <c r="N1003" s="9" t="n"/>
      <c r="O1003" s="9" t="n"/>
      <c r="P1003" s="9" t="n"/>
      <c r="Q1003" s="9" t="n"/>
    </row>
    <row r="1004">
      <c r="A1004" s="9" t="n"/>
      <c r="B1004" s="70" t="n"/>
      <c r="C1004" s="9" t="n"/>
      <c r="D1004" s="9" t="n"/>
      <c r="E1004" s="9" t="n"/>
      <c r="F1004" s="9" t="n"/>
      <c r="G1004" s="9" t="n"/>
      <c r="H1004" s="71" t="n"/>
      <c r="I1004" s="9" t="n"/>
      <c r="J1004" s="89">
        <f>IF(H1004="","",IF(I1004="Sí",ROUND(H1004*Configuracion!$B$11,0),0))</f>
        <v/>
      </c>
      <c r="K1004" s="89">
        <f>IF(H1004="","",H1004+J1004)</f>
        <v/>
      </c>
      <c r="L1004" s="13">
        <f>IF(B1004="","",YEAR(B1004))</f>
        <v/>
      </c>
      <c r="M1004" s="13">
        <f>IF(B1004="","",MONTH(B1004))</f>
        <v/>
      </c>
      <c r="N1004" s="9" t="n"/>
      <c r="O1004" s="9" t="n"/>
      <c r="P1004" s="9" t="n"/>
      <c r="Q1004" s="9" t="n"/>
    </row>
    <row r="1005">
      <c r="A1005" s="9" t="n"/>
      <c r="B1005" s="70" t="n"/>
      <c r="C1005" s="9" t="n"/>
      <c r="D1005" s="9" t="n"/>
      <c r="E1005" s="9" t="n"/>
      <c r="F1005" s="9" t="n"/>
      <c r="G1005" s="9" t="n"/>
      <c r="H1005" s="71" t="n"/>
      <c r="I1005" s="9" t="n"/>
      <c r="J1005" s="89">
        <f>IF(H1005="","",IF(I1005="Sí",ROUND(H1005*Configuracion!$B$11,0),0))</f>
        <v/>
      </c>
      <c r="K1005" s="89">
        <f>IF(H1005="","",H1005+J1005)</f>
        <v/>
      </c>
      <c r="L1005" s="13">
        <f>IF(B1005="","",YEAR(B1005))</f>
        <v/>
      </c>
      <c r="M1005" s="13">
        <f>IF(B1005="","",MONTH(B1005))</f>
        <v/>
      </c>
      <c r="N1005" s="9" t="n"/>
      <c r="O1005" s="9" t="n"/>
      <c r="P1005" s="9" t="n"/>
      <c r="Q1005" s="9" t="n"/>
    </row>
    <row r="1006">
      <c r="A1006" s="9" t="n"/>
      <c r="B1006" s="70" t="n"/>
      <c r="C1006" s="9" t="n"/>
      <c r="D1006" s="9" t="n"/>
      <c r="E1006" s="9" t="n"/>
      <c r="F1006" s="9" t="n"/>
      <c r="G1006" s="9" t="n"/>
      <c r="H1006" s="71" t="n"/>
      <c r="I1006" s="9" t="n"/>
      <c r="J1006" s="89">
        <f>IF(H1006="","",IF(I1006="Sí",ROUND(H1006*Configuracion!$B$11,0),0))</f>
        <v/>
      </c>
      <c r="K1006" s="89">
        <f>IF(H1006="","",H1006+J1006)</f>
        <v/>
      </c>
      <c r="L1006" s="13">
        <f>IF(B1006="","",YEAR(B1006))</f>
        <v/>
      </c>
      <c r="M1006" s="13">
        <f>IF(B1006="","",MONTH(B1006))</f>
        <v/>
      </c>
      <c r="N1006" s="9" t="n"/>
      <c r="O1006" s="9" t="n"/>
      <c r="P1006" s="9" t="n"/>
      <c r="Q1006" s="9" t="n"/>
    </row>
    <row r="1007">
      <c r="A1007" s="9" t="n"/>
      <c r="B1007" s="70" t="n"/>
      <c r="C1007" s="9" t="n"/>
      <c r="D1007" s="9" t="n"/>
      <c r="E1007" s="9" t="n"/>
      <c r="F1007" s="9" t="n"/>
      <c r="G1007" s="9" t="n"/>
      <c r="H1007" s="71" t="n"/>
      <c r="I1007" s="9" t="n"/>
      <c r="J1007" s="89">
        <f>IF(H1007="","",IF(I1007="Sí",ROUND(H1007*Configuracion!$B$11,0),0))</f>
        <v/>
      </c>
      <c r="K1007" s="89">
        <f>IF(H1007="","",H1007+J1007)</f>
        <v/>
      </c>
      <c r="L1007" s="13">
        <f>IF(B1007="","",YEAR(B1007))</f>
        <v/>
      </c>
      <c r="M1007" s="13">
        <f>IF(B1007="","",MONTH(B1007))</f>
        <v/>
      </c>
      <c r="N1007" s="9" t="n"/>
      <c r="O1007" s="9" t="n"/>
      <c r="P1007" s="9" t="n"/>
      <c r="Q1007" s="9" t="n"/>
    </row>
    <row r="1008">
      <c r="A1008" s="9" t="n"/>
      <c r="B1008" s="70" t="n"/>
      <c r="C1008" s="9" t="n"/>
      <c r="D1008" s="9" t="n"/>
      <c r="E1008" s="9" t="n"/>
      <c r="F1008" s="9" t="n"/>
      <c r="G1008" s="9" t="n"/>
      <c r="H1008" s="71" t="n"/>
      <c r="I1008" s="9" t="n"/>
      <c r="J1008" s="89">
        <f>IF(H1008="","",IF(I1008="Sí",ROUND(H1008*Configuracion!$B$11,0),0))</f>
        <v/>
      </c>
      <c r="K1008" s="89">
        <f>IF(H1008="","",H1008+J1008)</f>
        <v/>
      </c>
      <c r="L1008" s="13">
        <f>IF(B1008="","",YEAR(B1008))</f>
        <v/>
      </c>
      <c r="M1008" s="13">
        <f>IF(B1008="","",MONTH(B1008))</f>
        <v/>
      </c>
      <c r="N1008" s="9" t="n"/>
      <c r="O1008" s="9" t="n"/>
      <c r="P1008" s="9" t="n"/>
      <c r="Q1008" s="9" t="n"/>
    </row>
    <row r="1009">
      <c r="A1009" s="9" t="n"/>
      <c r="B1009" s="70" t="n"/>
      <c r="C1009" s="9" t="n"/>
      <c r="D1009" s="9" t="n"/>
      <c r="E1009" s="9" t="n"/>
      <c r="F1009" s="9" t="n"/>
      <c r="G1009" s="9" t="n"/>
      <c r="H1009" s="71" t="n"/>
      <c r="I1009" s="9" t="n"/>
      <c r="J1009" s="89">
        <f>IF(H1009="","",IF(I1009="Sí",ROUND(H1009*Configuracion!$B$11,0),0))</f>
        <v/>
      </c>
      <c r="K1009" s="89">
        <f>IF(H1009="","",H1009+J1009)</f>
        <v/>
      </c>
      <c r="L1009" s="13">
        <f>IF(B1009="","",YEAR(B1009))</f>
        <v/>
      </c>
      <c r="M1009" s="13">
        <f>IF(B1009="","",MONTH(B1009))</f>
        <v/>
      </c>
      <c r="N1009" s="9" t="n"/>
      <c r="O1009" s="9" t="n"/>
      <c r="P1009" s="9" t="n"/>
      <c r="Q1009" s="9" t="n"/>
    </row>
    <row r="1010">
      <c r="A1010" s="9" t="n"/>
      <c r="B1010" s="70" t="n"/>
      <c r="C1010" s="9" t="n"/>
      <c r="D1010" s="9" t="n"/>
      <c r="E1010" s="9" t="n"/>
      <c r="F1010" s="9" t="n"/>
      <c r="G1010" s="9" t="n"/>
      <c r="H1010" s="71" t="n"/>
      <c r="I1010" s="9" t="n"/>
      <c r="J1010" s="89">
        <f>IF(H1010="","",IF(I1010="Sí",ROUND(H1010*Configuracion!$B$11,0),0))</f>
        <v/>
      </c>
      <c r="K1010" s="89">
        <f>IF(H1010="","",H1010+J1010)</f>
        <v/>
      </c>
      <c r="L1010" s="13">
        <f>IF(B1010="","",YEAR(B1010))</f>
        <v/>
      </c>
      <c r="M1010" s="13">
        <f>IF(B1010="","",MONTH(B1010))</f>
        <v/>
      </c>
      <c r="N1010" s="9" t="n"/>
      <c r="O1010" s="9" t="n"/>
      <c r="P1010" s="9" t="n"/>
      <c r="Q1010" s="9" t="n"/>
    </row>
    <row r="1011">
      <c r="A1011" s="9" t="n"/>
      <c r="B1011" s="70" t="n"/>
      <c r="C1011" s="9" t="n"/>
      <c r="D1011" s="9" t="n"/>
      <c r="E1011" s="9" t="n"/>
      <c r="F1011" s="9" t="n"/>
      <c r="G1011" s="9" t="n"/>
      <c r="H1011" s="71" t="n"/>
      <c r="I1011" s="9" t="n"/>
      <c r="J1011" s="89">
        <f>IF(H1011="","",IF(I1011="Sí",ROUND(H1011*Configuracion!$B$11,0),0))</f>
        <v/>
      </c>
      <c r="K1011" s="89">
        <f>IF(H1011="","",H1011+J1011)</f>
        <v/>
      </c>
      <c r="L1011" s="13">
        <f>IF(B1011="","",YEAR(B1011))</f>
        <v/>
      </c>
      <c r="M1011" s="13">
        <f>IF(B1011="","",MONTH(B1011))</f>
        <v/>
      </c>
      <c r="N1011" s="9" t="n"/>
      <c r="O1011" s="9" t="n"/>
      <c r="P1011" s="9" t="n"/>
      <c r="Q1011" s="9" t="n"/>
    </row>
    <row r="1012">
      <c r="A1012" s="9" t="n"/>
      <c r="B1012" s="70" t="n"/>
      <c r="C1012" s="9" t="n"/>
      <c r="D1012" s="9" t="n"/>
      <c r="E1012" s="9" t="n"/>
      <c r="F1012" s="9" t="n"/>
      <c r="G1012" s="9" t="n"/>
      <c r="H1012" s="71" t="n"/>
      <c r="I1012" s="9" t="n"/>
      <c r="J1012" s="89">
        <f>IF(H1012="","",IF(I1012="Sí",ROUND(H1012*Configuracion!$B$11,0),0))</f>
        <v/>
      </c>
      <c r="K1012" s="89">
        <f>IF(H1012="","",H1012+J1012)</f>
        <v/>
      </c>
      <c r="L1012" s="13">
        <f>IF(B1012="","",YEAR(B1012))</f>
        <v/>
      </c>
      <c r="M1012" s="13">
        <f>IF(B1012="","",MONTH(B1012))</f>
        <v/>
      </c>
      <c r="N1012" s="9" t="n"/>
      <c r="O1012" s="9" t="n"/>
      <c r="P1012" s="9" t="n"/>
      <c r="Q1012" s="9" t="n"/>
    </row>
    <row r="1013">
      <c r="A1013" s="9" t="n"/>
      <c r="B1013" s="70" t="n"/>
      <c r="C1013" s="9" t="n"/>
      <c r="D1013" s="9" t="n"/>
      <c r="E1013" s="9" t="n"/>
      <c r="F1013" s="9" t="n"/>
      <c r="G1013" s="9" t="n"/>
      <c r="H1013" s="71" t="n"/>
      <c r="I1013" s="9" t="n"/>
      <c r="J1013" s="89">
        <f>IF(H1013="","",IF(I1013="Sí",ROUND(H1013*Configuracion!$B$11,0),0))</f>
        <v/>
      </c>
      <c r="K1013" s="89">
        <f>IF(H1013="","",H1013+J1013)</f>
        <v/>
      </c>
      <c r="L1013" s="13">
        <f>IF(B1013="","",YEAR(B1013))</f>
        <v/>
      </c>
      <c r="M1013" s="13">
        <f>IF(B1013="","",MONTH(B1013))</f>
        <v/>
      </c>
      <c r="N1013" s="9" t="n"/>
      <c r="O1013" s="9" t="n"/>
      <c r="P1013" s="9" t="n"/>
      <c r="Q1013" s="9" t="n"/>
    </row>
    <row r="1014">
      <c r="A1014" s="9" t="n"/>
      <c r="B1014" s="70" t="n"/>
      <c r="C1014" s="9" t="n"/>
      <c r="D1014" s="9" t="n"/>
      <c r="E1014" s="9" t="n"/>
      <c r="F1014" s="9" t="n"/>
      <c r="G1014" s="9" t="n"/>
      <c r="H1014" s="71" t="n"/>
      <c r="I1014" s="9" t="n"/>
      <c r="J1014" s="89">
        <f>IF(H1014="","",IF(I1014="Sí",ROUND(H1014*Configuracion!$B$11,0),0))</f>
        <v/>
      </c>
      <c r="K1014" s="89">
        <f>IF(H1014="","",H1014+J1014)</f>
        <v/>
      </c>
      <c r="L1014" s="13">
        <f>IF(B1014="","",YEAR(B1014))</f>
        <v/>
      </c>
      <c r="M1014" s="13">
        <f>IF(B1014="","",MONTH(B1014))</f>
        <v/>
      </c>
      <c r="N1014" s="9" t="n"/>
      <c r="O1014" s="9" t="n"/>
      <c r="P1014" s="9" t="n"/>
      <c r="Q1014" s="9" t="n"/>
    </row>
    <row r="1015">
      <c r="A1015" s="9" t="n"/>
      <c r="B1015" s="70" t="n"/>
      <c r="C1015" s="9" t="n"/>
      <c r="D1015" s="9" t="n"/>
      <c r="E1015" s="9" t="n"/>
      <c r="F1015" s="9" t="n"/>
      <c r="G1015" s="9" t="n"/>
      <c r="H1015" s="71" t="n"/>
      <c r="I1015" s="9" t="n"/>
      <c r="J1015" s="89">
        <f>IF(H1015="","",IF(I1015="Sí",ROUND(H1015*Configuracion!$B$11,0),0))</f>
        <v/>
      </c>
      <c r="K1015" s="89">
        <f>IF(H1015="","",H1015+J1015)</f>
        <v/>
      </c>
      <c r="L1015" s="13">
        <f>IF(B1015="","",YEAR(B1015))</f>
        <v/>
      </c>
      <c r="M1015" s="13">
        <f>IF(B1015="","",MONTH(B1015))</f>
        <v/>
      </c>
      <c r="N1015" s="9" t="n"/>
      <c r="O1015" s="9" t="n"/>
      <c r="P1015" s="9" t="n"/>
      <c r="Q1015" s="9" t="n"/>
    </row>
    <row r="1016">
      <c r="A1016" s="9" t="n"/>
      <c r="B1016" s="70" t="n"/>
      <c r="C1016" s="9" t="n"/>
      <c r="D1016" s="9" t="n"/>
      <c r="E1016" s="9" t="n"/>
      <c r="F1016" s="9" t="n"/>
      <c r="G1016" s="9" t="n"/>
      <c r="H1016" s="71" t="n"/>
      <c r="I1016" s="9" t="n"/>
      <c r="J1016" s="89">
        <f>IF(H1016="","",IF(I1016="Sí",ROUND(H1016*Configuracion!$B$11,0),0))</f>
        <v/>
      </c>
      <c r="K1016" s="89">
        <f>IF(H1016="","",H1016+J1016)</f>
        <v/>
      </c>
      <c r="L1016" s="13">
        <f>IF(B1016="","",YEAR(B1016))</f>
        <v/>
      </c>
      <c r="M1016" s="13">
        <f>IF(B1016="","",MONTH(B1016))</f>
        <v/>
      </c>
      <c r="N1016" s="9" t="n"/>
      <c r="O1016" s="9" t="n"/>
      <c r="P1016" s="9" t="n"/>
      <c r="Q1016" s="9" t="n"/>
    </row>
    <row r="1017">
      <c r="A1017" s="9" t="n"/>
      <c r="B1017" s="70" t="n"/>
      <c r="C1017" s="9" t="n"/>
      <c r="D1017" s="9" t="n"/>
      <c r="E1017" s="9" t="n"/>
      <c r="F1017" s="9" t="n"/>
      <c r="G1017" s="9" t="n"/>
      <c r="H1017" s="71" t="n"/>
      <c r="I1017" s="9" t="n"/>
      <c r="J1017" s="89">
        <f>IF(H1017="","",IF(I1017="Sí",ROUND(H1017*Configuracion!$B$11,0),0))</f>
        <v/>
      </c>
      <c r="K1017" s="89">
        <f>IF(H1017="","",H1017+J1017)</f>
        <v/>
      </c>
      <c r="L1017" s="13">
        <f>IF(B1017="","",YEAR(B1017))</f>
        <v/>
      </c>
      <c r="M1017" s="13">
        <f>IF(B1017="","",MONTH(B1017))</f>
        <v/>
      </c>
      <c r="N1017" s="9" t="n"/>
      <c r="O1017" s="9" t="n"/>
      <c r="P1017" s="9" t="n"/>
      <c r="Q1017" s="9" t="n"/>
    </row>
    <row r="1018">
      <c r="A1018" s="9" t="n"/>
      <c r="B1018" s="70" t="n"/>
      <c r="C1018" s="9" t="n"/>
      <c r="D1018" s="9" t="n"/>
      <c r="E1018" s="9" t="n"/>
      <c r="F1018" s="9" t="n"/>
      <c r="G1018" s="9" t="n"/>
      <c r="H1018" s="71" t="n"/>
      <c r="I1018" s="9" t="n"/>
      <c r="J1018" s="89">
        <f>IF(H1018="","",IF(I1018="Sí",ROUND(H1018*Configuracion!$B$11,0),0))</f>
        <v/>
      </c>
      <c r="K1018" s="89">
        <f>IF(H1018="","",H1018+J1018)</f>
        <v/>
      </c>
      <c r="L1018" s="13">
        <f>IF(B1018="","",YEAR(B1018))</f>
        <v/>
      </c>
      <c r="M1018" s="13">
        <f>IF(B1018="","",MONTH(B1018))</f>
        <v/>
      </c>
      <c r="N1018" s="9" t="n"/>
      <c r="O1018" s="9" t="n"/>
      <c r="P1018" s="9" t="n"/>
      <c r="Q1018" s="9" t="n"/>
    </row>
    <row r="1019">
      <c r="A1019" s="9" t="n"/>
      <c r="B1019" s="70" t="n"/>
      <c r="C1019" s="9" t="n"/>
      <c r="D1019" s="9" t="n"/>
      <c r="E1019" s="9" t="n"/>
      <c r="F1019" s="9" t="n"/>
      <c r="G1019" s="9" t="n"/>
      <c r="H1019" s="71" t="n"/>
      <c r="I1019" s="9" t="n"/>
      <c r="J1019" s="89">
        <f>IF(H1019="","",IF(I1019="Sí",ROUND(H1019*Configuracion!$B$11,0),0))</f>
        <v/>
      </c>
      <c r="K1019" s="89">
        <f>IF(H1019="","",H1019+J1019)</f>
        <v/>
      </c>
      <c r="L1019" s="13">
        <f>IF(B1019="","",YEAR(B1019))</f>
        <v/>
      </c>
      <c r="M1019" s="13">
        <f>IF(B1019="","",MONTH(B1019))</f>
        <v/>
      </c>
      <c r="N1019" s="9" t="n"/>
      <c r="O1019" s="9" t="n"/>
      <c r="P1019" s="9" t="n"/>
      <c r="Q1019" s="9" t="n"/>
    </row>
    <row r="1020">
      <c r="A1020" s="9" t="n"/>
      <c r="B1020" s="70" t="n"/>
      <c r="C1020" s="9" t="n"/>
      <c r="D1020" s="9" t="n"/>
      <c r="E1020" s="9" t="n"/>
      <c r="F1020" s="9" t="n"/>
      <c r="G1020" s="9" t="n"/>
      <c r="H1020" s="71" t="n"/>
      <c r="I1020" s="9" t="n"/>
      <c r="J1020" s="89">
        <f>IF(H1020="","",IF(I1020="Sí",ROUND(H1020*Configuracion!$B$11,0),0))</f>
        <v/>
      </c>
      <c r="K1020" s="89">
        <f>IF(H1020="","",H1020+J1020)</f>
        <v/>
      </c>
      <c r="L1020" s="13">
        <f>IF(B1020="","",YEAR(B1020))</f>
        <v/>
      </c>
      <c r="M1020" s="13">
        <f>IF(B1020="","",MONTH(B1020))</f>
        <v/>
      </c>
      <c r="N1020" s="9" t="n"/>
      <c r="O1020" s="9" t="n"/>
      <c r="P1020" s="9" t="n"/>
      <c r="Q1020" s="9" t="n"/>
    </row>
    <row r="1021">
      <c r="A1021" s="9" t="n"/>
      <c r="B1021" s="70" t="n"/>
      <c r="C1021" s="9" t="n"/>
      <c r="D1021" s="9" t="n"/>
      <c r="E1021" s="9" t="n"/>
      <c r="F1021" s="9" t="n"/>
      <c r="G1021" s="9" t="n"/>
      <c r="H1021" s="71" t="n"/>
      <c r="I1021" s="9" t="n"/>
      <c r="J1021" s="89">
        <f>IF(H1021="","",IF(I1021="Sí",ROUND(H1021*Configuracion!$B$11,0),0))</f>
        <v/>
      </c>
      <c r="K1021" s="89">
        <f>IF(H1021="","",H1021+J1021)</f>
        <v/>
      </c>
      <c r="L1021" s="13">
        <f>IF(B1021="","",YEAR(B1021))</f>
        <v/>
      </c>
      <c r="M1021" s="13">
        <f>IF(B1021="","",MONTH(B1021))</f>
        <v/>
      </c>
      <c r="N1021" s="9" t="n"/>
      <c r="O1021" s="9" t="n"/>
      <c r="P1021" s="9" t="n"/>
      <c r="Q1021" s="9" t="n"/>
    </row>
    <row r="1022">
      <c r="A1022" s="9" t="n"/>
      <c r="B1022" s="70" t="n"/>
      <c r="C1022" s="9" t="n"/>
      <c r="D1022" s="9" t="n"/>
      <c r="E1022" s="9" t="n"/>
      <c r="F1022" s="9" t="n"/>
      <c r="G1022" s="9" t="n"/>
      <c r="H1022" s="71" t="n"/>
      <c r="I1022" s="9" t="n"/>
      <c r="J1022" s="89">
        <f>IF(H1022="","",IF(I1022="Sí",ROUND(H1022*Configuracion!$B$11,0),0))</f>
        <v/>
      </c>
      <c r="K1022" s="89">
        <f>IF(H1022="","",H1022+J1022)</f>
        <v/>
      </c>
      <c r="L1022" s="13">
        <f>IF(B1022="","",YEAR(B1022))</f>
        <v/>
      </c>
      <c r="M1022" s="13">
        <f>IF(B1022="","",MONTH(B1022))</f>
        <v/>
      </c>
      <c r="N1022" s="9" t="n"/>
      <c r="O1022" s="9" t="n"/>
      <c r="P1022" s="9" t="n"/>
      <c r="Q1022" s="9" t="n"/>
    </row>
    <row r="1023">
      <c r="A1023" s="9" t="n"/>
      <c r="B1023" s="70" t="n"/>
      <c r="C1023" s="9" t="n"/>
      <c r="D1023" s="9" t="n"/>
      <c r="E1023" s="9" t="n"/>
      <c r="F1023" s="9" t="n"/>
      <c r="G1023" s="9" t="n"/>
      <c r="H1023" s="71" t="n"/>
      <c r="I1023" s="9" t="n"/>
      <c r="J1023" s="89">
        <f>IF(H1023="","",IF(I1023="Sí",ROUND(H1023*Configuracion!$B$11,0),0))</f>
        <v/>
      </c>
      <c r="K1023" s="89">
        <f>IF(H1023="","",H1023+J1023)</f>
        <v/>
      </c>
      <c r="L1023" s="13">
        <f>IF(B1023="","",YEAR(B1023))</f>
        <v/>
      </c>
      <c r="M1023" s="13">
        <f>IF(B1023="","",MONTH(B1023))</f>
        <v/>
      </c>
      <c r="N1023" s="9" t="n"/>
      <c r="O1023" s="9" t="n"/>
      <c r="P1023" s="9" t="n"/>
      <c r="Q1023" s="9" t="n"/>
    </row>
    <row r="1024">
      <c r="A1024" s="9" t="n"/>
      <c r="B1024" s="70" t="n"/>
      <c r="C1024" s="9" t="n"/>
      <c r="D1024" s="9" t="n"/>
      <c r="E1024" s="9" t="n"/>
      <c r="F1024" s="9" t="n"/>
      <c r="G1024" s="9" t="n"/>
      <c r="H1024" s="71" t="n"/>
      <c r="I1024" s="9" t="n"/>
      <c r="J1024" s="89">
        <f>IF(H1024="","",IF(I1024="Sí",ROUND(H1024*Configuracion!$B$11,0),0))</f>
        <v/>
      </c>
      <c r="K1024" s="89">
        <f>IF(H1024="","",H1024+J1024)</f>
        <v/>
      </c>
      <c r="L1024" s="13">
        <f>IF(B1024="","",YEAR(B1024))</f>
        <v/>
      </c>
      <c r="M1024" s="13">
        <f>IF(B1024="","",MONTH(B1024))</f>
        <v/>
      </c>
      <c r="N1024" s="9" t="n"/>
      <c r="O1024" s="9" t="n"/>
      <c r="P1024" s="9" t="n"/>
      <c r="Q1024" s="9" t="n"/>
    </row>
    <row r="1025">
      <c r="A1025" s="9" t="n"/>
      <c r="B1025" s="70" t="n"/>
      <c r="C1025" s="9" t="n"/>
      <c r="D1025" s="9" t="n"/>
      <c r="E1025" s="9" t="n"/>
      <c r="F1025" s="9" t="n"/>
      <c r="G1025" s="9" t="n"/>
      <c r="H1025" s="71" t="n"/>
      <c r="I1025" s="9" t="n"/>
      <c r="J1025" s="89">
        <f>IF(H1025="","",IF(I1025="Sí",ROUND(H1025*Configuracion!$B$11,0),0))</f>
        <v/>
      </c>
      <c r="K1025" s="89">
        <f>IF(H1025="","",H1025+J1025)</f>
        <v/>
      </c>
      <c r="L1025" s="13">
        <f>IF(B1025="","",YEAR(B1025))</f>
        <v/>
      </c>
      <c r="M1025" s="13">
        <f>IF(B1025="","",MONTH(B1025))</f>
        <v/>
      </c>
      <c r="N1025" s="9" t="n"/>
      <c r="O1025" s="9" t="n"/>
      <c r="P1025" s="9" t="n"/>
      <c r="Q1025" s="9" t="n"/>
    </row>
    <row r="1026">
      <c r="A1026" s="9" t="n"/>
      <c r="B1026" s="70" t="n"/>
      <c r="C1026" s="9" t="n"/>
      <c r="D1026" s="9" t="n"/>
      <c r="E1026" s="9" t="n"/>
      <c r="F1026" s="9" t="n"/>
      <c r="G1026" s="9" t="n"/>
      <c r="H1026" s="71" t="n"/>
      <c r="I1026" s="9" t="n"/>
      <c r="J1026" s="89">
        <f>IF(H1026="","",IF(I1026="Sí",ROUND(H1026*Configuracion!$B$11,0),0))</f>
        <v/>
      </c>
      <c r="K1026" s="89">
        <f>IF(H1026="","",H1026+J1026)</f>
        <v/>
      </c>
      <c r="L1026" s="13">
        <f>IF(B1026="","",YEAR(B1026))</f>
        <v/>
      </c>
      <c r="M1026" s="13">
        <f>IF(B1026="","",MONTH(B1026))</f>
        <v/>
      </c>
      <c r="N1026" s="9" t="n"/>
      <c r="O1026" s="9" t="n"/>
      <c r="P1026" s="9" t="n"/>
      <c r="Q1026" s="9" t="n"/>
    </row>
    <row r="1027">
      <c r="A1027" s="9" t="n"/>
      <c r="B1027" s="70" t="n"/>
      <c r="C1027" s="9" t="n"/>
      <c r="D1027" s="9" t="n"/>
      <c r="E1027" s="9" t="n"/>
      <c r="F1027" s="9" t="n"/>
      <c r="G1027" s="9" t="n"/>
      <c r="H1027" s="71" t="n"/>
      <c r="I1027" s="9" t="n"/>
      <c r="J1027" s="89">
        <f>IF(H1027="","",IF(I1027="Sí",ROUND(H1027*Configuracion!$B$11,0),0))</f>
        <v/>
      </c>
      <c r="K1027" s="89">
        <f>IF(H1027="","",H1027+J1027)</f>
        <v/>
      </c>
      <c r="L1027" s="13">
        <f>IF(B1027="","",YEAR(B1027))</f>
        <v/>
      </c>
      <c r="M1027" s="13">
        <f>IF(B1027="","",MONTH(B1027))</f>
        <v/>
      </c>
      <c r="N1027" s="9" t="n"/>
      <c r="O1027" s="9" t="n"/>
      <c r="P1027" s="9" t="n"/>
      <c r="Q1027" s="9" t="n"/>
    </row>
    <row r="1028">
      <c r="A1028" s="9" t="n"/>
      <c r="B1028" s="70" t="n"/>
      <c r="C1028" s="9" t="n"/>
      <c r="D1028" s="9" t="n"/>
      <c r="E1028" s="9" t="n"/>
      <c r="F1028" s="9" t="n"/>
      <c r="G1028" s="9" t="n"/>
      <c r="H1028" s="71" t="n"/>
      <c r="I1028" s="9" t="n"/>
      <c r="J1028" s="89">
        <f>IF(H1028="","",IF(I1028="Sí",ROUND(H1028*Configuracion!$B$11,0),0))</f>
        <v/>
      </c>
      <c r="K1028" s="89">
        <f>IF(H1028="","",H1028+J1028)</f>
        <v/>
      </c>
      <c r="L1028" s="13">
        <f>IF(B1028="","",YEAR(B1028))</f>
        <v/>
      </c>
      <c r="M1028" s="13">
        <f>IF(B1028="","",MONTH(B1028))</f>
        <v/>
      </c>
      <c r="N1028" s="9" t="n"/>
      <c r="O1028" s="9" t="n"/>
      <c r="P1028" s="9" t="n"/>
      <c r="Q1028" s="9" t="n"/>
    </row>
    <row r="1029">
      <c r="A1029" s="9" t="n"/>
      <c r="B1029" s="70" t="n"/>
      <c r="C1029" s="9" t="n"/>
      <c r="D1029" s="9" t="n"/>
      <c r="E1029" s="9" t="n"/>
      <c r="F1029" s="9" t="n"/>
      <c r="G1029" s="9" t="n"/>
      <c r="H1029" s="71" t="n"/>
      <c r="I1029" s="9" t="n"/>
      <c r="J1029" s="89">
        <f>IF(H1029="","",IF(I1029="Sí",ROUND(H1029*Configuracion!$B$11,0),0))</f>
        <v/>
      </c>
      <c r="K1029" s="89">
        <f>IF(H1029="","",H1029+J1029)</f>
        <v/>
      </c>
      <c r="L1029" s="13">
        <f>IF(B1029="","",YEAR(B1029))</f>
        <v/>
      </c>
      <c r="M1029" s="13">
        <f>IF(B1029="","",MONTH(B1029))</f>
        <v/>
      </c>
      <c r="N1029" s="9" t="n"/>
      <c r="O1029" s="9" t="n"/>
      <c r="P1029" s="9" t="n"/>
      <c r="Q1029" s="9" t="n"/>
    </row>
    <row r="1030">
      <c r="A1030" s="9" t="n"/>
      <c r="B1030" s="70" t="n"/>
      <c r="C1030" s="9" t="n"/>
      <c r="D1030" s="9" t="n"/>
      <c r="E1030" s="9" t="n"/>
      <c r="F1030" s="9" t="n"/>
      <c r="G1030" s="9" t="n"/>
      <c r="H1030" s="71" t="n"/>
      <c r="I1030" s="9" t="n"/>
      <c r="J1030" s="89">
        <f>IF(H1030="","",IF(I1030="Sí",ROUND(H1030*Configuracion!$B$11,0),0))</f>
        <v/>
      </c>
      <c r="K1030" s="89">
        <f>IF(H1030="","",H1030+J1030)</f>
        <v/>
      </c>
      <c r="L1030" s="13">
        <f>IF(B1030="","",YEAR(B1030))</f>
        <v/>
      </c>
      <c r="M1030" s="13">
        <f>IF(B1030="","",MONTH(B1030))</f>
        <v/>
      </c>
      <c r="N1030" s="9" t="n"/>
      <c r="O1030" s="9" t="n"/>
      <c r="P1030" s="9" t="n"/>
      <c r="Q1030" s="9" t="n"/>
    </row>
    <row r="1031">
      <c r="A1031" s="9" t="n"/>
      <c r="B1031" s="70" t="n"/>
      <c r="C1031" s="9" t="n"/>
      <c r="D1031" s="9" t="n"/>
      <c r="E1031" s="9" t="n"/>
      <c r="F1031" s="9" t="n"/>
      <c r="G1031" s="9" t="n"/>
      <c r="H1031" s="71" t="n"/>
      <c r="I1031" s="9" t="n"/>
      <c r="J1031" s="89">
        <f>IF(H1031="","",IF(I1031="Sí",ROUND(H1031*Configuracion!$B$11,0),0))</f>
        <v/>
      </c>
      <c r="K1031" s="89">
        <f>IF(H1031="","",H1031+J1031)</f>
        <v/>
      </c>
      <c r="L1031" s="13">
        <f>IF(B1031="","",YEAR(B1031))</f>
        <v/>
      </c>
      <c r="M1031" s="13">
        <f>IF(B1031="","",MONTH(B1031))</f>
        <v/>
      </c>
      <c r="N1031" s="9" t="n"/>
      <c r="O1031" s="9" t="n"/>
      <c r="P1031" s="9" t="n"/>
      <c r="Q1031" s="9" t="n"/>
    </row>
    <row r="1032">
      <c r="A1032" s="9" t="n"/>
      <c r="B1032" s="70" t="n"/>
      <c r="C1032" s="9" t="n"/>
      <c r="D1032" s="9" t="n"/>
      <c r="E1032" s="9" t="n"/>
      <c r="F1032" s="9" t="n"/>
      <c r="G1032" s="9" t="n"/>
      <c r="H1032" s="71" t="n"/>
      <c r="I1032" s="9" t="n"/>
      <c r="J1032" s="89">
        <f>IF(H1032="","",IF(I1032="Sí",ROUND(H1032*Configuracion!$B$11,0),0))</f>
        <v/>
      </c>
      <c r="K1032" s="89">
        <f>IF(H1032="","",H1032+J1032)</f>
        <v/>
      </c>
      <c r="L1032" s="13">
        <f>IF(B1032="","",YEAR(B1032))</f>
        <v/>
      </c>
      <c r="M1032" s="13">
        <f>IF(B1032="","",MONTH(B1032))</f>
        <v/>
      </c>
      <c r="N1032" s="9" t="n"/>
      <c r="O1032" s="9" t="n"/>
      <c r="P1032" s="9" t="n"/>
      <c r="Q1032" s="9" t="n"/>
    </row>
    <row r="1033">
      <c r="A1033" s="9" t="n"/>
      <c r="B1033" s="70" t="n"/>
      <c r="C1033" s="9" t="n"/>
      <c r="D1033" s="9" t="n"/>
      <c r="E1033" s="9" t="n"/>
      <c r="F1033" s="9" t="n"/>
      <c r="G1033" s="9" t="n"/>
      <c r="H1033" s="71" t="n"/>
      <c r="I1033" s="9" t="n"/>
      <c r="J1033" s="89">
        <f>IF(H1033="","",IF(I1033="Sí",ROUND(H1033*Configuracion!$B$11,0),0))</f>
        <v/>
      </c>
      <c r="K1033" s="89">
        <f>IF(H1033="","",H1033+J1033)</f>
        <v/>
      </c>
      <c r="L1033" s="13">
        <f>IF(B1033="","",YEAR(B1033))</f>
        <v/>
      </c>
      <c r="M1033" s="13">
        <f>IF(B1033="","",MONTH(B1033))</f>
        <v/>
      </c>
      <c r="N1033" s="9" t="n"/>
      <c r="O1033" s="9" t="n"/>
      <c r="P1033" s="9" t="n"/>
      <c r="Q1033" s="9" t="n"/>
    </row>
    <row r="1034">
      <c r="A1034" s="9" t="n"/>
      <c r="B1034" s="70" t="n"/>
      <c r="C1034" s="9" t="n"/>
      <c r="D1034" s="9" t="n"/>
      <c r="E1034" s="9" t="n"/>
      <c r="F1034" s="9" t="n"/>
      <c r="G1034" s="9" t="n"/>
      <c r="H1034" s="71" t="n"/>
      <c r="I1034" s="9" t="n"/>
      <c r="J1034" s="89">
        <f>IF(H1034="","",IF(I1034="Sí",ROUND(H1034*Configuracion!$B$11,0),0))</f>
        <v/>
      </c>
      <c r="K1034" s="89">
        <f>IF(H1034="","",H1034+J1034)</f>
        <v/>
      </c>
      <c r="L1034" s="13">
        <f>IF(B1034="","",YEAR(B1034))</f>
        <v/>
      </c>
      <c r="M1034" s="13">
        <f>IF(B1034="","",MONTH(B1034))</f>
        <v/>
      </c>
      <c r="N1034" s="9" t="n"/>
      <c r="O1034" s="9" t="n"/>
      <c r="P1034" s="9" t="n"/>
      <c r="Q1034" s="9" t="n"/>
    </row>
    <row r="1035">
      <c r="A1035" s="9" t="n"/>
      <c r="B1035" s="70" t="n"/>
      <c r="C1035" s="9" t="n"/>
      <c r="D1035" s="9" t="n"/>
      <c r="E1035" s="9" t="n"/>
      <c r="F1035" s="9" t="n"/>
      <c r="G1035" s="9" t="n"/>
      <c r="H1035" s="71" t="n"/>
      <c r="I1035" s="9" t="n"/>
      <c r="J1035" s="89">
        <f>IF(H1035="","",IF(I1035="Sí",ROUND(H1035*Configuracion!$B$11,0),0))</f>
        <v/>
      </c>
      <c r="K1035" s="89">
        <f>IF(H1035="","",H1035+J1035)</f>
        <v/>
      </c>
      <c r="L1035" s="13">
        <f>IF(B1035="","",YEAR(B1035))</f>
        <v/>
      </c>
      <c r="M1035" s="13">
        <f>IF(B1035="","",MONTH(B1035))</f>
        <v/>
      </c>
      <c r="N1035" s="9" t="n"/>
      <c r="O1035" s="9" t="n"/>
      <c r="P1035" s="9" t="n"/>
      <c r="Q1035" s="9" t="n"/>
    </row>
    <row r="1036">
      <c r="A1036" s="9" t="n"/>
      <c r="B1036" s="70" t="n"/>
      <c r="C1036" s="9" t="n"/>
      <c r="D1036" s="9" t="n"/>
      <c r="E1036" s="9" t="n"/>
      <c r="F1036" s="9" t="n"/>
      <c r="G1036" s="9" t="n"/>
      <c r="H1036" s="71" t="n"/>
      <c r="I1036" s="9" t="n"/>
      <c r="J1036" s="89">
        <f>IF(H1036="","",IF(I1036="Sí",ROUND(H1036*Configuracion!$B$11,0),0))</f>
        <v/>
      </c>
      <c r="K1036" s="89">
        <f>IF(H1036="","",H1036+J1036)</f>
        <v/>
      </c>
      <c r="L1036" s="13">
        <f>IF(B1036="","",YEAR(B1036))</f>
        <v/>
      </c>
      <c r="M1036" s="13">
        <f>IF(B1036="","",MONTH(B1036))</f>
        <v/>
      </c>
      <c r="N1036" s="9" t="n"/>
      <c r="O1036" s="9" t="n"/>
      <c r="P1036" s="9" t="n"/>
      <c r="Q1036" s="9" t="n"/>
    </row>
    <row r="1037">
      <c r="A1037" s="9" t="n"/>
      <c r="B1037" s="70" t="n"/>
      <c r="C1037" s="9" t="n"/>
      <c r="D1037" s="9" t="n"/>
      <c r="E1037" s="9" t="n"/>
      <c r="F1037" s="9" t="n"/>
      <c r="G1037" s="9" t="n"/>
      <c r="H1037" s="71" t="n"/>
      <c r="I1037" s="9" t="n"/>
      <c r="J1037" s="89">
        <f>IF(H1037="","",IF(I1037="Sí",ROUND(H1037*Configuracion!$B$11,0),0))</f>
        <v/>
      </c>
      <c r="K1037" s="89">
        <f>IF(H1037="","",H1037+J1037)</f>
        <v/>
      </c>
      <c r="L1037" s="13">
        <f>IF(B1037="","",YEAR(B1037))</f>
        <v/>
      </c>
      <c r="M1037" s="13">
        <f>IF(B1037="","",MONTH(B1037))</f>
        <v/>
      </c>
      <c r="N1037" s="9" t="n"/>
      <c r="O1037" s="9" t="n"/>
      <c r="P1037" s="9" t="n"/>
      <c r="Q1037" s="9" t="n"/>
    </row>
    <row r="1038">
      <c r="A1038" s="9" t="n"/>
      <c r="B1038" s="70" t="n"/>
      <c r="C1038" s="9" t="n"/>
      <c r="D1038" s="9" t="n"/>
      <c r="E1038" s="9" t="n"/>
      <c r="F1038" s="9" t="n"/>
      <c r="G1038" s="9" t="n"/>
      <c r="H1038" s="71" t="n"/>
      <c r="I1038" s="9" t="n"/>
      <c r="J1038" s="89">
        <f>IF(H1038="","",IF(I1038="Sí",ROUND(H1038*Configuracion!$B$11,0),0))</f>
        <v/>
      </c>
      <c r="K1038" s="89">
        <f>IF(H1038="","",H1038+J1038)</f>
        <v/>
      </c>
      <c r="L1038" s="13">
        <f>IF(B1038="","",YEAR(B1038))</f>
        <v/>
      </c>
      <c r="M1038" s="13">
        <f>IF(B1038="","",MONTH(B1038))</f>
        <v/>
      </c>
      <c r="N1038" s="9" t="n"/>
      <c r="O1038" s="9" t="n"/>
      <c r="P1038" s="9" t="n"/>
      <c r="Q1038" s="9" t="n"/>
    </row>
    <row r="1039">
      <c r="A1039" s="9" t="n"/>
      <c r="B1039" s="70" t="n"/>
      <c r="C1039" s="9" t="n"/>
      <c r="D1039" s="9" t="n"/>
      <c r="E1039" s="9" t="n"/>
      <c r="F1039" s="9" t="n"/>
      <c r="G1039" s="9" t="n"/>
      <c r="H1039" s="71" t="n"/>
      <c r="I1039" s="9" t="n"/>
      <c r="J1039" s="89">
        <f>IF(H1039="","",IF(I1039="Sí",ROUND(H1039*Configuracion!$B$11,0),0))</f>
        <v/>
      </c>
      <c r="K1039" s="89">
        <f>IF(H1039="","",H1039+J1039)</f>
        <v/>
      </c>
      <c r="L1039" s="13">
        <f>IF(B1039="","",YEAR(B1039))</f>
        <v/>
      </c>
      <c r="M1039" s="13">
        <f>IF(B1039="","",MONTH(B1039))</f>
        <v/>
      </c>
      <c r="N1039" s="9" t="n"/>
      <c r="O1039" s="9" t="n"/>
      <c r="P1039" s="9" t="n"/>
      <c r="Q1039" s="9" t="n"/>
    </row>
    <row r="1040">
      <c r="A1040" s="9" t="n"/>
      <c r="B1040" s="70" t="n"/>
      <c r="C1040" s="9" t="n"/>
      <c r="D1040" s="9" t="n"/>
      <c r="E1040" s="9" t="n"/>
      <c r="F1040" s="9" t="n"/>
      <c r="G1040" s="9" t="n"/>
      <c r="H1040" s="71" t="n"/>
      <c r="I1040" s="9" t="n"/>
      <c r="J1040" s="89">
        <f>IF(H1040="","",IF(I1040="Sí",ROUND(H1040*Configuracion!$B$11,0),0))</f>
        <v/>
      </c>
      <c r="K1040" s="89">
        <f>IF(H1040="","",H1040+J1040)</f>
        <v/>
      </c>
      <c r="L1040" s="13">
        <f>IF(B1040="","",YEAR(B1040))</f>
        <v/>
      </c>
      <c r="M1040" s="13">
        <f>IF(B1040="","",MONTH(B1040))</f>
        <v/>
      </c>
      <c r="N1040" s="9" t="n"/>
      <c r="O1040" s="9" t="n"/>
      <c r="P1040" s="9" t="n"/>
      <c r="Q1040" s="9" t="n"/>
    </row>
    <row r="1041">
      <c r="A1041" s="9" t="n"/>
      <c r="B1041" s="70" t="n"/>
      <c r="C1041" s="9" t="n"/>
      <c r="D1041" s="9" t="n"/>
      <c r="E1041" s="9" t="n"/>
      <c r="F1041" s="9" t="n"/>
      <c r="G1041" s="9" t="n"/>
      <c r="H1041" s="71" t="n"/>
      <c r="I1041" s="9" t="n"/>
      <c r="J1041" s="89">
        <f>IF(H1041="","",IF(I1041="Sí",ROUND(H1041*Configuracion!$B$11,0),0))</f>
        <v/>
      </c>
      <c r="K1041" s="89">
        <f>IF(H1041="","",H1041+J1041)</f>
        <v/>
      </c>
      <c r="L1041" s="13">
        <f>IF(B1041="","",YEAR(B1041))</f>
        <v/>
      </c>
      <c r="M1041" s="13">
        <f>IF(B1041="","",MONTH(B1041))</f>
        <v/>
      </c>
      <c r="N1041" s="9" t="n"/>
      <c r="O1041" s="9" t="n"/>
      <c r="P1041" s="9" t="n"/>
      <c r="Q1041" s="9" t="n"/>
    </row>
    <row r="1042">
      <c r="A1042" s="9" t="n"/>
      <c r="B1042" s="70" t="n"/>
      <c r="C1042" s="9" t="n"/>
      <c r="D1042" s="9" t="n"/>
      <c r="E1042" s="9" t="n"/>
      <c r="F1042" s="9" t="n"/>
      <c r="G1042" s="9" t="n"/>
      <c r="H1042" s="71" t="n"/>
      <c r="I1042" s="9" t="n"/>
      <c r="J1042" s="89">
        <f>IF(H1042="","",IF(I1042="Sí",ROUND(H1042*Configuracion!$B$11,0),0))</f>
        <v/>
      </c>
      <c r="K1042" s="89">
        <f>IF(H1042="","",H1042+J1042)</f>
        <v/>
      </c>
      <c r="L1042" s="13">
        <f>IF(B1042="","",YEAR(B1042))</f>
        <v/>
      </c>
      <c r="M1042" s="13">
        <f>IF(B1042="","",MONTH(B1042))</f>
        <v/>
      </c>
      <c r="N1042" s="9" t="n"/>
      <c r="O1042" s="9" t="n"/>
      <c r="P1042" s="9" t="n"/>
      <c r="Q1042" s="9" t="n"/>
    </row>
    <row r="1043">
      <c r="A1043" s="9" t="n"/>
      <c r="B1043" s="70" t="n"/>
      <c r="C1043" s="9" t="n"/>
      <c r="D1043" s="9" t="n"/>
      <c r="E1043" s="9" t="n"/>
      <c r="F1043" s="9" t="n"/>
      <c r="G1043" s="9" t="n"/>
      <c r="H1043" s="71" t="n"/>
      <c r="I1043" s="9" t="n"/>
      <c r="J1043" s="89">
        <f>IF(H1043="","",IF(I1043="Sí",ROUND(H1043*Configuracion!$B$11,0),0))</f>
        <v/>
      </c>
      <c r="K1043" s="89">
        <f>IF(H1043="","",H1043+J1043)</f>
        <v/>
      </c>
      <c r="L1043" s="13">
        <f>IF(B1043="","",YEAR(B1043))</f>
        <v/>
      </c>
      <c r="M1043" s="13">
        <f>IF(B1043="","",MONTH(B1043))</f>
        <v/>
      </c>
      <c r="N1043" s="9" t="n"/>
      <c r="O1043" s="9" t="n"/>
      <c r="P1043" s="9" t="n"/>
      <c r="Q1043" s="9" t="n"/>
    </row>
    <row r="1044">
      <c r="A1044" s="9" t="n"/>
      <c r="B1044" s="70" t="n"/>
      <c r="C1044" s="9" t="n"/>
      <c r="D1044" s="9" t="n"/>
      <c r="E1044" s="9" t="n"/>
      <c r="F1044" s="9" t="n"/>
      <c r="G1044" s="9" t="n"/>
      <c r="H1044" s="71" t="n"/>
      <c r="I1044" s="9" t="n"/>
      <c r="J1044" s="89">
        <f>IF(H1044="","",IF(I1044="Sí",ROUND(H1044*Configuracion!$B$11,0),0))</f>
        <v/>
      </c>
      <c r="K1044" s="89">
        <f>IF(H1044="","",H1044+J1044)</f>
        <v/>
      </c>
      <c r="L1044" s="13">
        <f>IF(B1044="","",YEAR(B1044))</f>
        <v/>
      </c>
      <c r="M1044" s="13">
        <f>IF(B1044="","",MONTH(B1044))</f>
        <v/>
      </c>
      <c r="N1044" s="9" t="n"/>
      <c r="O1044" s="9" t="n"/>
      <c r="P1044" s="9" t="n"/>
      <c r="Q1044" s="9" t="n"/>
    </row>
    <row r="1045">
      <c r="A1045" s="9" t="n"/>
      <c r="B1045" s="70" t="n"/>
      <c r="C1045" s="9" t="n"/>
      <c r="D1045" s="9" t="n"/>
      <c r="E1045" s="9" t="n"/>
      <c r="F1045" s="9" t="n"/>
      <c r="G1045" s="9" t="n"/>
      <c r="H1045" s="71" t="n"/>
      <c r="I1045" s="9" t="n"/>
      <c r="J1045" s="89">
        <f>IF(H1045="","",IF(I1045="Sí",ROUND(H1045*Configuracion!$B$11,0),0))</f>
        <v/>
      </c>
      <c r="K1045" s="89">
        <f>IF(H1045="","",H1045+J1045)</f>
        <v/>
      </c>
      <c r="L1045" s="13">
        <f>IF(B1045="","",YEAR(B1045))</f>
        <v/>
      </c>
      <c r="M1045" s="13">
        <f>IF(B1045="","",MONTH(B1045))</f>
        <v/>
      </c>
      <c r="N1045" s="9" t="n"/>
      <c r="O1045" s="9" t="n"/>
      <c r="P1045" s="9" t="n"/>
      <c r="Q1045" s="9" t="n"/>
    </row>
    <row r="1046">
      <c r="A1046" s="9" t="n"/>
      <c r="B1046" s="70" t="n"/>
      <c r="C1046" s="9" t="n"/>
      <c r="D1046" s="9" t="n"/>
      <c r="E1046" s="9" t="n"/>
      <c r="F1046" s="9" t="n"/>
      <c r="G1046" s="9" t="n"/>
      <c r="H1046" s="71" t="n"/>
      <c r="I1046" s="9" t="n"/>
      <c r="J1046" s="89">
        <f>IF(H1046="","",IF(I1046="Sí",ROUND(H1046*Configuracion!$B$11,0),0))</f>
        <v/>
      </c>
      <c r="K1046" s="89">
        <f>IF(H1046="","",H1046+J1046)</f>
        <v/>
      </c>
      <c r="L1046" s="13">
        <f>IF(B1046="","",YEAR(B1046))</f>
        <v/>
      </c>
      <c r="M1046" s="13">
        <f>IF(B1046="","",MONTH(B1046))</f>
        <v/>
      </c>
      <c r="N1046" s="9" t="n"/>
      <c r="O1046" s="9" t="n"/>
      <c r="P1046" s="9" t="n"/>
      <c r="Q1046" s="9" t="n"/>
    </row>
    <row r="1047">
      <c r="A1047" s="9" t="n"/>
      <c r="B1047" s="70" t="n"/>
      <c r="C1047" s="9" t="n"/>
      <c r="D1047" s="9" t="n"/>
      <c r="E1047" s="9" t="n"/>
      <c r="F1047" s="9" t="n"/>
      <c r="G1047" s="9" t="n"/>
      <c r="H1047" s="71" t="n"/>
      <c r="I1047" s="9" t="n"/>
      <c r="J1047" s="89">
        <f>IF(H1047="","",IF(I1047="Sí",ROUND(H1047*Configuracion!$B$11,0),0))</f>
        <v/>
      </c>
      <c r="K1047" s="89">
        <f>IF(H1047="","",H1047+J1047)</f>
        <v/>
      </c>
      <c r="L1047" s="13">
        <f>IF(B1047="","",YEAR(B1047))</f>
        <v/>
      </c>
      <c r="M1047" s="13">
        <f>IF(B1047="","",MONTH(B1047))</f>
        <v/>
      </c>
      <c r="N1047" s="9" t="n"/>
      <c r="O1047" s="9" t="n"/>
      <c r="P1047" s="9" t="n"/>
      <c r="Q1047" s="9" t="n"/>
    </row>
    <row r="1048">
      <c r="A1048" s="9" t="n"/>
      <c r="B1048" s="70" t="n"/>
      <c r="C1048" s="9" t="n"/>
      <c r="D1048" s="9" t="n"/>
      <c r="E1048" s="9" t="n"/>
      <c r="F1048" s="9" t="n"/>
      <c r="G1048" s="9" t="n"/>
      <c r="H1048" s="71" t="n"/>
      <c r="I1048" s="9" t="n"/>
      <c r="J1048" s="89">
        <f>IF(H1048="","",IF(I1048="Sí",ROUND(H1048*Configuracion!$B$11,0),0))</f>
        <v/>
      </c>
      <c r="K1048" s="89">
        <f>IF(H1048="","",H1048+J1048)</f>
        <v/>
      </c>
      <c r="L1048" s="13">
        <f>IF(B1048="","",YEAR(B1048))</f>
        <v/>
      </c>
      <c r="M1048" s="13">
        <f>IF(B1048="","",MONTH(B1048))</f>
        <v/>
      </c>
      <c r="N1048" s="9" t="n"/>
      <c r="O1048" s="9" t="n"/>
      <c r="P1048" s="9" t="n"/>
      <c r="Q1048" s="9" t="n"/>
    </row>
    <row r="1049">
      <c r="A1049" s="9" t="n"/>
      <c r="B1049" s="70" t="n"/>
      <c r="C1049" s="9" t="n"/>
      <c r="D1049" s="9" t="n"/>
      <c r="E1049" s="9" t="n"/>
      <c r="F1049" s="9" t="n"/>
      <c r="G1049" s="9" t="n"/>
      <c r="H1049" s="71" t="n"/>
      <c r="I1049" s="9" t="n"/>
      <c r="J1049" s="89">
        <f>IF(H1049="","",IF(I1049="Sí",ROUND(H1049*Configuracion!$B$11,0),0))</f>
        <v/>
      </c>
      <c r="K1049" s="89">
        <f>IF(H1049="","",H1049+J1049)</f>
        <v/>
      </c>
      <c r="L1049" s="13">
        <f>IF(B1049="","",YEAR(B1049))</f>
        <v/>
      </c>
      <c r="M1049" s="13">
        <f>IF(B1049="","",MONTH(B1049))</f>
        <v/>
      </c>
      <c r="N1049" s="9" t="n"/>
      <c r="O1049" s="9" t="n"/>
      <c r="P1049" s="9" t="n"/>
      <c r="Q1049" s="9" t="n"/>
    </row>
    <row r="1050">
      <c r="A1050" s="9" t="n"/>
      <c r="B1050" s="70" t="n"/>
      <c r="C1050" s="9" t="n"/>
      <c r="D1050" s="9" t="n"/>
      <c r="E1050" s="9" t="n"/>
      <c r="F1050" s="9" t="n"/>
      <c r="G1050" s="9" t="n"/>
      <c r="H1050" s="71" t="n"/>
      <c r="I1050" s="9" t="n"/>
      <c r="J1050" s="89">
        <f>IF(H1050="","",IF(I1050="Sí",ROUND(H1050*Configuracion!$B$11,0),0))</f>
        <v/>
      </c>
      <c r="K1050" s="89">
        <f>IF(H1050="","",H1050+J1050)</f>
        <v/>
      </c>
      <c r="L1050" s="13">
        <f>IF(B1050="","",YEAR(B1050))</f>
        <v/>
      </c>
      <c r="M1050" s="13">
        <f>IF(B1050="","",MONTH(B1050))</f>
        <v/>
      </c>
      <c r="N1050" s="9" t="n"/>
      <c r="O1050" s="9" t="n"/>
      <c r="P1050" s="9" t="n"/>
      <c r="Q1050" s="9" t="n"/>
    </row>
    <row r="1051">
      <c r="A1051" s="9" t="n"/>
      <c r="B1051" s="70" t="n"/>
      <c r="C1051" s="9" t="n"/>
      <c r="D1051" s="9" t="n"/>
      <c r="E1051" s="9" t="n"/>
      <c r="F1051" s="9" t="n"/>
      <c r="G1051" s="9" t="n"/>
      <c r="H1051" s="71" t="n"/>
      <c r="I1051" s="9" t="n"/>
      <c r="J1051" s="89">
        <f>IF(H1051="","",IF(I1051="Sí",ROUND(H1051*Configuracion!$B$11,0),0))</f>
        <v/>
      </c>
      <c r="K1051" s="89">
        <f>IF(H1051="","",H1051+J1051)</f>
        <v/>
      </c>
      <c r="L1051" s="13">
        <f>IF(B1051="","",YEAR(B1051))</f>
        <v/>
      </c>
      <c r="M1051" s="13">
        <f>IF(B1051="","",MONTH(B1051))</f>
        <v/>
      </c>
      <c r="N1051" s="9" t="n"/>
      <c r="O1051" s="9" t="n"/>
      <c r="P1051" s="9" t="n"/>
      <c r="Q1051" s="9" t="n"/>
    </row>
    <row r="1052">
      <c r="A1052" s="9" t="n"/>
      <c r="B1052" s="70" t="n"/>
      <c r="C1052" s="9" t="n"/>
      <c r="D1052" s="9" t="n"/>
      <c r="E1052" s="9" t="n"/>
      <c r="F1052" s="9" t="n"/>
      <c r="G1052" s="9" t="n"/>
      <c r="H1052" s="71" t="n"/>
      <c r="I1052" s="9" t="n"/>
      <c r="J1052" s="89">
        <f>IF(H1052="","",IF(I1052="Sí",ROUND(H1052*Configuracion!$B$11,0),0))</f>
        <v/>
      </c>
      <c r="K1052" s="89">
        <f>IF(H1052="","",H1052+J1052)</f>
        <v/>
      </c>
      <c r="L1052" s="13">
        <f>IF(B1052="","",YEAR(B1052))</f>
        <v/>
      </c>
      <c r="M1052" s="13">
        <f>IF(B1052="","",MONTH(B1052))</f>
        <v/>
      </c>
      <c r="N1052" s="9" t="n"/>
      <c r="O1052" s="9" t="n"/>
      <c r="P1052" s="9" t="n"/>
      <c r="Q1052" s="9" t="n"/>
    </row>
    <row r="1053">
      <c r="A1053" s="9" t="n"/>
      <c r="B1053" s="70" t="n"/>
      <c r="C1053" s="9" t="n"/>
      <c r="D1053" s="9" t="n"/>
      <c r="E1053" s="9" t="n"/>
      <c r="F1053" s="9" t="n"/>
      <c r="G1053" s="9" t="n"/>
      <c r="H1053" s="71" t="n"/>
      <c r="I1053" s="9" t="n"/>
      <c r="J1053" s="89">
        <f>IF(H1053="","",IF(I1053="Sí",ROUND(H1053*Configuracion!$B$11,0),0))</f>
        <v/>
      </c>
      <c r="K1053" s="89">
        <f>IF(H1053="","",H1053+J1053)</f>
        <v/>
      </c>
      <c r="L1053" s="13">
        <f>IF(B1053="","",YEAR(B1053))</f>
        <v/>
      </c>
      <c r="M1053" s="13">
        <f>IF(B1053="","",MONTH(B1053))</f>
        <v/>
      </c>
      <c r="N1053" s="9" t="n"/>
      <c r="O1053" s="9" t="n"/>
      <c r="P1053" s="9" t="n"/>
      <c r="Q1053" s="9" t="n"/>
    </row>
    <row r="1054">
      <c r="A1054" s="9" t="n"/>
      <c r="B1054" s="70" t="n"/>
      <c r="C1054" s="9" t="n"/>
      <c r="D1054" s="9" t="n"/>
      <c r="E1054" s="9" t="n"/>
      <c r="F1054" s="9" t="n"/>
      <c r="G1054" s="9" t="n"/>
      <c r="H1054" s="71" t="n"/>
      <c r="I1054" s="9" t="n"/>
      <c r="J1054" s="89">
        <f>IF(H1054="","",IF(I1054="Sí",ROUND(H1054*Configuracion!$B$11,0),0))</f>
        <v/>
      </c>
      <c r="K1054" s="89">
        <f>IF(H1054="","",H1054+J1054)</f>
        <v/>
      </c>
      <c r="L1054" s="13">
        <f>IF(B1054="","",YEAR(B1054))</f>
        <v/>
      </c>
      <c r="M1054" s="13">
        <f>IF(B1054="","",MONTH(B1054))</f>
        <v/>
      </c>
      <c r="N1054" s="9" t="n"/>
      <c r="O1054" s="9" t="n"/>
      <c r="P1054" s="9" t="n"/>
      <c r="Q1054" s="9" t="n"/>
    </row>
    <row r="1055">
      <c r="A1055" s="9" t="n"/>
      <c r="B1055" s="70" t="n"/>
      <c r="C1055" s="9" t="n"/>
      <c r="D1055" s="9" t="n"/>
      <c r="E1055" s="9" t="n"/>
      <c r="F1055" s="9" t="n"/>
      <c r="G1055" s="9" t="n"/>
      <c r="H1055" s="71" t="n"/>
      <c r="I1055" s="9" t="n"/>
      <c r="J1055" s="89">
        <f>IF(H1055="","",IF(I1055="Sí",ROUND(H1055*Configuracion!$B$11,0),0))</f>
        <v/>
      </c>
      <c r="K1055" s="89">
        <f>IF(H1055="","",H1055+J1055)</f>
        <v/>
      </c>
      <c r="L1055" s="13">
        <f>IF(B1055="","",YEAR(B1055))</f>
        <v/>
      </c>
      <c r="M1055" s="13">
        <f>IF(B1055="","",MONTH(B1055))</f>
        <v/>
      </c>
      <c r="N1055" s="9" t="n"/>
      <c r="O1055" s="9" t="n"/>
      <c r="P1055" s="9" t="n"/>
      <c r="Q1055" s="9" t="n"/>
    </row>
    <row r="1056">
      <c r="A1056" s="9" t="n"/>
      <c r="B1056" s="70" t="n"/>
      <c r="C1056" s="9" t="n"/>
      <c r="D1056" s="9" t="n"/>
      <c r="E1056" s="9" t="n"/>
      <c r="F1056" s="9" t="n"/>
      <c r="G1056" s="9" t="n"/>
      <c r="H1056" s="71" t="n"/>
      <c r="I1056" s="9" t="n"/>
      <c r="J1056" s="89">
        <f>IF(H1056="","",IF(I1056="Sí",ROUND(H1056*Configuracion!$B$11,0),0))</f>
        <v/>
      </c>
      <c r="K1056" s="89">
        <f>IF(H1056="","",H1056+J1056)</f>
        <v/>
      </c>
      <c r="L1056" s="13">
        <f>IF(B1056="","",YEAR(B1056))</f>
        <v/>
      </c>
      <c r="M1056" s="13">
        <f>IF(B1056="","",MONTH(B1056))</f>
        <v/>
      </c>
      <c r="N1056" s="9" t="n"/>
      <c r="O1056" s="9" t="n"/>
      <c r="P1056" s="9" t="n"/>
      <c r="Q1056" s="9" t="n"/>
    </row>
    <row r="1057">
      <c r="A1057" s="9" t="n"/>
      <c r="B1057" s="70" t="n"/>
      <c r="C1057" s="9" t="n"/>
      <c r="D1057" s="9" t="n"/>
      <c r="E1057" s="9" t="n"/>
      <c r="F1057" s="9" t="n"/>
      <c r="G1057" s="9" t="n"/>
      <c r="H1057" s="71" t="n"/>
      <c r="I1057" s="9" t="n"/>
      <c r="J1057" s="89">
        <f>IF(H1057="","",IF(I1057="Sí",ROUND(H1057*Configuracion!$B$11,0),0))</f>
        <v/>
      </c>
      <c r="K1057" s="89">
        <f>IF(H1057="","",H1057+J1057)</f>
        <v/>
      </c>
      <c r="L1057" s="13">
        <f>IF(B1057="","",YEAR(B1057))</f>
        <v/>
      </c>
      <c r="M1057" s="13">
        <f>IF(B1057="","",MONTH(B1057))</f>
        <v/>
      </c>
      <c r="N1057" s="9" t="n"/>
      <c r="O1057" s="9" t="n"/>
      <c r="P1057" s="9" t="n"/>
      <c r="Q1057" s="9" t="n"/>
    </row>
    <row r="1058">
      <c r="A1058" s="9" t="n"/>
      <c r="B1058" s="70" t="n"/>
      <c r="C1058" s="9" t="n"/>
      <c r="D1058" s="9" t="n"/>
      <c r="E1058" s="9" t="n"/>
      <c r="F1058" s="9" t="n"/>
      <c r="G1058" s="9" t="n"/>
      <c r="H1058" s="71" t="n"/>
      <c r="I1058" s="9" t="n"/>
      <c r="J1058" s="89">
        <f>IF(H1058="","",IF(I1058="Sí",ROUND(H1058*Configuracion!$B$11,0),0))</f>
        <v/>
      </c>
      <c r="K1058" s="89">
        <f>IF(H1058="","",H1058+J1058)</f>
        <v/>
      </c>
      <c r="L1058" s="13">
        <f>IF(B1058="","",YEAR(B1058))</f>
        <v/>
      </c>
      <c r="M1058" s="13">
        <f>IF(B1058="","",MONTH(B1058))</f>
        <v/>
      </c>
      <c r="N1058" s="9" t="n"/>
      <c r="O1058" s="9" t="n"/>
      <c r="P1058" s="9" t="n"/>
      <c r="Q1058" s="9" t="n"/>
    </row>
    <row r="1059">
      <c r="A1059" s="9" t="n"/>
      <c r="B1059" s="70" t="n"/>
      <c r="C1059" s="9" t="n"/>
      <c r="D1059" s="9" t="n"/>
      <c r="E1059" s="9" t="n"/>
      <c r="F1059" s="9" t="n"/>
      <c r="G1059" s="9" t="n"/>
      <c r="H1059" s="71" t="n"/>
      <c r="I1059" s="9" t="n"/>
      <c r="J1059" s="89">
        <f>IF(H1059="","",IF(I1059="Sí",ROUND(H1059*Configuracion!$B$11,0),0))</f>
        <v/>
      </c>
      <c r="K1059" s="89">
        <f>IF(H1059="","",H1059+J1059)</f>
        <v/>
      </c>
      <c r="L1059" s="13">
        <f>IF(B1059="","",YEAR(B1059))</f>
        <v/>
      </c>
      <c r="M1059" s="13">
        <f>IF(B1059="","",MONTH(B1059))</f>
        <v/>
      </c>
      <c r="N1059" s="9" t="n"/>
      <c r="O1059" s="9" t="n"/>
      <c r="P1059" s="9" t="n"/>
      <c r="Q1059" s="9" t="n"/>
    </row>
    <row r="1060">
      <c r="A1060" s="9" t="n"/>
      <c r="B1060" s="70" t="n"/>
      <c r="C1060" s="9" t="n"/>
      <c r="D1060" s="9" t="n"/>
      <c r="E1060" s="9" t="n"/>
      <c r="F1060" s="9" t="n"/>
      <c r="G1060" s="9" t="n"/>
      <c r="H1060" s="71" t="n"/>
      <c r="I1060" s="9" t="n"/>
      <c r="J1060" s="89">
        <f>IF(H1060="","",IF(I1060="Sí",ROUND(H1060*Configuracion!$B$11,0),0))</f>
        <v/>
      </c>
      <c r="K1060" s="89">
        <f>IF(H1060="","",H1060+J1060)</f>
        <v/>
      </c>
      <c r="L1060" s="13">
        <f>IF(B1060="","",YEAR(B1060))</f>
        <v/>
      </c>
      <c r="M1060" s="13">
        <f>IF(B1060="","",MONTH(B1060))</f>
        <v/>
      </c>
      <c r="N1060" s="9" t="n"/>
      <c r="O1060" s="9" t="n"/>
      <c r="P1060" s="9" t="n"/>
      <c r="Q1060" s="9" t="n"/>
    </row>
    <row r="1061">
      <c r="A1061" s="9" t="n"/>
      <c r="B1061" s="70" t="n"/>
      <c r="C1061" s="9" t="n"/>
      <c r="D1061" s="9" t="n"/>
      <c r="E1061" s="9" t="n"/>
      <c r="F1061" s="9" t="n"/>
      <c r="G1061" s="9" t="n"/>
      <c r="H1061" s="71" t="n"/>
      <c r="I1061" s="9" t="n"/>
      <c r="J1061" s="89">
        <f>IF(H1061="","",IF(I1061="Sí",ROUND(H1061*Configuracion!$B$11,0),0))</f>
        <v/>
      </c>
      <c r="K1061" s="89">
        <f>IF(H1061="","",H1061+J1061)</f>
        <v/>
      </c>
      <c r="L1061" s="13">
        <f>IF(B1061="","",YEAR(B1061))</f>
        <v/>
      </c>
      <c r="M1061" s="13">
        <f>IF(B1061="","",MONTH(B1061))</f>
        <v/>
      </c>
      <c r="N1061" s="9" t="n"/>
      <c r="O1061" s="9" t="n"/>
      <c r="P1061" s="9" t="n"/>
      <c r="Q1061" s="9" t="n"/>
    </row>
    <row r="1062">
      <c r="A1062" s="9" t="n"/>
      <c r="B1062" s="70" t="n"/>
      <c r="C1062" s="9" t="n"/>
      <c r="D1062" s="9" t="n"/>
      <c r="E1062" s="9" t="n"/>
      <c r="F1062" s="9" t="n"/>
      <c r="G1062" s="9" t="n"/>
      <c r="H1062" s="71" t="n"/>
      <c r="I1062" s="9" t="n"/>
      <c r="J1062" s="89">
        <f>IF(H1062="","",IF(I1062="Sí",ROUND(H1062*Configuracion!$B$11,0),0))</f>
        <v/>
      </c>
      <c r="K1062" s="89">
        <f>IF(H1062="","",H1062+J1062)</f>
        <v/>
      </c>
      <c r="L1062" s="13">
        <f>IF(B1062="","",YEAR(B1062))</f>
        <v/>
      </c>
      <c r="M1062" s="13">
        <f>IF(B1062="","",MONTH(B1062))</f>
        <v/>
      </c>
      <c r="N1062" s="9" t="n"/>
      <c r="O1062" s="9" t="n"/>
      <c r="P1062" s="9" t="n"/>
      <c r="Q1062" s="9" t="n"/>
    </row>
    <row r="1063">
      <c r="A1063" s="9" t="n"/>
      <c r="B1063" s="70" t="n"/>
      <c r="C1063" s="9" t="n"/>
      <c r="D1063" s="9" t="n"/>
      <c r="E1063" s="9" t="n"/>
      <c r="F1063" s="9" t="n"/>
      <c r="G1063" s="9" t="n"/>
      <c r="H1063" s="71" t="n"/>
      <c r="I1063" s="9" t="n"/>
      <c r="J1063" s="89">
        <f>IF(H1063="","",IF(I1063="Sí",ROUND(H1063*Configuracion!$B$11,0),0))</f>
        <v/>
      </c>
      <c r="K1063" s="89">
        <f>IF(H1063="","",H1063+J1063)</f>
        <v/>
      </c>
      <c r="L1063" s="13">
        <f>IF(B1063="","",YEAR(B1063))</f>
        <v/>
      </c>
      <c r="M1063" s="13">
        <f>IF(B1063="","",MONTH(B1063))</f>
        <v/>
      </c>
      <c r="N1063" s="9" t="n"/>
      <c r="O1063" s="9" t="n"/>
      <c r="P1063" s="9" t="n"/>
      <c r="Q1063" s="9" t="n"/>
    </row>
    <row r="1064">
      <c r="A1064" s="9" t="n"/>
      <c r="B1064" s="70" t="n"/>
      <c r="C1064" s="9" t="n"/>
      <c r="D1064" s="9" t="n"/>
      <c r="E1064" s="9" t="n"/>
      <c r="F1064" s="9" t="n"/>
      <c r="G1064" s="9" t="n"/>
      <c r="H1064" s="71" t="n"/>
      <c r="I1064" s="9" t="n"/>
      <c r="J1064" s="89">
        <f>IF(H1064="","",IF(I1064="Sí",ROUND(H1064*Configuracion!$B$11,0),0))</f>
        <v/>
      </c>
      <c r="K1064" s="89">
        <f>IF(H1064="","",H1064+J1064)</f>
        <v/>
      </c>
      <c r="L1064" s="13">
        <f>IF(B1064="","",YEAR(B1064))</f>
        <v/>
      </c>
      <c r="M1064" s="13">
        <f>IF(B1064="","",MONTH(B1064))</f>
        <v/>
      </c>
      <c r="N1064" s="9" t="n"/>
      <c r="O1064" s="9" t="n"/>
      <c r="P1064" s="9" t="n"/>
      <c r="Q1064" s="9" t="n"/>
    </row>
    <row r="1065">
      <c r="A1065" s="9" t="n"/>
      <c r="B1065" s="70" t="n"/>
      <c r="C1065" s="9" t="n"/>
      <c r="D1065" s="9" t="n"/>
      <c r="E1065" s="9" t="n"/>
      <c r="F1065" s="9" t="n"/>
      <c r="G1065" s="9" t="n"/>
      <c r="H1065" s="71" t="n"/>
      <c r="I1065" s="9" t="n"/>
      <c r="J1065" s="89">
        <f>IF(H1065="","",IF(I1065="Sí",ROUND(H1065*Configuracion!$B$11,0),0))</f>
        <v/>
      </c>
      <c r="K1065" s="89">
        <f>IF(H1065="","",H1065+J1065)</f>
        <v/>
      </c>
      <c r="L1065" s="13">
        <f>IF(B1065="","",YEAR(B1065))</f>
        <v/>
      </c>
      <c r="M1065" s="13">
        <f>IF(B1065="","",MONTH(B1065))</f>
        <v/>
      </c>
      <c r="N1065" s="9" t="n"/>
      <c r="O1065" s="9" t="n"/>
      <c r="P1065" s="9" t="n"/>
      <c r="Q1065" s="9" t="n"/>
    </row>
    <row r="1066">
      <c r="A1066" s="9" t="n"/>
      <c r="B1066" s="70" t="n"/>
      <c r="C1066" s="9" t="n"/>
      <c r="D1066" s="9" t="n"/>
      <c r="E1066" s="9" t="n"/>
      <c r="F1066" s="9" t="n"/>
      <c r="G1066" s="9" t="n"/>
      <c r="H1066" s="71" t="n"/>
      <c r="I1066" s="9" t="n"/>
      <c r="J1066" s="89">
        <f>IF(H1066="","",IF(I1066="Sí",ROUND(H1066*Configuracion!$B$11,0),0))</f>
        <v/>
      </c>
      <c r="K1066" s="89">
        <f>IF(H1066="","",H1066+J1066)</f>
        <v/>
      </c>
      <c r="L1066" s="13">
        <f>IF(B1066="","",YEAR(B1066))</f>
        <v/>
      </c>
      <c r="M1066" s="13">
        <f>IF(B1066="","",MONTH(B1066))</f>
        <v/>
      </c>
      <c r="N1066" s="9" t="n"/>
      <c r="O1066" s="9" t="n"/>
      <c r="P1066" s="9" t="n"/>
      <c r="Q1066" s="9" t="n"/>
    </row>
    <row r="1067">
      <c r="A1067" s="9" t="n"/>
      <c r="B1067" s="70" t="n"/>
      <c r="C1067" s="9" t="n"/>
      <c r="D1067" s="9" t="n"/>
      <c r="E1067" s="9" t="n"/>
      <c r="F1067" s="9" t="n"/>
      <c r="G1067" s="9" t="n"/>
      <c r="H1067" s="71" t="n"/>
      <c r="I1067" s="9" t="n"/>
      <c r="J1067" s="89">
        <f>IF(H1067="","",IF(I1067="Sí",ROUND(H1067*Configuracion!$B$11,0),0))</f>
        <v/>
      </c>
      <c r="K1067" s="89">
        <f>IF(H1067="","",H1067+J1067)</f>
        <v/>
      </c>
      <c r="L1067" s="13">
        <f>IF(B1067="","",YEAR(B1067))</f>
        <v/>
      </c>
      <c r="M1067" s="13">
        <f>IF(B1067="","",MONTH(B1067))</f>
        <v/>
      </c>
      <c r="N1067" s="9" t="n"/>
      <c r="O1067" s="9" t="n"/>
      <c r="P1067" s="9" t="n"/>
      <c r="Q1067" s="9" t="n"/>
    </row>
    <row r="1068">
      <c r="A1068" s="9" t="n"/>
      <c r="B1068" s="70" t="n"/>
      <c r="C1068" s="9" t="n"/>
      <c r="D1068" s="9" t="n"/>
      <c r="E1068" s="9" t="n"/>
      <c r="F1068" s="9" t="n"/>
      <c r="G1068" s="9" t="n"/>
      <c r="H1068" s="71" t="n"/>
      <c r="I1068" s="9" t="n"/>
      <c r="J1068" s="89">
        <f>IF(H1068="","",IF(I1068="Sí",ROUND(H1068*Configuracion!$B$11,0),0))</f>
        <v/>
      </c>
      <c r="K1068" s="89">
        <f>IF(H1068="","",H1068+J1068)</f>
        <v/>
      </c>
      <c r="L1068" s="13">
        <f>IF(B1068="","",YEAR(B1068))</f>
        <v/>
      </c>
      <c r="M1068" s="13">
        <f>IF(B1068="","",MONTH(B1068))</f>
        <v/>
      </c>
      <c r="N1068" s="9" t="n"/>
      <c r="O1068" s="9" t="n"/>
      <c r="P1068" s="9" t="n"/>
      <c r="Q1068" s="9" t="n"/>
    </row>
    <row r="1069">
      <c r="A1069" s="9" t="n"/>
      <c r="B1069" s="70" t="n"/>
      <c r="C1069" s="9" t="n"/>
      <c r="D1069" s="9" t="n"/>
      <c r="E1069" s="9" t="n"/>
      <c r="F1069" s="9" t="n"/>
      <c r="G1069" s="9" t="n"/>
      <c r="H1069" s="71" t="n"/>
      <c r="I1069" s="9" t="n"/>
      <c r="J1069" s="89">
        <f>IF(H1069="","",IF(I1069="Sí",ROUND(H1069*Configuracion!$B$11,0),0))</f>
        <v/>
      </c>
      <c r="K1069" s="89">
        <f>IF(H1069="","",H1069+J1069)</f>
        <v/>
      </c>
      <c r="L1069" s="13">
        <f>IF(B1069="","",YEAR(B1069))</f>
        <v/>
      </c>
      <c r="M1069" s="13">
        <f>IF(B1069="","",MONTH(B1069))</f>
        <v/>
      </c>
      <c r="N1069" s="9" t="n"/>
      <c r="O1069" s="9" t="n"/>
      <c r="P1069" s="9" t="n"/>
      <c r="Q1069" s="9" t="n"/>
    </row>
    <row r="1070">
      <c r="A1070" s="9" t="n"/>
      <c r="B1070" s="70" t="n"/>
      <c r="C1070" s="9" t="n"/>
      <c r="D1070" s="9" t="n"/>
      <c r="E1070" s="9" t="n"/>
      <c r="F1070" s="9" t="n"/>
      <c r="G1070" s="9" t="n"/>
      <c r="H1070" s="71" t="n"/>
      <c r="I1070" s="9" t="n"/>
      <c r="J1070" s="89">
        <f>IF(H1070="","",IF(I1070="Sí",ROUND(H1070*Configuracion!$B$11,0),0))</f>
        <v/>
      </c>
      <c r="K1070" s="89">
        <f>IF(H1070="","",H1070+J1070)</f>
        <v/>
      </c>
      <c r="L1070" s="13">
        <f>IF(B1070="","",YEAR(B1070))</f>
        <v/>
      </c>
      <c r="M1070" s="13">
        <f>IF(B1070="","",MONTH(B1070))</f>
        <v/>
      </c>
      <c r="N1070" s="9" t="n"/>
      <c r="O1070" s="9" t="n"/>
      <c r="P1070" s="9" t="n"/>
      <c r="Q1070" s="9" t="n"/>
    </row>
    <row r="1071">
      <c r="A1071" s="9" t="n"/>
      <c r="B1071" s="70" t="n"/>
      <c r="C1071" s="9" t="n"/>
      <c r="D1071" s="9" t="n"/>
      <c r="E1071" s="9" t="n"/>
      <c r="F1071" s="9" t="n"/>
      <c r="G1071" s="9" t="n"/>
      <c r="H1071" s="71" t="n"/>
      <c r="I1071" s="9" t="n"/>
      <c r="J1071" s="89">
        <f>IF(H1071="","",IF(I1071="Sí",ROUND(H1071*Configuracion!$B$11,0),0))</f>
        <v/>
      </c>
      <c r="K1071" s="89">
        <f>IF(H1071="","",H1071+J1071)</f>
        <v/>
      </c>
      <c r="L1071" s="13">
        <f>IF(B1071="","",YEAR(B1071))</f>
        <v/>
      </c>
      <c r="M1071" s="13">
        <f>IF(B1071="","",MONTH(B1071))</f>
        <v/>
      </c>
      <c r="N1071" s="9" t="n"/>
      <c r="O1071" s="9" t="n"/>
      <c r="P1071" s="9" t="n"/>
      <c r="Q1071" s="9" t="n"/>
    </row>
    <row r="1072">
      <c r="A1072" s="9" t="n"/>
      <c r="B1072" s="70" t="n"/>
      <c r="C1072" s="9" t="n"/>
      <c r="D1072" s="9" t="n"/>
      <c r="E1072" s="9" t="n"/>
      <c r="F1072" s="9" t="n"/>
      <c r="G1072" s="9" t="n"/>
      <c r="H1072" s="71" t="n"/>
      <c r="I1072" s="9" t="n"/>
      <c r="J1072" s="89">
        <f>IF(H1072="","",IF(I1072="Sí",ROUND(H1072*Configuracion!$B$11,0),0))</f>
        <v/>
      </c>
      <c r="K1072" s="89">
        <f>IF(H1072="","",H1072+J1072)</f>
        <v/>
      </c>
      <c r="L1072" s="13">
        <f>IF(B1072="","",YEAR(B1072))</f>
        <v/>
      </c>
      <c r="M1072" s="13">
        <f>IF(B1072="","",MONTH(B1072))</f>
        <v/>
      </c>
      <c r="N1072" s="9" t="n"/>
      <c r="O1072" s="9" t="n"/>
      <c r="P1072" s="9" t="n"/>
      <c r="Q1072" s="9" t="n"/>
    </row>
    <row r="1073">
      <c r="A1073" s="9" t="n"/>
      <c r="B1073" s="70" t="n"/>
      <c r="C1073" s="9" t="n"/>
      <c r="D1073" s="9" t="n"/>
      <c r="E1073" s="9" t="n"/>
      <c r="F1073" s="9" t="n"/>
      <c r="G1073" s="9" t="n"/>
      <c r="H1073" s="71" t="n"/>
      <c r="I1073" s="9" t="n"/>
      <c r="J1073" s="89">
        <f>IF(H1073="","",IF(I1073="Sí",ROUND(H1073*Configuracion!$B$11,0),0))</f>
        <v/>
      </c>
      <c r="K1073" s="89">
        <f>IF(H1073="","",H1073+J1073)</f>
        <v/>
      </c>
      <c r="L1073" s="13">
        <f>IF(B1073="","",YEAR(B1073))</f>
        <v/>
      </c>
      <c r="M1073" s="13">
        <f>IF(B1073="","",MONTH(B1073))</f>
        <v/>
      </c>
      <c r="N1073" s="9" t="n"/>
      <c r="O1073" s="9" t="n"/>
      <c r="P1073" s="9" t="n"/>
      <c r="Q1073" s="9" t="n"/>
    </row>
    <row r="1074">
      <c r="A1074" s="9" t="n"/>
      <c r="B1074" s="70" t="n"/>
      <c r="C1074" s="9" t="n"/>
      <c r="D1074" s="9" t="n"/>
      <c r="E1074" s="9" t="n"/>
      <c r="F1074" s="9" t="n"/>
      <c r="G1074" s="9" t="n"/>
      <c r="H1074" s="71" t="n"/>
      <c r="I1074" s="9" t="n"/>
      <c r="J1074" s="89">
        <f>IF(H1074="","",IF(I1074="Sí",ROUND(H1074*Configuracion!$B$11,0),0))</f>
        <v/>
      </c>
      <c r="K1074" s="89">
        <f>IF(H1074="","",H1074+J1074)</f>
        <v/>
      </c>
      <c r="L1074" s="13">
        <f>IF(B1074="","",YEAR(B1074))</f>
        <v/>
      </c>
      <c r="M1074" s="13">
        <f>IF(B1074="","",MONTH(B1074))</f>
        <v/>
      </c>
      <c r="N1074" s="9" t="n"/>
      <c r="O1074" s="9" t="n"/>
      <c r="P1074" s="9" t="n"/>
      <c r="Q1074" s="9" t="n"/>
    </row>
    <row r="1075">
      <c r="A1075" s="9" t="n"/>
      <c r="B1075" s="70" t="n"/>
      <c r="C1075" s="9" t="n"/>
      <c r="D1075" s="9" t="n"/>
      <c r="E1075" s="9" t="n"/>
      <c r="F1075" s="9" t="n"/>
      <c r="G1075" s="9" t="n"/>
      <c r="H1075" s="71" t="n"/>
      <c r="I1075" s="9" t="n"/>
      <c r="J1075" s="89">
        <f>IF(H1075="","",IF(I1075="Sí",ROUND(H1075*Configuracion!$B$11,0),0))</f>
        <v/>
      </c>
      <c r="K1075" s="89">
        <f>IF(H1075="","",H1075+J1075)</f>
        <v/>
      </c>
      <c r="L1075" s="13">
        <f>IF(B1075="","",YEAR(B1075))</f>
        <v/>
      </c>
      <c r="M1075" s="13">
        <f>IF(B1075="","",MONTH(B1075))</f>
        <v/>
      </c>
      <c r="N1075" s="9" t="n"/>
      <c r="O1075" s="9" t="n"/>
      <c r="P1075" s="9" t="n"/>
      <c r="Q1075" s="9" t="n"/>
    </row>
    <row r="1076">
      <c r="A1076" s="9" t="n"/>
      <c r="B1076" s="70" t="n"/>
      <c r="C1076" s="9" t="n"/>
      <c r="D1076" s="9" t="n"/>
      <c r="E1076" s="9" t="n"/>
      <c r="F1076" s="9" t="n"/>
      <c r="G1076" s="9" t="n"/>
      <c r="H1076" s="71" t="n"/>
      <c r="I1076" s="9" t="n"/>
      <c r="J1076" s="89">
        <f>IF(H1076="","",IF(I1076="Sí",ROUND(H1076*Configuracion!$B$11,0),0))</f>
        <v/>
      </c>
      <c r="K1076" s="89">
        <f>IF(H1076="","",H1076+J1076)</f>
        <v/>
      </c>
      <c r="L1076" s="13">
        <f>IF(B1076="","",YEAR(B1076))</f>
        <v/>
      </c>
      <c r="M1076" s="13">
        <f>IF(B1076="","",MONTH(B1076))</f>
        <v/>
      </c>
      <c r="N1076" s="9" t="n"/>
      <c r="O1076" s="9" t="n"/>
      <c r="P1076" s="9" t="n"/>
      <c r="Q1076" s="9" t="n"/>
    </row>
    <row r="1077">
      <c r="A1077" s="9" t="n"/>
      <c r="B1077" s="70" t="n"/>
      <c r="C1077" s="9" t="n"/>
      <c r="D1077" s="9" t="n"/>
      <c r="E1077" s="9" t="n"/>
      <c r="F1077" s="9" t="n"/>
      <c r="G1077" s="9" t="n"/>
      <c r="H1077" s="71" t="n"/>
      <c r="I1077" s="9" t="n"/>
      <c r="J1077" s="89">
        <f>IF(H1077="","",IF(I1077="Sí",ROUND(H1077*Configuracion!$B$11,0),0))</f>
        <v/>
      </c>
      <c r="K1077" s="89">
        <f>IF(H1077="","",H1077+J1077)</f>
        <v/>
      </c>
      <c r="L1077" s="13">
        <f>IF(B1077="","",YEAR(B1077))</f>
        <v/>
      </c>
      <c r="M1077" s="13">
        <f>IF(B1077="","",MONTH(B1077))</f>
        <v/>
      </c>
      <c r="N1077" s="9" t="n"/>
      <c r="O1077" s="9" t="n"/>
      <c r="P1077" s="9" t="n"/>
      <c r="Q1077" s="9" t="n"/>
    </row>
    <row r="1078">
      <c r="A1078" s="9" t="n"/>
      <c r="B1078" s="70" t="n"/>
      <c r="C1078" s="9" t="n"/>
      <c r="D1078" s="9" t="n"/>
      <c r="E1078" s="9" t="n"/>
      <c r="F1078" s="9" t="n"/>
      <c r="G1078" s="9" t="n"/>
      <c r="H1078" s="71" t="n"/>
      <c r="I1078" s="9" t="n"/>
      <c r="J1078" s="89">
        <f>IF(H1078="","",IF(I1078="Sí",ROUND(H1078*Configuracion!$B$11,0),0))</f>
        <v/>
      </c>
      <c r="K1078" s="89">
        <f>IF(H1078="","",H1078+J1078)</f>
        <v/>
      </c>
      <c r="L1078" s="13">
        <f>IF(B1078="","",YEAR(B1078))</f>
        <v/>
      </c>
      <c r="M1078" s="13">
        <f>IF(B1078="","",MONTH(B1078))</f>
        <v/>
      </c>
      <c r="N1078" s="9" t="n"/>
      <c r="O1078" s="9" t="n"/>
      <c r="P1078" s="9" t="n"/>
      <c r="Q1078" s="9" t="n"/>
    </row>
    <row r="1079">
      <c r="A1079" s="9" t="n"/>
      <c r="B1079" s="70" t="n"/>
      <c r="C1079" s="9" t="n"/>
      <c r="D1079" s="9" t="n"/>
      <c r="E1079" s="9" t="n"/>
      <c r="F1079" s="9" t="n"/>
      <c r="G1079" s="9" t="n"/>
      <c r="H1079" s="71" t="n"/>
      <c r="I1079" s="9" t="n"/>
      <c r="J1079" s="89">
        <f>IF(H1079="","",IF(I1079="Sí",ROUND(H1079*Configuracion!$B$11,0),0))</f>
        <v/>
      </c>
      <c r="K1079" s="89">
        <f>IF(H1079="","",H1079+J1079)</f>
        <v/>
      </c>
      <c r="L1079" s="13">
        <f>IF(B1079="","",YEAR(B1079))</f>
        <v/>
      </c>
      <c r="M1079" s="13">
        <f>IF(B1079="","",MONTH(B1079))</f>
        <v/>
      </c>
      <c r="N1079" s="9" t="n"/>
      <c r="O1079" s="9" t="n"/>
      <c r="P1079" s="9" t="n"/>
      <c r="Q1079" s="9" t="n"/>
    </row>
    <row r="1080">
      <c r="A1080" s="9" t="n"/>
      <c r="B1080" s="70" t="n"/>
      <c r="C1080" s="9" t="n"/>
      <c r="D1080" s="9" t="n"/>
      <c r="E1080" s="9" t="n"/>
      <c r="F1080" s="9" t="n"/>
      <c r="G1080" s="9" t="n"/>
      <c r="H1080" s="71" t="n"/>
      <c r="I1080" s="9" t="n"/>
      <c r="J1080" s="89">
        <f>IF(H1080="","",IF(I1080="Sí",ROUND(H1080*Configuracion!$B$11,0),0))</f>
        <v/>
      </c>
      <c r="K1080" s="89">
        <f>IF(H1080="","",H1080+J1080)</f>
        <v/>
      </c>
      <c r="L1080" s="13">
        <f>IF(B1080="","",YEAR(B1080))</f>
        <v/>
      </c>
      <c r="M1080" s="13">
        <f>IF(B1080="","",MONTH(B1080))</f>
        <v/>
      </c>
      <c r="N1080" s="9" t="n"/>
      <c r="O1080" s="9" t="n"/>
      <c r="P1080" s="9" t="n"/>
      <c r="Q1080" s="9" t="n"/>
    </row>
    <row r="1081">
      <c r="A1081" s="9" t="n"/>
      <c r="B1081" s="70" t="n"/>
      <c r="C1081" s="9" t="n"/>
      <c r="D1081" s="9" t="n"/>
      <c r="E1081" s="9" t="n"/>
      <c r="F1081" s="9" t="n"/>
      <c r="G1081" s="9" t="n"/>
      <c r="H1081" s="71" t="n"/>
      <c r="I1081" s="9" t="n"/>
      <c r="J1081" s="89">
        <f>IF(H1081="","",IF(I1081="Sí",ROUND(H1081*Configuracion!$B$11,0),0))</f>
        <v/>
      </c>
      <c r="K1081" s="89">
        <f>IF(H1081="","",H1081+J1081)</f>
        <v/>
      </c>
      <c r="L1081" s="13">
        <f>IF(B1081="","",YEAR(B1081))</f>
        <v/>
      </c>
      <c r="M1081" s="13">
        <f>IF(B1081="","",MONTH(B1081))</f>
        <v/>
      </c>
      <c r="N1081" s="9" t="n"/>
      <c r="O1081" s="9" t="n"/>
      <c r="P1081" s="9" t="n"/>
      <c r="Q1081" s="9" t="n"/>
    </row>
    <row r="1082">
      <c r="A1082" s="9" t="n"/>
      <c r="B1082" s="70" t="n"/>
      <c r="C1082" s="9" t="n"/>
      <c r="D1082" s="9" t="n"/>
      <c r="E1082" s="9" t="n"/>
      <c r="F1082" s="9" t="n"/>
      <c r="G1082" s="9" t="n"/>
      <c r="H1082" s="71" t="n"/>
      <c r="I1082" s="9" t="n"/>
      <c r="J1082" s="89">
        <f>IF(H1082="","",IF(I1082="Sí",ROUND(H1082*Configuracion!$B$11,0),0))</f>
        <v/>
      </c>
      <c r="K1082" s="89">
        <f>IF(H1082="","",H1082+J1082)</f>
        <v/>
      </c>
      <c r="L1082" s="13">
        <f>IF(B1082="","",YEAR(B1082))</f>
        <v/>
      </c>
      <c r="M1082" s="13">
        <f>IF(B1082="","",MONTH(B1082))</f>
        <v/>
      </c>
      <c r="N1082" s="9" t="n"/>
      <c r="O1082" s="9" t="n"/>
      <c r="P1082" s="9" t="n"/>
      <c r="Q1082" s="9" t="n"/>
    </row>
    <row r="1083">
      <c r="A1083" s="9" t="n"/>
      <c r="B1083" s="70" t="n"/>
      <c r="C1083" s="9" t="n"/>
      <c r="D1083" s="9" t="n"/>
      <c r="E1083" s="9" t="n"/>
      <c r="F1083" s="9" t="n"/>
      <c r="G1083" s="9" t="n"/>
      <c r="H1083" s="71" t="n"/>
      <c r="I1083" s="9" t="n"/>
      <c r="J1083" s="89">
        <f>IF(H1083="","",IF(I1083="Sí",ROUND(H1083*Configuracion!$B$11,0),0))</f>
        <v/>
      </c>
      <c r="K1083" s="89">
        <f>IF(H1083="","",H1083+J1083)</f>
        <v/>
      </c>
      <c r="L1083" s="13">
        <f>IF(B1083="","",YEAR(B1083))</f>
        <v/>
      </c>
      <c r="M1083" s="13">
        <f>IF(B1083="","",MONTH(B1083))</f>
        <v/>
      </c>
      <c r="N1083" s="9" t="n"/>
      <c r="O1083" s="9" t="n"/>
      <c r="P1083" s="9" t="n"/>
      <c r="Q1083" s="9" t="n"/>
    </row>
    <row r="1084">
      <c r="A1084" s="9" t="n"/>
      <c r="B1084" s="70" t="n"/>
      <c r="C1084" s="9" t="n"/>
      <c r="D1084" s="9" t="n"/>
      <c r="E1084" s="9" t="n"/>
      <c r="F1084" s="9" t="n"/>
      <c r="G1084" s="9" t="n"/>
      <c r="H1084" s="71" t="n"/>
      <c r="I1084" s="9" t="n"/>
      <c r="J1084" s="89">
        <f>IF(H1084="","",IF(I1084="Sí",ROUND(H1084*Configuracion!$B$11,0),0))</f>
        <v/>
      </c>
      <c r="K1084" s="89">
        <f>IF(H1084="","",H1084+J1084)</f>
        <v/>
      </c>
      <c r="L1084" s="13">
        <f>IF(B1084="","",YEAR(B1084))</f>
        <v/>
      </c>
      <c r="M1084" s="13">
        <f>IF(B1084="","",MONTH(B1084))</f>
        <v/>
      </c>
      <c r="N1084" s="9" t="n"/>
      <c r="O1084" s="9" t="n"/>
      <c r="P1084" s="9" t="n"/>
      <c r="Q1084" s="9" t="n"/>
    </row>
    <row r="1085">
      <c r="A1085" s="9" t="n"/>
      <c r="B1085" s="70" t="n"/>
      <c r="C1085" s="9" t="n"/>
      <c r="D1085" s="9" t="n"/>
      <c r="E1085" s="9" t="n"/>
      <c r="F1085" s="9" t="n"/>
      <c r="G1085" s="9" t="n"/>
      <c r="H1085" s="71" t="n"/>
      <c r="I1085" s="9" t="n"/>
      <c r="J1085" s="89">
        <f>IF(H1085="","",IF(I1085="Sí",ROUND(H1085*Configuracion!$B$11,0),0))</f>
        <v/>
      </c>
      <c r="K1085" s="89">
        <f>IF(H1085="","",H1085+J1085)</f>
        <v/>
      </c>
      <c r="L1085" s="13">
        <f>IF(B1085="","",YEAR(B1085))</f>
        <v/>
      </c>
      <c r="M1085" s="13">
        <f>IF(B1085="","",MONTH(B1085))</f>
        <v/>
      </c>
      <c r="N1085" s="9" t="n"/>
      <c r="O1085" s="9" t="n"/>
      <c r="P1085" s="9" t="n"/>
      <c r="Q1085" s="9" t="n"/>
    </row>
    <row r="1086">
      <c r="A1086" s="9" t="n"/>
      <c r="B1086" s="70" t="n"/>
      <c r="C1086" s="9" t="n"/>
      <c r="D1086" s="9" t="n"/>
      <c r="E1086" s="9" t="n"/>
      <c r="F1086" s="9" t="n"/>
      <c r="G1086" s="9" t="n"/>
      <c r="H1086" s="71" t="n"/>
      <c r="I1086" s="9" t="n"/>
      <c r="J1086" s="89">
        <f>IF(H1086="","",IF(I1086="Sí",ROUND(H1086*Configuracion!$B$11,0),0))</f>
        <v/>
      </c>
      <c r="K1086" s="89">
        <f>IF(H1086="","",H1086+J1086)</f>
        <v/>
      </c>
      <c r="L1086" s="13">
        <f>IF(B1086="","",YEAR(B1086))</f>
        <v/>
      </c>
      <c r="M1086" s="13">
        <f>IF(B1086="","",MONTH(B1086))</f>
        <v/>
      </c>
      <c r="N1086" s="9" t="n"/>
      <c r="O1086" s="9" t="n"/>
      <c r="P1086" s="9" t="n"/>
      <c r="Q1086" s="9" t="n"/>
    </row>
    <row r="1087">
      <c r="A1087" s="9" t="n"/>
      <c r="B1087" s="70" t="n"/>
      <c r="C1087" s="9" t="n"/>
      <c r="D1087" s="9" t="n"/>
      <c r="E1087" s="9" t="n"/>
      <c r="F1087" s="9" t="n"/>
      <c r="G1087" s="9" t="n"/>
      <c r="H1087" s="71" t="n"/>
      <c r="I1087" s="9" t="n"/>
      <c r="J1087" s="89">
        <f>IF(H1087="","",IF(I1087="Sí",ROUND(H1087*Configuracion!$B$11,0),0))</f>
        <v/>
      </c>
      <c r="K1087" s="89">
        <f>IF(H1087="","",H1087+J1087)</f>
        <v/>
      </c>
      <c r="L1087" s="13">
        <f>IF(B1087="","",YEAR(B1087))</f>
        <v/>
      </c>
      <c r="M1087" s="13">
        <f>IF(B1087="","",MONTH(B1087))</f>
        <v/>
      </c>
      <c r="N1087" s="9" t="n"/>
      <c r="O1087" s="9" t="n"/>
      <c r="P1087" s="9" t="n"/>
      <c r="Q1087" s="9" t="n"/>
    </row>
    <row r="1088">
      <c r="A1088" s="9" t="n"/>
      <c r="B1088" s="70" t="n"/>
      <c r="C1088" s="9" t="n"/>
      <c r="D1088" s="9" t="n"/>
      <c r="E1088" s="9" t="n"/>
      <c r="F1088" s="9" t="n"/>
      <c r="G1088" s="9" t="n"/>
      <c r="H1088" s="71" t="n"/>
      <c r="I1088" s="9" t="n"/>
      <c r="J1088" s="89">
        <f>IF(H1088="","",IF(I1088="Sí",ROUND(H1088*Configuracion!$B$11,0),0))</f>
        <v/>
      </c>
      <c r="K1088" s="89">
        <f>IF(H1088="","",H1088+J1088)</f>
        <v/>
      </c>
      <c r="L1088" s="13">
        <f>IF(B1088="","",YEAR(B1088))</f>
        <v/>
      </c>
      <c r="M1088" s="13">
        <f>IF(B1088="","",MONTH(B1088))</f>
        <v/>
      </c>
      <c r="N1088" s="9" t="n"/>
      <c r="O1088" s="9" t="n"/>
      <c r="P1088" s="9" t="n"/>
      <c r="Q1088" s="9" t="n"/>
    </row>
    <row r="1089">
      <c r="A1089" s="9" t="n"/>
      <c r="B1089" s="70" t="n"/>
      <c r="C1089" s="9" t="n"/>
      <c r="D1089" s="9" t="n"/>
      <c r="E1089" s="9" t="n"/>
      <c r="F1089" s="9" t="n"/>
      <c r="G1089" s="9" t="n"/>
      <c r="H1089" s="71" t="n"/>
      <c r="I1089" s="9" t="n"/>
      <c r="J1089" s="89">
        <f>IF(H1089="","",IF(I1089="Sí",ROUND(H1089*Configuracion!$B$11,0),0))</f>
        <v/>
      </c>
      <c r="K1089" s="89">
        <f>IF(H1089="","",H1089+J1089)</f>
        <v/>
      </c>
      <c r="L1089" s="13">
        <f>IF(B1089="","",YEAR(B1089))</f>
        <v/>
      </c>
      <c r="M1089" s="13">
        <f>IF(B1089="","",MONTH(B1089))</f>
        <v/>
      </c>
      <c r="N1089" s="9" t="n"/>
      <c r="O1089" s="9" t="n"/>
      <c r="P1089" s="9" t="n"/>
      <c r="Q1089" s="9" t="n"/>
    </row>
    <row r="1090">
      <c r="A1090" s="9" t="n"/>
      <c r="B1090" s="70" t="n"/>
      <c r="C1090" s="9" t="n"/>
      <c r="D1090" s="9" t="n"/>
      <c r="E1090" s="9" t="n"/>
      <c r="F1090" s="9" t="n"/>
      <c r="G1090" s="9" t="n"/>
      <c r="H1090" s="71" t="n"/>
      <c r="I1090" s="9" t="n"/>
      <c r="J1090" s="89">
        <f>IF(H1090="","",IF(I1090="Sí",ROUND(H1090*Configuracion!$B$11,0),0))</f>
        <v/>
      </c>
      <c r="K1090" s="89">
        <f>IF(H1090="","",H1090+J1090)</f>
        <v/>
      </c>
      <c r="L1090" s="13">
        <f>IF(B1090="","",YEAR(B1090))</f>
        <v/>
      </c>
      <c r="M1090" s="13">
        <f>IF(B1090="","",MONTH(B1090))</f>
        <v/>
      </c>
      <c r="N1090" s="9" t="n"/>
      <c r="O1090" s="9" t="n"/>
      <c r="P1090" s="9" t="n"/>
      <c r="Q1090" s="9" t="n"/>
    </row>
    <row r="1091">
      <c r="A1091" s="9" t="n"/>
      <c r="B1091" s="70" t="n"/>
      <c r="C1091" s="9" t="n"/>
      <c r="D1091" s="9" t="n"/>
      <c r="E1091" s="9" t="n"/>
      <c r="F1091" s="9" t="n"/>
      <c r="G1091" s="9" t="n"/>
      <c r="H1091" s="71" t="n"/>
      <c r="I1091" s="9" t="n"/>
      <c r="J1091" s="89">
        <f>IF(H1091="","",IF(I1091="Sí",ROUND(H1091*Configuracion!$B$11,0),0))</f>
        <v/>
      </c>
      <c r="K1091" s="89">
        <f>IF(H1091="","",H1091+J1091)</f>
        <v/>
      </c>
      <c r="L1091" s="13">
        <f>IF(B1091="","",YEAR(B1091))</f>
        <v/>
      </c>
      <c r="M1091" s="13">
        <f>IF(B1091="","",MONTH(B1091))</f>
        <v/>
      </c>
      <c r="N1091" s="9" t="n"/>
      <c r="O1091" s="9" t="n"/>
      <c r="P1091" s="9" t="n"/>
      <c r="Q1091" s="9" t="n"/>
    </row>
    <row r="1092">
      <c r="A1092" s="9" t="n"/>
      <c r="B1092" s="70" t="n"/>
      <c r="C1092" s="9" t="n"/>
      <c r="D1092" s="9" t="n"/>
      <c r="E1092" s="9" t="n"/>
      <c r="F1092" s="9" t="n"/>
      <c r="G1092" s="9" t="n"/>
      <c r="H1092" s="71" t="n"/>
      <c r="I1092" s="9" t="n"/>
      <c r="J1092" s="89">
        <f>IF(H1092="","",IF(I1092="Sí",ROUND(H1092*Configuracion!$B$11,0),0))</f>
        <v/>
      </c>
      <c r="K1092" s="89">
        <f>IF(H1092="","",H1092+J1092)</f>
        <v/>
      </c>
      <c r="L1092" s="13">
        <f>IF(B1092="","",YEAR(B1092))</f>
        <v/>
      </c>
      <c r="M1092" s="13">
        <f>IF(B1092="","",MONTH(B1092))</f>
        <v/>
      </c>
      <c r="N1092" s="9" t="n"/>
      <c r="O1092" s="9" t="n"/>
      <c r="P1092" s="9" t="n"/>
      <c r="Q1092" s="9" t="n"/>
    </row>
    <row r="1093">
      <c r="A1093" s="9" t="n"/>
      <c r="B1093" s="70" t="n"/>
      <c r="C1093" s="9" t="n"/>
      <c r="D1093" s="9" t="n"/>
      <c r="E1093" s="9" t="n"/>
      <c r="F1093" s="9" t="n"/>
      <c r="G1093" s="9" t="n"/>
      <c r="H1093" s="71" t="n"/>
      <c r="I1093" s="9" t="n"/>
      <c r="J1093" s="89">
        <f>IF(H1093="","",IF(I1093="Sí",ROUND(H1093*Configuracion!$B$11,0),0))</f>
        <v/>
      </c>
      <c r="K1093" s="89">
        <f>IF(H1093="","",H1093+J1093)</f>
        <v/>
      </c>
      <c r="L1093" s="13">
        <f>IF(B1093="","",YEAR(B1093))</f>
        <v/>
      </c>
      <c r="M1093" s="13">
        <f>IF(B1093="","",MONTH(B1093))</f>
        <v/>
      </c>
      <c r="N1093" s="9" t="n"/>
      <c r="O1093" s="9" t="n"/>
      <c r="P1093" s="9" t="n"/>
      <c r="Q1093" s="9" t="n"/>
    </row>
    <row r="1094">
      <c r="A1094" s="9" t="n"/>
      <c r="B1094" s="70" t="n"/>
      <c r="C1094" s="9" t="n"/>
      <c r="D1094" s="9" t="n"/>
      <c r="E1094" s="9" t="n"/>
      <c r="F1094" s="9" t="n"/>
      <c r="G1094" s="9" t="n"/>
      <c r="H1094" s="71" t="n"/>
      <c r="I1094" s="9" t="n"/>
      <c r="J1094" s="89">
        <f>IF(H1094="","",IF(I1094="Sí",ROUND(H1094*Configuracion!$B$11,0),0))</f>
        <v/>
      </c>
      <c r="K1094" s="89">
        <f>IF(H1094="","",H1094+J1094)</f>
        <v/>
      </c>
      <c r="L1094" s="13">
        <f>IF(B1094="","",YEAR(B1094))</f>
        <v/>
      </c>
      <c r="M1094" s="13">
        <f>IF(B1094="","",MONTH(B1094))</f>
        <v/>
      </c>
      <c r="N1094" s="9" t="n"/>
      <c r="O1094" s="9" t="n"/>
      <c r="P1094" s="9" t="n"/>
      <c r="Q1094" s="9" t="n"/>
    </row>
    <row r="1095">
      <c r="A1095" s="9" t="n"/>
      <c r="B1095" s="70" t="n"/>
      <c r="C1095" s="9" t="n"/>
      <c r="D1095" s="9" t="n"/>
      <c r="E1095" s="9" t="n"/>
      <c r="F1095" s="9" t="n"/>
      <c r="G1095" s="9" t="n"/>
      <c r="H1095" s="71" t="n"/>
      <c r="I1095" s="9" t="n"/>
      <c r="J1095" s="89">
        <f>IF(H1095="","",IF(I1095="Sí",ROUND(H1095*Configuracion!$B$11,0),0))</f>
        <v/>
      </c>
      <c r="K1095" s="89">
        <f>IF(H1095="","",H1095+J1095)</f>
        <v/>
      </c>
      <c r="L1095" s="13">
        <f>IF(B1095="","",YEAR(B1095))</f>
        <v/>
      </c>
      <c r="M1095" s="13">
        <f>IF(B1095="","",MONTH(B1095))</f>
        <v/>
      </c>
      <c r="N1095" s="9" t="n"/>
      <c r="O1095" s="9" t="n"/>
      <c r="P1095" s="9" t="n"/>
      <c r="Q1095" s="9" t="n"/>
    </row>
    <row r="1096">
      <c r="A1096" s="9" t="n"/>
      <c r="B1096" s="70" t="n"/>
      <c r="C1096" s="9" t="n"/>
      <c r="D1096" s="9" t="n"/>
      <c r="E1096" s="9" t="n"/>
      <c r="F1096" s="9" t="n"/>
      <c r="G1096" s="9" t="n"/>
      <c r="H1096" s="71" t="n"/>
      <c r="I1096" s="9" t="n"/>
      <c r="J1096" s="89">
        <f>IF(H1096="","",IF(I1096="Sí",ROUND(H1096*Configuracion!$B$11,0),0))</f>
        <v/>
      </c>
      <c r="K1096" s="89">
        <f>IF(H1096="","",H1096+J1096)</f>
        <v/>
      </c>
      <c r="L1096" s="13">
        <f>IF(B1096="","",YEAR(B1096))</f>
        <v/>
      </c>
      <c r="M1096" s="13">
        <f>IF(B1096="","",MONTH(B1096))</f>
        <v/>
      </c>
      <c r="N1096" s="9" t="n"/>
      <c r="O1096" s="9" t="n"/>
      <c r="P1096" s="9" t="n"/>
      <c r="Q1096" s="9" t="n"/>
    </row>
    <row r="1097">
      <c r="A1097" s="9" t="n"/>
      <c r="B1097" s="70" t="n"/>
      <c r="C1097" s="9" t="n"/>
      <c r="D1097" s="9" t="n"/>
      <c r="E1097" s="9" t="n"/>
      <c r="F1097" s="9" t="n"/>
      <c r="G1097" s="9" t="n"/>
      <c r="H1097" s="71" t="n"/>
      <c r="I1097" s="9" t="n"/>
      <c r="J1097" s="89">
        <f>IF(H1097="","",IF(I1097="Sí",ROUND(H1097*Configuracion!$B$11,0),0))</f>
        <v/>
      </c>
      <c r="K1097" s="89">
        <f>IF(H1097="","",H1097+J1097)</f>
        <v/>
      </c>
      <c r="L1097" s="13">
        <f>IF(B1097="","",YEAR(B1097))</f>
        <v/>
      </c>
      <c r="M1097" s="13">
        <f>IF(B1097="","",MONTH(B1097))</f>
        <v/>
      </c>
      <c r="N1097" s="9" t="n"/>
      <c r="O1097" s="9" t="n"/>
      <c r="P1097" s="9" t="n"/>
      <c r="Q1097" s="9" t="n"/>
    </row>
    <row r="1098">
      <c r="A1098" s="9" t="n"/>
      <c r="B1098" s="70" t="n"/>
      <c r="C1098" s="9" t="n"/>
      <c r="D1098" s="9" t="n"/>
      <c r="E1098" s="9" t="n"/>
      <c r="F1098" s="9" t="n"/>
      <c r="G1098" s="9" t="n"/>
      <c r="H1098" s="71" t="n"/>
      <c r="I1098" s="9" t="n"/>
      <c r="J1098" s="89">
        <f>IF(H1098="","",IF(I1098="Sí",ROUND(H1098*Configuracion!$B$11,0),0))</f>
        <v/>
      </c>
      <c r="K1098" s="89">
        <f>IF(H1098="","",H1098+J1098)</f>
        <v/>
      </c>
      <c r="L1098" s="13">
        <f>IF(B1098="","",YEAR(B1098))</f>
        <v/>
      </c>
      <c r="M1098" s="13">
        <f>IF(B1098="","",MONTH(B1098))</f>
        <v/>
      </c>
      <c r="N1098" s="9" t="n"/>
      <c r="O1098" s="9" t="n"/>
      <c r="P1098" s="9" t="n"/>
      <c r="Q1098" s="9" t="n"/>
    </row>
    <row r="1099">
      <c r="A1099" s="9" t="n"/>
      <c r="B1099" s="70" t="n"/>
      <c r="C1099" s="9" t="n"/>
      <c r="D1099" s="9" t="n"/>
      <c r="E1099" s="9" t="n"/>
      <c r="F1099" s="9" t="n"/>
      <c r="G1099" s="9" t="n"/>
      <c r="H1099" s="71" t="n"/>
      <c r="I1099" s="9" t="n"/>
      <c r="J1099" s="89">
        <f>IF(H1099="","",IF(I1099="Sí",ROUND(H1099*Configuracion!$B$11,0),0))</f>
        <v/>
      </c>
      <c r="K1099" s="89">
        <f>IF(H1099="","",H1099+J1099)</f>
        <v/>
      </c>
      <c r="L1099" s="13">
        <f>IF(B1099="","",YEAR(B1099))</f>
        <v/>
      </c>
      <c r="M1099" s="13">
        <f>IF(B1099="","",MONTH(B1099))</f>
        <v/>
      </c>
      <c r="N1099" s="9" t="n"/>
      <c r="O1099" s="9" t="n"/>
      <c r="P1099" s="9" t="n"/>
      <c r="Q1099" s="9" t="n"/>
    </row>
    <row r="1100">
      <c r="A1100" s="9" t="n"/>
      <c r="B1100" s="70" t="n"/>
      <c r="C1100" s="9" t="n"/>
      <c r="D1100" s="9" t="n"/>
      <c r="E1100" s="9" t="n"/>
      <c r="F1100" s="9" t="n"/>
      <c r="G1100" s="9" t="n"/>
      <c r="H1100" s="71" t="n"/>
      <c r="I1100" s="9" t="n"/>
      <c r="J1100" s="89">
        <f>IF(H1100="","",IF(I1100="Sí",ROUND(H1100*Configuracion!$B$11,0),0))</f>
        <v/>
      </c>
      <c r="K1100" s="89">
        <f>IF(H1100="","",H1100+J1100)</f>
        <v/>
      </c>
      <c r="L1100" s="13">
        <f>IF(B1100="","",YEAR(B1100))</f>
        <v/>
      </c>
      <c r="M1100" s="13">
        <f>IF(B1100="","",MONTH(B1100))</f>
        <v/>
      </c>
      <c r="N1100" s="9" t="n"/>
      <c r="O1100" s="9" t="n"/>
      <c r="P1100" s="9" t="n"/>
      <c r="Q1100" s="9" t="n"/>
    </row>
    <row r="1101">
      <c r="A1101" s="9" t="n"/>
      <c r="B1101" s="70" t="n"/>
      <c r="C1101" s="9" t="n"/>
      <c r="D1101" s="9" t="n"/>
      <c r="E1101" s="9" t="n"/>
      <c r="F1101" s="9" t="n"/>
      <c r="G1101" s="9" t="n"/>
      <c r="H1101" s="71" t="n"/>
      <c r="I1101" s="9" t="n"/>
      <c r="J1101" s="89">
        <f>IF(H1101="","",IF(I1101="Sí",ROUND(H1101*Configuracion!$B$11,0),0))</f>
        <v/>
      </c>
      <c r="K1101" s="89">
        <f>IF(H1101="","",H1101+J1101)</f>
        <v/>
      </c>
      <c r="L1101" s="13">
        <f>IF(B1101="","",YEAR(B1101))</f>
        <v/>
      </c>
      <c r="M1101" s="13">
        <f>IF(B1101="","",MONTH(B1101))</f>
        <v/>
      </c>
      <c r="N1101" s="9" t="n"/>
      <c r="O1101" s="9" t="n"/>
      <c r="P1101" s="9" t="n"/>
      <c r="Q1101" s="9" t="n"/>
    </row>
    <row r="1102">
      <c r="A1102" s="9" t="n"/>
      <c r="B1102" s="70" t="n"/>
      <c r="C1102" s="9" t="n"/>
      <c r="D1102" s="9" t="n"/>
      <c r="E1102" s="9" t="n"/>
      <c r="F1102" s="9" t="n"/>
      <c r="G1102" s="9" t="n"/>
      <c r="H1102" s="71" t="n"/>
      <c r="I1102" s="9" t="n"/>
      <c r="J1102" s="89">
        <f>IF(H1102="","",IF(I1102="Sí",ROUND(H1102*Configuracion!$B$11,0),0))</f>
        <v/>
      </c>
      <c r="K1102" s="89">
        <f>IF(H1102="","",H1102+J1102)</f>
        <v/>
      </c>
      <c r="L1102" s="13">
        <f>IF(B1102="","",YEAR(B1102))</f>
        <v/>
      </c>
      <c r="M1102" s="13">
        <f>IF(B1102="","",MONTH(B1102))</f>
        <v/>
      </c>
      <c r="N1102" s="9" t="n"/>
      <c r="O1102" s="9" t="n"/>
      <c r="P1102" s="9" t="n"/>
      <c r="Q1102" s="9" t="n"/>
    </row>
    <row r="1103">
      <c r="A1103" s="9" t="n"/>
      <c r="B1103" s="70" t="n"/>
      <c r="C1103" s="9" t="n"/>
      <c r="D1103" s="9" t="n"/>
      <c r="E1103" s="9" t="n"/>
      <c r="F1103" s="9" t="n"/>
      <c r="G1103" s="9" t="n"/>
      <c r="H1103" s="71" t="n"/>
      <c r="I1103" s="9" t="n"/>
      <c r="J1103" s="89">
        <f>IF(H1103="","",IF(I1103="Sí",ROUND(H1103*Configuracion!$B$11,0),0))</f>
        <v/>
      </c>
      <c r="K1103" s="89">
        <f>IF(H1103="","",H1103+J1103)</f>
        <v/>
      </c>
      <c r="L1103" s="13">
        <f>IF(B1103="","",YEAR(B1103))</f>
        <v/>
      </c>
      <c r="M1103" s="13">
        <f>IF(B1103="","",MONTH(B1103))</f>
        <v/>
      </c>
      <c r="N1103" s="9" t="n"/>
      <c r="O1103" s="9" t="n"/>
      <c r="P1103" s="9" t="n"/>
      <c r="Q1103" s="9" t="n"/>
    </row>
    <row r="1104">
      <c r="A1104" s="9" t="n"/>
      <c r="B1104" s="70" t="n"/>
      <c r="C1104" s="9" t="n"/>
      <c r="D1104" s="9" t="n"/>
      <c r="E1104" s="9" t="n"/>
      <c r="F1104" s="9" t="n"/>
      <c r="G1104" s="9" t="n"/>
      <c r="H1104" s="71" t="n"/>
      <c r="I1104" s="9" t="n"/>
      <c r="J1104" s="89">
        <f>IF(H1104="","",IF(I1104="Sí",ROUND(H1104*Configuracion!$B$11,0),0))</f>
        <v/>
      </c>
      <c r="K1104" s="89">
        <f>IF(H1104="","",H1104+J1104)</f>
        <v/>
      </c>
      <c r="L1104" s="13">
        <f>IF(B1104="","",YEAR(B1104))</f>
        <v/>
      </c>
      <c r="M1104" s="13">
        <f>IF(B1104="","",MONTH(B1104))</f>
        <v/>
      </c>
      <c r="N1104" s="9" t="n"/>
      <c r="O1104" s="9" t="n"/>
      <c r="P1104" s="9" t="n"/>
      <c r="Q1104" s="9" t="n"/>
    </row>
    <row r="1105">
      <c r="A1105" s="9" t="n"/>
      <c r="B1105" s="70" t="n"/>
      <c r="C1105" s="9" t="n"/>
      <c r="D1105" s="9" t="n"/>
      <c r="E1105" s="9" t="n"/>
      <c r="F1105" s="9" t="n"/>
      <c r="G1105" s="9" t="n"/>
      <c r="H1105" s="71" t="n"/>
      <c r="I1105" s="9" t="n"/>
      <c r="J1105" s="89">
        <f>IF(H1105="","",IF(I1105="Sí",ROUND(H1105*Configuracion!$B$11,0),0))</f>
        <v/>
      </c>
      <c r="K1105" s="89">
        <f>IF(H1105="","",H1105+J1105)</f>
        <v/>
      </c>
      <c r="L1105" s="13">
        <f>IF(B1105="","",YEAR(B1105))</f>
        <v/>
      </c>
      <c r="M1105" s="13">
        <f>IF(B1105="","",MONTH(B1105))</f>
        <v/>
      </c>
      <c r="N1105" s="9" t="n"/>
      <c r="O1105" s="9" t="n"/>
      <c r="P1105" s="9" t="n"/>
      <c r="Q1105" s="9" t="n"/>
    </row>
    <row r="1106">
      <c r="A1106" s="9" t="n"/>
      <c r="B1106" s="70" t="n"/>
      <c r="C1106" s="9" t="n"/>
      <c r="D1106" s="9" t="n"/>
      <c r="E1106" s="9" t="n"/>
      <c r="F1106" s="9" t="n"/>
      <c r="G1106" s="9" t="n"/>
      <c r="H1106" s="71" t="n"/>
      <c r="I1106" s="9" t="n"/>
      <c r="J1106" s="89">
        <f>IF(H1106="","",IF(I1106="Sí",ROUND(H1106*Configuracion!$B$11,0),0))</f>
        <v/>
      </c>
      <c r="K1106" s="89">
        <f>IF(H1106="","",H1106+J1106)</f>
        <v/>
      </c>
      <c r="L1106" s="13">
        <f>IF(B1106="","",YEAR(B1106))</f>
        <v/>
      </c>
      <c r="M1106" s="13">
        <f>IF(B1106="","",MONTH(B1106))</f>
        <v/>
      </c>
      <c r="N1106" s="9" t="n"/>
      <c r="O1106" s="9" t="n"/>
      <c r="P1106" s="9" t="n"/>
      <c r="Q1106" s="9" t="n"/>
    </row>
    <row r="1107">
      <c r="A1107" s="9" t="n"/>
      <c r="B1107" s="70" t="n"/>
      <c r="C1107" s="9" t="n"/>
      <c r="D1107" s="9" t="n"/>
      <c r="E1107" s="9" t="n"/>
      <c r="F1107" s="9" t="n"/>
      <c r="G1107" s="9" t="n"/>
      <c r="H1107" s="71" t="n"/>
      <c r="I1107" s="9" t="n"/>
      <c r="J1107" s="89">
        <f>IF(H1107="","",IF(I1107="Sí",ROUND(H1107*Configuracion!$B$11,0),0))</f>
        <v/>
      </c>
      <c r="K1107" s="89">
        <f>IF(H1107="","",H1107+J1107)</f>
        <v/>
      </c>
      <c r="L1107" s="13">
        <f>IF(B1107="","",YEAR(B1107))</f>
        <v/>
      </c>
      <c r="M1107" s="13">
        <f>IF(B1107="","",MONTH(B1107))</f>
        <v/>
      </c>
      <c r="N1107" s="9" t="n"/>
      <c r="O1107" s="9" t="n"/>
      <c r="P1107" s="9" t="n"/>
      <c r="Q1107" s="9" t="n"/>
    </row>
    <row r="1108">
      <c r="A1108" s="9" t="n"/>
      <c r="B1108" s="70" t="n"/>
      <c r="C1108" s="9" t="n"/>
      <c r="D1108" s="9" t="n"/>
      <c r="E1108" s="9" t="n"/>
      <c r="F1108" s="9" t="n"/>
      <c r="G1108" s="9" t="n"/>
      <c r="H1108" s="71" t="n"/>
      <c r="I1108" s="9" t="n"/>
      <c r="J1108" s="89">
        <f>IF(H1108="","",IF(I1108="Sí",ROUND(H1108*Configuracion!$B$11,0),0))</f>
        <v/>
      </c>
      <c r="K1108" s="89">
        <f>IF(H1108="","",H1108+J1108)</f>
        <v/>
      </c>
      <c r="L1108" s="13">
        <f>IF(B1108="","",YEAR(B1108))</f>
        <v/>
      </c>
      <c r="M1108" s="13">
        <f>IF(B1108="","",MONTH(B1108))</f>
        <v/>
      </c>
      <c r="N1108" s="9" t="n"/>
      <c r="O1108" s="9" t="n"/>
      <c r="P1108" s="9" t="n"/>
      <c r="Q1108" s="9" t="n"/>
    </row>
    <row r="1109">
      <c r="A1109" s="9" t="n"/>
      <c r="B1109" s="70" t="n"/>
      <c r="C1109" s="9" t="n"/>
      <c r="D1109" s="9" t="n"/>
      <c r="E1109" s="9" t="n"/>
      <c r="F1109" s="9" t="n"/>
      <c r="G1109" s="9" t="n"/>
      <c r="H1109" s="71" t="n"/>
      <c r="I1109" s="9" t="n"/>
      <c r="J1109" s="89">
        <f>IF(H1109="","",IF(I1109="Sí",ROUND(H1109*Configuracion!$B$11,0),0))</f>
        <v/>
      </c>
      <c r="K1109" s="89">
        <f>IF(H1109="","",H1109+J1109)</f>
        <v/>
      </c>
      <c r="L1109" s="13">
        <f>IF(B1109="","",YEAR(B1109))</f>
        <v/>
      </c>
      <c r="M1109" s="13">
        <f>IF(B1109="","",MONTH(B1109))</f>
        <v/>
      </c>
      <c r="N1109" s="9" t="n"/>
      <c r="O1109" s="9" t="n"/>
      <c r="P1109" s="9" t="n"/>
      <c r="Q1109" s="9" t="n"/>
    </row>
    <row r="1110">
      <c r="A1110" s="9" t="n"/>
      <c r="B1110" s="70" t="n"/>
      <c r="C1110" s="9" t="n"/>
      <c r="D1110" s="9" t="n"/>
      <c r="E1110" s="9" t="n"/>
      <c r="F1110" s="9" t="n"/>
      <c r="G1110" s="9" t="n"/>
      <c r="H1110" s="71" t="n"/>
      <c r="I1110" s="9" t="n"/>
      <c r="J1110" s="89">
        <f>IF(H1110="","",IF(I1110="Sí",ROUND(H1110*Configuracion!$B$11,0),0))</f>
        <v/>
      </c>
      <c r="K1110" s="89">
        <f>IF(H1110="","",H1110+J1110)</f>
        <v/>
      </c>
      <c r="L1110" s="13">
        <f>IF(B1110="","",YEAR(B1110))</f>
        <v/>
      </c>
      <c r="M1110" s="13">
        <f>IF(B1110="","",MONTH(B1110))</f>
        <v/>
      </c>
      <c r="N1110" s="9" t="n"/>
      <c r="O1110" s="9" t="n"/>
      <c r="P1110" s="9" t="n"/>
      <c r="Q1110" s="9" t="n"/>
    </row>
    <row r="1111">
      <c r="A1111" s="9" t="n"/>
      <c r="B1111" s="70" t="n"/>
      <c r="C1111" s="9" t="n"/>
      <c r="D1111" s="9" t="n"/>
      <c r="E1111" s="9" t="n"/>
      <c r="F1111" s="9" t="n"/>
      <c r="G1111" s="9" t="n"/>
      <c r="H1111" s="71" t="n"/>
      <c r="I1111" s="9" t="n"/>
      <c r="J1111" s="89">
        <f>IF(H1111="","",IF(I1111="Sí",ROUND(H1111*Configuracion!$B$11,0),0))</f>
        <v/>
      </c>
      <c r="K1111" s="89">
        <f>IF(H1111="","",H1111+J1111)</f>
        <v/>
      </c>
      <c r="L1111" s="13">
        <f>IF(B1111="","",YEAR(B1111))</f>
        <v/>
      </c>
      <c r="M1111" s="13">
        <f>IF(B1111="","",MONTH(B1111))</f>
        <v/>
      </c>
      <c r="N1111" s="9" t="n"/>
      <c r="O1111" s="9" t="n"/>
      <c r="P1111" s="9" t="n"/>
      <c r="Q1111" s="9" t="n"/>
    </row>
    <row r="1112">
      <c r="A1112" s="9" t="n"/>
      <c r="B1112" s="70" t="n"/>
      <c r="C1112" s="9" t="n"/>
      <c r="D1112" s="9" t="n"/>
      <c r="E1112" s="9" t="n"/>
      <c r="F1112" s="9" t="n"/>
      <c r="G1112" s="9" t="n"/>
      <c r="H1112" s="71" t="n"/>
      <c r="I1112" s="9" t="n"/>
      <c r="J1112" s="89">
        <f>IF(H1112="","",IF(I1112="Sí",ROUND(H1112*Configuracion!$B$11,0),0))</f>
        <v/>
      </c>
      <c r="K1112" s="89">
        <f>IF(H1112="","",H1112+J1112)</f>
        <v/>
      </c>
      <c r="L1112" s="13">
        <f>IF(B1112="","",YEAR(B1112))</f>
        <v/>
      </c>
      <c r="M1112" s="13">
        <f>IF(B1112="","",MONTH(B1112))</f>
        <v/>
      </c>
      <c r="N1112" s="9" t="n"/>
      <c r="O1112" s="9" t="n"/>
      <c r="P1112" s="9" t="n"/>
      <c r="Q1112" s="9" t="n"/>
    </row>
    <row r="1113">
      <c r="A1113" s="9" t="n"/>
      <c r="B1113" s="70" t="n"/>
      <c r="C1113" s="9" t="n"/>
      <c r="D1113" s="9" t="n"/>
      <c r="E1113" s="9" t="n"/>
      <c r="F1113" s="9" t="n"/>
      <c r="G1113" s="9" t="n"/>
      <c r="H1113" s="71" t="n"/>
      <c r="I1113" s="9" t="n"/>
      <c r="J1113" s="89">
        <f>IF(H1113="","",IF(I1113="Sí",ROUND(H1113*Configuracion!$B$11,0),0))</f>
        <v/>
      </c>
      <c r="K1113" s="89">
        <f>IF(H1113="","",H1113+J1113)</f>
        <v/>
      </c>
      <c r="L1113" s="13">
        <f>IF(B1113="","",YEAR(B1113))</f>
        <v/>
      </c>
      <c r="M1113" s="13">
        <f>IF(B1113="","",MONTH(B1113))</f>
        <v/>
      </c>
      <c r="N1113" s="9" t="n"/>
      <c r="O1113" s="9" t="n"/>
      <c r="P1113" s="9" t="n"/>
      <c r="Q1113" s="9" t="n"/>
    </row>
    <row r="1114">
      <c r="A1114" s="9" t="n"/>
      <c r="B1114" s="70" t="n"/>
      <c r="C1114" s="9" t="n"/>
      <c r="D1114" s="9" t="n"/>
      <c r="E1114" s="9" t="n"/>
      <c r="F1114" s="9" t="n"/>
      <c r="G1114" s="9" t="n"/>
      <c r="H1114" s="71" t="n"/>
      <c r="I1114" s="9" t="n"/>
      <c r="J1114" s="89">
        <f>IF(H1114="","",IF(I1114="Sí",ROUND(H1114*Configuracion!$B$11,0),0))</f>
        <v/>
      </c>
      <c r="K1114" s="89">
        <f>IF(H1114="","",H1114+J1114)</f>
        <v/>
      </c>
      <c r="L1114" s="13">
        <f>IF(B1114="","",YEAR(B1114))</f>
        <v/>
      </c>
      <c r="M1114" s="13">
        <f>IF(B1114="","",MONTH(B1114))</f>
        <v/>
      </c>
      <c r="N1114" s="9" t="n"/>
      <c r="O1114" s="9" t="n"/>
      <c r="P1114" s="9" t="n"/>
      <c r="Q1114" s="9" t="n"/>
    </row>
    <row r="1115">
      <c r="A1115" s="9" t="n"/>
      <c r="B1115" s="70" t="n"/>
      <c r="C1115" s="9" t="n"/>
      <c r="D1115" s="9" t="n"/>
      <c r="E1115" s="9" t="n"/>
      <c r="F1115" s="9" t="n"/>
      <c r="G1115" s="9" t="n"/>
      <c r="H1115" s="71" t="n"/>
      <c r="I1115" s="9" t="n"/>
      <c r="J1115" s="89">
        <f>IF(H1115="","",IF(I1115="Sí",ROUND(H1115*Configuracion!$B$11,0),0))</f>
        <v/>
      </c>
      <c r="K1115" s="89">
        <f>IF(H1115="","",H1115+J1115)</f>
        <v/>
      </c>
      <c r="L1115" s="13">
        <f>IF(B1115="","",YEAR(B1115))</f>
        <v/>
      </c>
      <c r="M1115" s="13">
        <f>IF(B1115="","",MONTH(B1115))</f>
        <v/>
      </c>
      <c r="N1115" s="9" t="n"/>
      <c r="O1115" s="9" t="n"/>
      <c r="P1115" s="9" t="n"/>
      <c r="Q1115" s="9" t="n"/>
    </row>
    <row r="1116">
      <c r="A1116" s="9" t="n"/>
      <c r="B1116" s="70" t="n"/>
      <c r="C1116" s="9" t="n"/>
      <c r="D1116" s="9" t="n"/>
      <c r="E1116" s="9" t="n"/>
      <c r="F1116" s="9" t="n"/>
      <c r="G1116" s="9" t="n"/>
      <c r="H1116" s="71" t="n"/>
      <c r="I1116" s="9" t="n"/>
      <c r="J1116" s="89">
        <f>IF(H1116="","",IF(I1116="Sí",ROUND(H1116*Configuracion!$B$11,0),0))</f>
        <v/>
      </c>
      <c r="K1116" s="89">
        <f>IF(H1116="","",H1116+J1116)</f>
        <v/>
      </c>
      <c r="L1116" s="13">
        <f>IF(B1116="","",YEAR(B1116))</f>
        <v/>
      </c>
      <c r="M1116" s="13">
        <f>IF(B1116="","",MONTH(B1116))</f>
        <v/>
      </c>
      <c r="N1116" s="9" t="n"/>
      <c r="O1116" s="9" t="n"/>
      <c r="P1116" s="9" t="n"/>
      <c r="Q1116" s="9" t="n"/>
    </row>
    <row r="1117">
      <c r="A1117" s="9" t="n"/>
      <c r="B1117" s="70" t="n"/>
      <c r="C1117" s="9" t="n"/>
      <c r="D1117" s="9" t="n"/>
      <c r="E1117" s="9" t="n"/>
      <c r="F1117" s="9" t="n"/>
      <c r="G1117" s="9" t="n"/>
      <c r="H1117" s="71" t="n"/>
      <c r="I1117" s="9" t="n"/>
      <c r="J1117" s="89">
        <f>IF(H1117="","",IF(I1117="Sí",ROUND(H1117*Configuracion!$B$11,0),0))</f>
        <v/>
      </c>
      <c r="K1117" s="89">
        <f>IF(H1117="","",H1117+J1117)</f>
        <v/>
      </c>
      <c r="L1117" s="13">
        <f>IF(B1117="","",YEAR(B1117))</f>
        <v/>
      </c>
      <c r="M1117" s="13">
        <f>IF(B1117="","",MONTH(B1117))</f>
        <v/>
      </c>
      <c r="N1117" s="9" t="n"/>
      <c r="O1117" s="9" t="n"/>
      <c r="P1117" s="9" t="n"/>
      <c r="Q1117" s="9" t="n"/>
    </row>
    <row r="1118">
      <c r="A1118" s="9" t="n"/>
      <c r="B1118" s="70" t="n"/>
      <c r="C1118" s="9" t="n"/>
      <c r="D1118" s="9" t="n"/>
      <c r="E1118" s="9" t="n"/>
      <c r="F1118" s="9" t="n"/>
      <c r="G1118" s="9" t="n"/>
      <c r="H1118" s="71" t="n"/>
      <c r="I1118" s="9" t="n"/>
      <c r="J1118" s="89">
        <f>IF(H1118="","",IF(I1118="Sí",ROUND(H1118*Configuracion!$B$11,0),0))</f>
        <v/>
      </c>
      <c r="K1118" s="89">
        <f>IF(H1118="","",H1118+J1118)</f>
        <v/>
      </c>
      <c r="L1118" s="13">
        <f>IF(B1118="","",YEAR(B1118))</f>
        <v/>
      </c>
      <c r="M1118" s="13">
        <f>IF(B1118="","",MONTH(B1118))</f>
        <v/>
      </c>
      <c r="N1118" s="9" t="n"/>
      <c r="O1118" s="9" t="n"/>
      <c r="P1118" s="9" t="n"/>
      <c r="Q1118" s="9" t="n"/>
    </row>
    <row r="1119">
      <c r="A1119" s="9" t="n"/>
      <c r="B1119" s="70" t="n"/>
      <c r="C1119" s="9" t="n"/>
      <c r="D1119" s="9" t="n"/>
      <c r="E1119" s="9" t="n"/>
      <c r="F1119" s="9" t="n"/>
      <c r="G1119" s="9" t="n"/>
      <c r="H1119" s="71" t="n"/>
      <c r="I1119" s="9" t="n"/>
      <c r="J1119" s="89">
        <f>IF(H1119="","",IF(I1119="Sí",ROUND(H1119*Configuracion!$B$11,0),0))</f>
        <v/>
      </c>
      <c r="K1119" s="89">
        <f>IF(H1119="","",H1119+J1119)</f>
        <v/>
      </c>
      <c r="L1119" s="13">
        <f>IF(B1119="","",YEAR(B1119))</f>
        <v/>
      </c>
      <c r="M1119" s="13">
        <f>IF(B1119="","",MONTH(B1119))</f>
        <v/>
      </c>
      <c r="N1119" s="9" t="n"/>
      <c r="O1119" s="9" t="n"/>
      <c r="P1119" s="9" t="n"/>
      <c r="Q1119" s="9" t="n"/>
    </row>
    <row r="1120">
      <c r="A1120" s="9" t="n"/>
      <c r="B1120" s="70" t="n"/>
      <c r="C1120" s="9" t="n"/>
      <c r="D1120" s="9" t="n"/>
      <c r="E1120" s="9" t="n"/>
      <c r="F1120" s="9" t="n"/>
      <c r="G1120" s="9" t="n"/>
      <c r="H1120" s="71" t="n"/>
      <c r="I1120" s="9" t="n"/>
      <c r="J1120" s="89">
        <f>IF(H1120="","",IF(I1120="Sí",ROUND(H1120*Configuracion!$B$11,0),0))</f>
        <v/>
      </c>
      <c r="K1120" s="89">
        <f>IF(H1120="","",H1120+J1120)</f>
        <v/>
      </c>
      <c r="L1120" s="13">
        <f>IF(B1120="","",YEAR(B1120))</f>
        <v/>
      </c>
      <c r="M1120" s="13">
        <f>IF(B1120="","",MONTH(B1120))</f>
        <v/>
      </c>
      <c r="N1120" s="9" t="n"/>
      <c r="O1120" s="9" t="n"/>
      <c r="P1120" s="9" t="n"/>
      <c r="Q1120" s="9" t="n"/>
    </row>
    <row r="1121">
      <c r="A1121" s="9" t="n"/>
      <c r="B1121" s="70" t="n"/>
      <c r="C1121" s="9" t="n"/>
      <c r="D1121" s="9" t="n"/>
      <c r="E1121" s="9" t="n"/>
      <c r="F1121" s="9" t="n"/>
      <c r="G1121" s="9" t="n"/>
      <c r="H1121" s="71" t="n"/>
      <c r="I1121" s="9" t="n"/>
      <c r="J1121" s="89">
        <f>IF(H1121="","",IF(I1121="Sí",ROUND(H1121*Configuracion!$B$11,0),0))</f>
        <v/>
      </c>
      <c r="K1121" s="89">
        <f>IF(H1121="","",H1121+J1121)</f>
        <v/>
      </c>
      <c r="L1121" s="13">
        <f>IF(B1121="","",YEAR(B1121))</f>
        <v/>
      </c>
      <c r="M1121" s="13">
        <f>IF(B1121="","",MONTH(B1121))</f>
        <v/>
      </c>
      <c r="N1121" s="9" t="n"/>
      <c r="O1121" s="9" t="n"/>
      <c r="P1121" s="9" t="n"/>
      <c r="Q1121" s="9" t="n"/>
    </row>
    <row r="1122">
      <c r="A1122" s="9" t="n"/>
      <c r="B1122" s="70" t="n"/>
      <c r="C1122" s="9" t="n"/>
      <c r="D1122" s="9" t="n"/>
      <c r="E1122" s="9" t="n"/>
      <c r="F1122" s="9" t="n"/>
      <c r="G1122" s="9" t="n"/>
      <c r="H1122" s="71" t="n"/>
      <c r="I1122" s="9" t="n"/>
      <c r="J1122" s="89">
        <f>IF(H1122="","",IF(I1122="Sí",ROUND(H1122*Configuracion!$B$11,0),0))</f>
        <v/>
      </c>
      <c r="K1122" s="89">
        <f>IF(H1122="","",H1122+J1122)</f>
        <v/>
      </c>
      <c r="L1122" s="13">
        <f>IF(B1122="","",YEAR(B1122))</f>
        <v/>
      </c>
      <c r="M1122" s="13">
        <f>IF(B1122="","",MONTH(B1122))</f>
        <v/>
      </c>
      <c r="N1122" s="9" t="n"/>
      <c r="O1122" s="9" t="n"/>
      <c r="P1122" s="9" t="n"/>
      <c r="Q1122" s="9" t="n"/>
    </row>
    <row r="1123">
      <c r="A1123" s="9" t="n"/>
      <c r="B1123" s="70" t="n"/>
      <c r="C1123" s="9" t="n"/>
      <c r="D1123" s="9" t="n"/>
      <c r="E1123" s="9" t="n"/>
      <c r="F1123" s="9" t="n"/>
      <c r="G1123" s="9" t="n"/>
      <c r="H1123" s="71" t="n"/>
      <c r="I1123" s="9" t="n"/>
      <c r="J1123" s="89">
        <f>IF(H1123="","",IF(I1123="Sí",ROUND(H1123*Configuracion!$B$11,0),0))</f>
        <v/>
      </c>
      <c r="K1123" s="89">
        <f>IF(H1123="","",H1123+J1123)</f>
        <v/>
      </c>
      <c r="L1123" s="13">
        <f>IF(B1123="","",YEAR(B1123))</f>
        <v/>
      </c>
      <c r="M1123" s="13">
        <f>IF(B1123="","",MONTH(B1123))</f>
        <v/>
      </c>
      <c r="N1123" s="9" t="n"/>
      <c r="O1123" s="9" t="n"/>
      <c r="P1123" s="9" t="n"/>
      <c r="Q1123" s="9" t="n"/>
    </row>
    <row r="1124">
      <c r="A1124" s="9" t="n"/>
      <c r="B1124" s="70" t="n"/>
      <c r="C1124" s="9" t="n"/>
      <c r="D1124" s="9" t="n"/>
      <c r="E1124" s="9" t="n"/>
      <c r="F1124" s="9" t="n"/>
      <c r="G1124" s="9" t="n"/>
      <c r="H1124" s="71" t="n"/>
      <c r="I1124" s="9" t="n"/>
      <c r="J1124" s="89">
        <f>IF(H1124="","",IF(I1124="Sí",ROUND(H1124*Configuracion!$B$11,0),0))</f>
        <v/>
      </c>
      <c r="K1124" s="89">
        <f>IF(H1124="","",H1124+J1124)</f>
        <v/>
      </c>
      <c r="L1124" s="13">
        <f>IF(B1124="","",YEAR(B1124))</f>
        <v/>
      </c>
      <c r="M1124" s="13">
        <f>IF(B1124="","",MONTH(B1124))</f>
        <v/>
      </c>
      <c r="N1124" s="9" t="n"/>
      <c r="O1124" s="9" t="n"/>
      <c r="P1124" s="9" t="n"/>
      <c r="Q1124" s="9" t="n"/>
    </row>
    <row r="1125">
      <c r="A1125" s="9" t="n"/>
      <c r="B1125" s="70" t="n"/>
      <c r="C1125" s="9" t="n"/>
      <c r="D1125" s="9" t="n"/>
      <c r="E1125" s="9" t="n"/>
      <c r="F1125" s="9" t="n"/>
      <c r="G1125" s="9" t="n"/>
      <c r="H1125" s="71" t="n"/>
      <c r="I1125" s="9" t="n"/>
      <c r="J1125" s="89">
        <f>IF(H1125="","",IF(I1125="Sí",ROUND(H1125*Configuracion!$B$11,0),0))</f>
        <v/>
      </c>
      <c r="K1125" s="89">
        <f>IF(H1125="","",H1125+J1125)</f>
        <v/>
      </c>
      <c r="L1125" s="13">
        <f>IF(B1125="","",YEAR(B1125))</f>
        <v/>
      </c>
      <c r="M1125" s="13">
        <f>IF(B1125="","",MONTH(B1125))</f>
        <v/>
      </c>
      <c r="N1125" s="9" t="n"/>
      <c r="O1125" s="9" t="n"/>
      <c r="P1125" s="9" t="n"/>
      <c r="Q1125" s="9" t="n"/>
    </row>
    <row r="1126">
      <c r="A1126" s="9" t="n"/>
      <c r="B1126" s="70" t="n"/>
      <c r="C1126" s="9" t="n"/>
      <c r="D1126" s="9" t="n"/>
      <c r="E1126" s="9" t="n"/>
      <c r="F1126" s="9" t="n"/>
      <c r="G1126" s="9" t="n"/>
      <c r="H1126" s="71" t="n"/>
      <c r="I1126" s="9" t="n"/>
      <c r="J1126" s="89">
        <f>IF(H1126="","",IF(I1126="Sí",ROUND(H1126*Configuracion!$B$11,0),0))</f>
        <v/>
      </c>
      <c r="K1126" s="89">
        <f>IF(H1126="","",H1126+J1126)</f>
        <v/>
      </c>
      <c r="L1126" s="13">
        <f>IF(B1126="","",YEAR(B1126))</f>
        <v/>
      </c>
      <c r="M1126" s="13">
        <f>IF(B1126="","",MONTH(B1126))</f>
        <v/>
      </c>
      <c r="N1126" s="9" t="n"/>
      <c r="O1126" s="9" t="n"/>
      <c r="P1126" s="9" t="n"/>
      <c r="Q1126" s="9" t="n"/>
    </row>
    <row r="1127">
      <c r="A1127" s="9" t="n"/>
      <c r="B1127" s="70" t="n"/>
      <c r="C1127" s="9" t="n"/>
      <c r="D1127" s="9" t="n"/>
      <c r="E1127" s="9" t="n"/>
      <c r="F1127" s="9" t="n"/>
      <c r="G1127" s="9" t="n"/>
      <c r="H1127" s="71" t="n"/>
      <c r="I1127" s="9" t="n"/>
      <c r="J1127" s="89">
        <f>IF(H1127="","",IF(I1127="Sí",ROUND(H1127*Configuracion!$B$11,0),0))</f>
        <v/>
      </c>
      <c r="K1127" s="89">
        <f>IF(H1127="","",H1127+J1127)</f>
        <v/>
      </c>
      <c r="L1127" s="13">
        <f>IF(B1127="","",YEAR(B1127))</f>
        <v/>
      </c>
      <c r="M1127" s="13">
        <f>IF(B1127="","",MONTH(B1127))</f>
        <v/>
      </c>
      <c r="N1127" s="9" t="n"/>
      <c r="O1127" s="9" t="n"/>
      <c r="P1127" s="9" t="n"/>
      <c r="Q1127" s="9" t="n"/>
    </row>
    <row r="1128">
      <c r="A1128" s="9" t="n"/>
      <c r="B1128" s="70" t="n"/>
      <c r="C1128" s="9" t="n"/>
      <c r="D1128" s="9" t="n"/>
      <c r="E1128" s="9" t="n"/>
      <c r="F1128" s="9" t="n"/>
      <c r="G1128" s="9" t="n"/>
      <c r="H1128" s="71" t="n"/>
      <c r="I1128" s="9" t="n"/>
      <c r="J1128" s="89">
        <f>IF(H1128="","",IF(I1128="Sí",ROUND(H1128*Configuracion!$B$11,0),0))</f>
        <v/>
      </c>
      <c r="K1128" s="89">
        <f>IF(H1128="","",H1128+J1128)</f>
        <v/>
      </c>
      <c r="L1128" s="13">
        <f>IF(B1128="","",YEAR(B1128))</f>
        <v/>
      </c>
      <c r="M1128" s="13">
        <f>IF(B1128="","",MONTH(B1128))</f>
        <v/>
      </c>
      <c r="N1128" s="9" t="n"/>
      <c r="O1128" s="9" t="n"/>
      <c r="P1128" s="9" t="n"/>
      <c r="Q1128" s="9" t="n"/>
    </row>
    <row r="1129">
      <c r="A1129" s="9" t="n"/>
      <c r="B1129" s="70" t="n"/>
      <c r="C1129" s="9" t="n"/>
      <c r="D1129" s="9" t="n"/>
      <c r="E1129" s="9" t="n"/>
      <c r="F1129" s="9" t="n"/>
      <c r="G1129" s="9" t="n"/>
      <c r="H1129" s="71" t="n"/>
      <c r="I1129" s="9" t="n"/>
      <c r="J1129" s="89">
        <f>IF(H1129="","",IF(I1129="Sí",ROUND(H1129*Configuracion!$B$11,0),0))</f>
        <v/>
      </c>
      <c r="K1129" s="89">
        <f>IF(H1129="","",H1129+J1129)</f>
        <v/>
      </c>
      <c r="L1129" s="13">
        <f>IF(B1129="","",YEAR(B1129))</f>
        <v/>
      </c>
      <c r="M1129" s="13">
        <f>IF(B1129="","",MONTH(B1129))</f>
        <v/>
      </c>
      <c r="N1129" s="9" t="n"/>
      <c r="O1129" s="9" t="n"/>
      <c r="P1129" s="9" t="n"/>
      <c r="Q1129" s="9" t="n"/>
    </row>
    <row r="1130">
      <c r="A1130" s="9" t="n"/>
      <c r="B1130" s="70" t="n"/>
      <c r="C1130" s="9" t="n"/>
      <c r="D1130" s="9" t="n"/>
      <c r="E1130" s="9" t="n"/>
      <c r="F1130" s="9" t="n"/>
      <c r="G1130" s="9" t="n"/>
      <c r="H1130" s="71" t="n"/>
      <c r="I1130" s="9" t="n"/>
      <c r="J1130" s="89">
        <f>IF(H1130="","",IF(I1130="Sí",ROUND(H1130*Configuracion!$B$11,0),0))</f>
        <v/>
      </c>
      <c r="K1130" s="89">
        <f>IF(H1130="","",H1130+J1130)</f>
        <v/>
      </c>
      <c r="L1130" s="13">
        <f>IF(B1130="","",YEAR(B1130))</f>
        <v/>
      </c>
      <c r="M1130" s="13">
        <f>IF(B1130="","",MONTH(B1130))</f>
        <v/>
      </c>
      <c r="N1130" s="9" t="n"/>
      <c r="O1130" s="9" t="n"/>
      <c r="P1130" s="9" t="n"/>
      <c r="Q1130" s="9" t="n"/>
    </row>
    <row r="1131">
      <c r="A1131" s="9" t="n"/>
      <c r="B1131" s="70" t="n"/>
      <c r="C1131" s="9" t="n"/>
      <c r="D1131" s="9" t="n"/>
      <c r="E1131" s="9" t="n"/>
      <c r="F1131" s="9" t="n"/>
      <c r="G1131" s="9" t="n"/>
      <c r="H1131" s="71" t="n"/>
      <c r="I1131" s="9" t="n"/>
      <c r="J1131" s="89">
        <f>IF(H1131="","",IF(I1131="Sí",ROUND(H1131*Configuracion!$B$11,0),0))</f>
        <v/>
      </c>
      <c r="K1131" s="89">
        <f>IF(H1131="","",H1131+J1131)</f>
        <v/>
      </c>
      <c r="L1131" s="13">
        <f>IF(B1131="","",YEAR(B1131))</f>
        <v/>
      </c>
      <c r="M1131" s="13">
        <f>IF(B1131="","",MONTH(B1131))</f>
        <v/>
      </c>
      <c r="N1131" s="9" t="n"/>
      <c r="O1131" s="9" t="n"/>
      <c r="P1131" s="9" t="n"/>
      <c r="Q1131" s="9" t="n"/>
    </row>
    <row r="1132">
      <c r="A1132" s="9" t="n"/>
      <c r="B1132" s="70" t="n"/>
      <c r="C1132" s="9" t="n"/>
      <c r="D1132" s="9" t="n"/>
      <c r="E1132" s="9" t="n"/>
      <c r="F1132" s="9" t="n"/>
      <c r="G1132" s="9" t="n"/>
      <c r="H1132" s="71" t="n"/>
      <c r="I1132" s="9" t="n"/>
      <c r="J1132" s="89">
        <f>IF(H1132="","",IF(I1132="Sí",ROUND(H1132*Configuracion!$B$11,0),0))</f>
        <v/>
      </c>
      <c r="K1132" s="89">
        <f>IF(H1132="","",H1132+J1132)</f>
        <v/>
      </c>
      <c r="L1132" s="13">
        <f>IF(B1132="","",YEAR(B1132))</f>
        <v/>
      </c>
      <c r="M1132" s="13">
        <f>IF(B1132="","",MONTH(B1132))</f>
        <v/>
      </c>
      <c r="N1132" s="9" t="n"/>
      <c r="O1132" s="9" t="n"/>
      <c r="P1132" s="9" t="n"/>
      <c r="Q1132" s="9" t="n"/>
    </row>
    <row r="1133">
      <c r="A1133" s="9" t="n"/>
      <c r="B1133" s="70" t="n"/>
      <c r="C1133" s="9" t="n"/>
      <c r="D1133" s="9" t="n"/>
      <c r="E1133" s="9" t="n"/>
      <c r="F1133" s="9" t="n"/>
      <c r="G1133" s="9" t="n"/>
      <c r="H1133" s="71" t="n"/>
      <c r="I1133" s="9" t="n"/>
      <c r="J1133" s="89">
        <f>IF(H1133="","",IF(I1133="Sí",ROUND(H1133*Configuracion!$B$11,0),0))</f>
        <v/>
      </c>
      <c r="K1133" s="89">
        <f>IF(H1133="","",H1133+J1133)</f>
        <v/>
      </c>
      <c r="L1133" s="13">
        <f>IF(B1133="","",YEAR(B1133))</f>
        <v/>
      </c>
      <c r="M1133" s="13">
        <f>IF(B1133="","",MONTH(B1133))</f>
        <v/>
      </c>
      <c r="N1133" s="9" t="n"/>
      <c r="O1133" s="9" t="n"/>
      <c r="P1133" s="9" t="n"/>
      <c r="Q1133" s="9" t="n"/>
    </row>
    <row r="1134">
      <c r="A1134" s="9" t="n"/>
      <c r="B1134" s="70" t="n"/>
      <c r="C1134" s="9" t="n"/>
      <c r="D1134" s="9" t="n"/>
      <c r="E1134" s="9" t="n"/>
      <c r="F1134" s="9" t="n"/>
      <c r="G1134" s="9" t="n"/>
      <c r="H1134" s="71" t="n"/>
      <c r="I1134" s="9" t="n"/>
      <c r="J1134" s="89">
        <f>IF(H1134="","",IF(I1134="Sí",ROUND(H1134*Configuracion!$B$11,0),0))</f>
        <v/>
      </c>
      <c r="K1134" s="89">
        <f>IF(H1134="","",H1134+J1134)</f>
        <v/>
      </c>
      <c r="L1134" s="13">
        <f>IF(B1134="","",YEAR(B1134))</f>
        <v/>
      </c>
      <c r="M1134" s="13">
        <f>IF(B1134="","",MONTH(B1134))</f>
        <v/>
      </c>
      <c r="N1134" s="9" t="n"/>
      <c r="O1134" s="9" t="n"/>
      <c r="P1134" s="9" t="n"/>
      <c r="Q1134" s="9" t="n"/>
    </row>
    <row r="1135">
      <c r="A1135" s="9" t="n"/>
      <c r="B1135" s="70" t="n"/>
      <c r="C1135" s="9" t="n"/>
      <c r="D1135" s="9" t="n"/>
      <c r="E1135" s="9" t="n"/>
      <c r="F1135" s="9" t="n"/>
      <c r="G1135" s="9" t="n"/>
      <c r="H1135" s="71" t="n"/>
      <c r="I1135" s="9" t="n"/>
      <c r="J1135" s="89">
        <f>IF(H1135="","",IF(I1135="Sí",ROUND(H1135*Configuracion!$B$11,0),0))</f>
        <v/>
      </c>
      <c r="K1135" s="89">
        <f>IF(H1135="","",H1135+J1135)</f>
        <v/>
      </c>
      <c r="L1135" s="13">
        <f>IF(B1135="","",YEAR(B1135))</f>
        <v/>
      </c>
      <c r="M1135" s="13">
        <f>IF(B1135="","",MONTH(B1135))</f>
        <v/>
      </c>
      <c r="N1135" s="9" t="n"/>
      <c r="O1135" s="9" t="n"/>
      <c r="P1135" s="9" t="n"/>
      <c r="Q1135" s="9" t="n"/>
    </row>
    <row r="1136">
      <c r="A1136" s="9" t="n"/>
      <c r="B1136" s="70" t="n"/>
      <c r="C1136" s="9" t="n"/>
      <c r="D1136" s="9" t="n"/>
      <c r="E1136" s="9" t="n"/>
      <c r="F1136" s="9" t="n"/>
      <c r="G1136" s="9" t="n"/>
      <c r="H1136" s="71" t="n"/>
      <c r="I1136" s="9" t="n"/>
      <c r="J1136" s="89">
        <f>IF(H1136="","",IF(I1136="Sí",ROUND(H1136*Configuracion!$B$11,0),0))</f>
        <v/>
      </c>
      <c r="K1136" s="89">
        <f>IF(H1136="","",H1136+J1136)</f>
        <v/>
      </c>
      <c r="L1136" s="13">
        <f>IF(B1136="","",YEAR(B1136))</f>
        <v/>
      </c>
      <c r="M1136" s="13">
        <f>IF(B1136="","",MONTH(B1136))</f>
        <v/>
      </c>
      <c r="N1136" s="9" t="n"/>
      <c r="O1136" s="9" t="n"/>
      <c r="P1136" s="9" t="n"/>
      <c r="Q1136" s="9" t="n"/>
    </row>
    <row r="1137">
      <c r="A1137" s="9" t="n"/>
      <c r="B1137" s="70" t="n"/>
      <c r="C1137" s="9" t="n"/>
      <c r="D1137" s="9" t="n"/>
      <c r="E1137" s="9" t="n"/>
      <c r="F1137" s="9" t="n"/>
      <c r="G1137" s="9" t="n"/>
      <c r="H1137" s="71" t="n"/>
      <c r="I1137" s="9" t="n"/>
      <c r="J1137" s="89">
        <f>IF(H1137="","",IF(I1137="Sí",ROUND(H1137*Configuracion!$B$11,0),0))</f>
        <v/>
      </c>
      <c r="K1137" s="89">
        <f>IF(H1137="","",H1137+J1137)</f>
        <v/>
      </c>
      <c r="L1137" s="13">
        <f>IF(B1137="","",YEAR(B1137))</f>
        <v/>
      </c>
      <c r="M1137" s="13">
        <f>IF(B1137="","",MONTH(B1137))</f>
        <v/>
      </c>
      <c r="N1137" s="9" t="n"/>
      <c r="O1137" s="9" t="n"/>
      <c r="P1137" s="9" t="n"/>
      <c r="Q1137" s="9" t="n"/>
    </row>
    <row r="1138">
      <c r="A1138" s="9" t="n"/>
      <c r="B1138" s="70" t="n"/>
      <c r="C1138" s="9" t="n"/>
      <c r="D1138" s="9" t="n"/>
      <c r="E1138" s="9" t="n"/>
      <c r="F1138" s="9" t="n"/>
      <c r="G1138" s="9" t="n"/>
      <c r="H1138" s="71" t="n"/>
      <c r="I1138" s="9" t="n"/>
      <c r="J1138" s="89">
        <f>IF(H1138="","",IF(I1138="Sí",ROUND(H1138*Configuracion!$B$11,0),0))</f>
        <v/>
      </c>
      <c r="K1138" s="89">
        <f>IF(H1138="","",H1138+J1138)</f>
        <v/>
      </c>
      <c r="L1138" s="13">
        <f>IF(B1138="","",YEAR(B1138))</f>
        <v/>
      </c>
      <c r="M1138" s="13">
        <f>IF(B1138="","",MONTH(B1138))</f>
        <v/>
      </c>
      <c r="N1138" s="9" t="n"/>
      <c r="O1138" s="9" t="n"/>
      <c r="P1138" s="9" t="n"/>
      <c r="Q1138" s="9" t="n"/>
    </row>
    <row r="1139">
      <c r="A1139" s="9" t="n"/>
      <c r="B1139" s="70" t="n"/>
      <c r="C1139" s="9" t="n"/>
      <c r="D1139" s="9" t="n"/>
      <c r="E1139" s="9" t="n"/>
      <c r="F1139" s="9" t="n"/>
      <c r="G1139" s="9" t="n"/>
      <c r="H1139" s="71" t="n"/>
      <c r="I1139" s="9" t="n"/>
      <c r="J1139" s="89">
        <f>IF(H1139="","",IF(I1139="Sí",ROUND(H1139*Configuracion!$B$11,0),0))</f>
        <v/>
      </c>
      <c r="K1139" s="89">
        <f>IF(H1139="","",H1139+J1139)</f>
        <v/>
      </c>
      <c r="L1139" s="13">
        <f>IF(B1139="","",YEAR(B1139))</f>
        <v/>
      </c>
      <c r="M1139" s="13">
        <f>IF(B1139="","",MONTH(B1139))</f>
        <v/>
      </c>
      <c r="N1139" s="9" t="n"/>
      <c r="O1139" s="9" t="n"/>
      <c r="P1139" s="9" t="n"/>
      <c r="Q1139" s="9" t="n"/>
    </row>
    <row r="1140">
      <c r="A1140" s="9" t="n"/>
      <c r="B1140" s="70" t="n"/>
      <c r="C1140" s="9" t="n"/>
      <c r="D1140" s="9" t="n"/>
      <c r="E1140" s="9" t="n"/>
      <c r="F1140" s="9" t="n"/>
      <c r="G1140" s="9" t="n"/>
      <c r="H1140" s="71" t="n"/>
      <c r="I1140" s="9" t="n"/>
      <c r="J1140" s="89">
        <f>IF(H1140="","",IF(I1140="Sí",ROUND(H1140*Configuracion!$B$11,0),0))</f>
        <v/>
      </c>
      <c r="K1140" s="89">
        <f>IF(H1140="","",H1140+J1140)</f>
        <v/>
      </c>
      <c r="L1140" s="13">
        <f>IF(B1140="","",YEAR(B1140))</f>
        <v/>
      </c>
      <c r="M1140" s="13">
        <f>IF(B1140="","",MONTH(B1140))</f>
        <v/>
      </c>
      <c r="N1140" s="9" t="n"/>
      <c r="O1140" s="9" t="n"/>
      <c r="P1140" s="9" t="n"/>
      <c r="Q1140" s="9" t="n"/>
    </row>
    <row r="1141">
      <c r="A1141" s="9" t="n"/>
      <c r="B1141" s="70" t="n"/>
      <c r="C1141" s="9" t="n"/>
      <c r="D1141" s="9" t="n"/>
      <c r="E1141" s="9" t="n"/>
      <c r="F1141" s="9" t="n"/>
      <c r="G1141" s="9" t="n"/>
      <c r="H1141" s="71" t="n"/>
      <c r="I1141" s="9" t="n"/>
      <c r="J1141" s="89">
        <f>IF(H1141="","",IF(I1141="Sí",ROUND(H1141*Configuracion!$B$11,0),0))</f>
        <v/>
      </c>
      <c r="K1141" s="89">
        <f>IF(H1141="","",H1141+J1141)</f>
        <v/>
      </c>
      <c r="L1141" s="13">
        <f>IF(B1141="","",YEAR(B1141))</f>
        <v/>
      </c>
      <c r="M1141" s="13">
        <f>IF(B1141="","",MONTH(B1141))</f>
        <v/>
      </c>
      <c r="N1141" s="9" t="n"/>
      <c r="O1141" s="9" t="n"/>
      <c r="P1141" s="9" t="n"/>
      <c r="Q1141" s="9" t="n"/>
    </row>
    <row r="1142">
      <c r="A1142" s="9" t="n"/>
      <c r="B1142" s="70" t="n"/>
      <c r="C1142" s="9" t="n"/>
      <c r="D1142" s="9" t="n"/>
      <c r="E1142" s="9" t="n"/>
      <c r="F1142" s="9" t="n"/>
      <c r="G1142" s="9" t="n"/>
      <c r="H1142" s="71" t="n"/>
      <c r="I1142" s="9" t="n"/>
      <c r="J1142" s="89">
        <f>IF(H1142="","",IF(I1142="Sí",ROUND(H1142*Configuracion!$B$11,0),0))</f>
        <v/>
      </c>
      <c r="K1142" s="89">
        <f>IF(H1142="","",H1142+J1142)</f>
        <v/>
      </c>
      <c r="L1142" s="13">
        <f>IF(B1142="","",YEAR(B1142))</f>
        <v/>
      </c>
      <c r="M1142" s="13">
        <f>IF(B1142="","",MONTH(B1142))</f>
        <v/>
      </c>
      <c r="N1142" s="9" t="n"/>
      <c r="O1142" s="9" t="n"/>
      <c r="P1142" s="9" t="n"/>
      <c r="Q1142" s="9" t="n"/>
    </row>
    <row r="1143">
      <c r="A1143" s="9" t="n"/>
      <c r="B1143" s="70" t="n"/>
      <c r="C1143" s="9" t="n"/>
      <c r="D1143" s="9" t="n"/>
      <c r="E1143" s="9" t="n"/>
      <c r="F1143" s="9" t="n"/>
      <c r="G1143" s="9" t="n"/>
      <c r="H1143" s="71" t="n"/>
      <c r="I1143" s="9" t="n"/>
      <c r="J1143" s="89">
        <f>IF(H1143="","",IF(I1143="Sí",ROUND(H1143*Configuracion!$B$11,0),0))</f>
        <v/>
      </c>
      <c r="K1143" s="89">
        <f>IF(H1143="","",H1143+J1143)</f>
        <v/>
      </c>
      <c r="L1143" s="13">
        <f>IF(B1143="","",YEAR(B1143))</f>
        <v/>
      </c>
      <c r="M1143" s="13">
        <f>IF(B1143="","",MONTH(B1143))</f>
        <v/>
      </c>
      <c r="N1143" s="9" t="n"/>
      <c r="O1143" s="9" t="n"/>
      <c r="P1143" s="9" t="n"/>
      <c r="Q1143" s="9" t="n"/>
    </row>
    <row r="1144">
      <c r="A1144" s="9" t="n"/>
      <c r="B1144" s="70" t="n"/>
      <c r="C1144" s="9" t="n"/>
      <c r="D1144" s="9" t="n"/>
      <c r="E1144" s="9" t="n"/>
      <c r="F1144" s="9" t="n"/>
      <c r="G1144" s="9" t="n"/>
      <c r="H1144" s="71" t="n"/>
      <c r="I1144" s="9" t="n"/>
      <c r="J1144" s="89">
        <f>IF(H1144="","",IF(I1144="Sí",ROUND(H1144*Configuracion!$B$11,0),0))</f>
        <v/>
      </c>
      <c r="K1144" s="89">
        <f>IF(H1144="","",H1144+J1144)</f>
        <v/>
      </c>
      <c r="L1144" s="13">
        <f>IF(B1144="","",YEAR(B1144))</f>
        <v/>
      </c>
      <c r="M1144" s="13">
        <f>IF(B1144="","",MONTH(B1144))</f>
        <v/>
      </c>
      <c r="N1144" s="9" t="n"/>
      <c r="O1144" s="9" t="n"/>
      <c r="P1144" s="9" t="n"/>
      <c r="Q1144" s="9" t="n"/>
    </row>
    <row r="1145">
      <c r="A1145" s="9" t="n"/>
      <c r="B1145" s="70" t="n"/>
      <c r="C1145" s="9" t="n"/>
      <c r="D1145" s="9" t="n"/>
      <c r="E1145" s="9" t="n"/>
      <c r="F1145" s="9" t="n"/>
      <c r="G1145" s="9" t="n"/>
      <c r="H1145" s="71" t="n"/>
      <c r="I1145" s="9" t="n"/>
      <c r="J1145" s="89">
        <f>IF(H1145="","",IF(I1145="Sí",ROUND(H1145*Configuracion!$B$11,0),0))</f>
        <v/>
      </c>
      <c r="K1145" s="89">
        <f>IF(H1145="","",H1145+J1145)</f>
        <v/>
      </c>
      <c r="L1145" s="13">
        <f>IF(B1145="","",YEAR(B1145))</f>
        <v/>
      </c>
      <c r="M1145" s="13">
        <f>IF(B1145="","",MONTH(B1145))</f>
        <v/>
      </c>
      <c r="N1145" s="9" t="n"/>
      <c r="O1145" s="9" t="n"/>
      <c r="P1145" s="9" t="n"/>
      <c r="Q1145" s="9" t="n"/>
    </row>
    <row r="1146">
      <c r="A1146" s="9" t="n"/>
      <c r="B1146" s="70" t="n"/>
      <c r="C1146" s="9" t="n"/>
      <c r="D1146" s="9" t="n"/>
      <c r="E1146" s="9" t="n"/>
      <c r="F1146" s="9" t="n"/>
      <c r="G1146" s="9" t="n"/>
      <c r="H1146" s="71" t="n"/>
      <c r="I1146" s="9" t="n"/>
      <c r="J1146" s="89">
        <f>IF(H1146="","",IF(I1146="Sí",ROUND(H1146*Configuracion!$B$11,0),0))</f>
        <v/>
      </c>
      <c r="K1146" s="89">
        <f>IF(H1146="","",H1146+J1146)</f>
        <v/>
      </c>
      <c r="L1146" s="13">
        <f>IF(B1146="","",YEAR(B1146))</f>
        <v/>
      </c>
      <c r="M1146" s="13">
        <f>IF(B1146="","",MONTH(B1146))</f>
        <v/>
      </c>
      <c r="N1146" s="9" t="n"/>
      <c r="O1146" s="9" t="n"/>
      <c r="P1146" s="9" t="n"/>
      <c r="Q1146" s="9" t="n"/>
    </row>
    <row r="1147">
      <c r="A1147" s="9" t="n"/>
      <c r="B1147" s="70" t="n"/>
      <c r="C1147" s="9" t="n"/>
      <c r="D1147" s="9" t="n"/>
      <c r="E1147" s="9" t="n"/>
      <c r="F1147" s="9" t="n"/>
      <c r="G1147" s="9" t="n"/>
      <c r="H1147" s="71" t="n"/>
      <c r="I1147" s="9" t="n"/>
      <c r="J1147" s="89">
        <f>IF(H1147="","",IF(I1147="Sí",ROUND(H1147*Configuracion!$B$11,0),0))</f>
        <v/>
      </c>
      <c r="K1147" s="89">
        <f>IF(H1147="","",H1147+J1147)</f>
        <v/>
      </c>
      <c r="L1147" s="13">
        <f>IF(B1147="","",YEAR(B1147))</f>
        <v/>
      </c>
      <c r="M1147" s="13">
        <f>IF(B1147="","",MONTH(B1147))</f>
        <v/>
      </c>
      <c r="N1147" s="9" t="n"/>
      <c r="O1147" s="9" t="n"/>
      <c r="P1147" s="9" t="n"/>
      <c r="Q1147" s="9" t="n"/>
    </row>
    <row r="1148">
      <c r="A1148" s="9" t="n"/>
      <c r="B1148" s="70" t="n"/>
      <c r="C1148" s="9" t="n"/>
      <c r="D1148" s="9" t="n"/>
      <c r="E1148" s="9" t="n"/>
      <c r="F1148" s="9" t="n"/>
      <c r="G1148" s="9" t="n"/>
      <c r="H1148" s="71" t="n"/>
      <c r="I1148" s="9" t="n"/>
      <c r="J1148" s="89">
        <f>IF(H1148="","",IF(I1148="Sí",ROUND(H1148*Configuracion!$B$11,0),0))</f>
        <v/>
      </c>
      <c r="K1148" s="89">
        <f>IF(H1148="","",H1148+J1148)</f>
        <v/>
      </c>
      <c r="L1148" s="13">
        <f>IF(B1148="","",YEAR(B1148))</f>
        <v/>
      </c>
      <c r="M1148" s="13">
        <f>IF(B1148="","",MONTH(B1148))</f>
        <v/>
      </c>
      <c r="N1148" s="9" t="n"/>
      <c r="O1148" s="9" t="n"/>
      <c r="P1148" s="9" t="n"/>
      <c r="Q1148" s="9" t="n"/>
    </row>
    <row r="1149">
      <c r="A1149" s="9" t="n"/>
      <c r="B1149" s="70" t="n"/>
      <c r="C1149" s="9" t="n"/>
      <c r="D1149" s="9" t="n"/>
      <c r="E1149" s="9" t="n"/>
      <c r="F1149" s="9" t="n"/>
      <c r="G1149" s="9" t="n"/>
      <c r="H1149" s="71" t="n"/>
      <c r="I1149" s="9" t="n"/>
      <c r="J1149" s="89">
        <f>IF(H1149="","",IF(I1149="Sí",ROUND(H1149*Configuracion!$B$11,0),0))</f>
        <v/>
      </c>
      <c r="K1149" s="89">
        <f>IF(H1149="","",H1149+J1149)</f>
        <v/>
      </c>
      <c r="L1149" s="13">
        <f>IF(B1149="","",YEAR(B1149))</f>
        <v/>
      </c>
      <c r="M1149" s="13">
        <f>IF(B1149="","",MONTH(B1149))</f>
        <v/>
      </c>
      <c r="N1149" s="9" t="n"/>
      <c r="O1149" s="9" t="n"/>
      <c r="P1149" s="9" t="n"/>
      <c r="Q1149" s="9" t="n"/>
    </row>
    <row r="1150">
      <c r="A1150" s="9" t="n"/>
      <c r="B1150" s="70" t="n"/>
      <c r="C1150" s="9" t="n"/>
      <c r="D1150" s="9" t="n"/>
      <c r="E1150" s="9" t="n"/>
      <c r="F1150" s="9" t="n"/>
      <c r="G1150" s="9" t="n"/>
      <c r="H1150" s="71" t="n"/>
      <c r="I1150" s="9" t="n"/>
      <c r="J1150" s="89">
        <f>IF(H1150="","",IF(I1150="Sí",ROUND(H1150*Configuracion!$B$11,0),0))</f>
        <v/>
      </c>
      <c r="K1150" s="89">
        <f>IF(H1150="","",H1150+J1150)</f>
        <v/>
      </c>
      <c r="L1150" s="13">
        <f>IF(B1150="","",YEAR(B1150))</f>
        <v/>
      </c>
      <c r="M1150" s="13">
        <f>IF(B1150="","",MONTH(B1150))</f>
        <v/>
      </c>
      <c r="N1150" s="9" t="n"/>
      <c r="O1150" s="9" t="n"/>
      <c r="P1150" s="9" t="n"/>
      <c r="Q1150" s="9" t="n"/>
    </row>
    <row r="1151">
      <c r="A1151" s="9" t="n"/>
      <c r="B1151" s="70" t="n"/>
      <c r="C1151" s="9" t="n"/>
      <c r="D1151" s="9" t="n"/>
      <c r="E1151" s="9" t="n"/>
      <c r="F1151" s="9" t="n"/>
      <c r="G1151" s="9" t="n"/>
      <c r="H1151" s="71" t="n"/>
      <c r="I1151" s="9" t="n"/>
      <c r="J1151" s="89">
        <f>IF(H1151="","",IF(I1151="Sí",ROUND(H1151*Configuracion!$B$11,0),0))</f>
        <v/>
      </c>
      <c r="K1151" s="89">
        <f>IF(H1151="","",H1151+J1151)</f>
        <v/>
      </c>
      <c r="L1151" s="13">
        <f>IF(B1151="","",YEAR(B1151))</f>
        <v/>
      </c>
      <c r="M1151" s="13">
        <f>IF(B1151="","",MONTH(B1151))</f>
        <v/>
      </c>
      <c r="N1151" s="9" t="n"/>
      <c r="O1151" s="9" t="n"/>
      <c r="P1151" s="9" t="n"/>
      <c r="Q1151" s="9" t="n"/>
    </row>
    <row r="1152">
      <c r="A1152" s="9" t="n"/>
      <c r="B1152" s="70" t="n"/>
      <c r="C1152" s="9" t="n"/>
      <c r="D1152" s="9" t="n"/>
      <c r="E1152" s="9" t="n"/>
      <c r="F1152" s="9" t="n"/>
      <c r="G1152" s="9" t="n"/>
      <c r="H1152" s="71" t="n"/>
      <c r="I1152" s="9" t="n"/>
      <c r="J1152" s="89">
        <f>IF(H1152="","",IF(I1152="Sí",ROUND(H1152*Configuracion!$B$11,0),0))</f>
        <v/>
      </c>
      <c r="K1152" s="89">
        <f>IF(H1152="","",H1152+J1152)</f>
        <v/>
      </c>
      <c r="L1152" s="13">
        <f>IF(B1152="","",YEAR(B1152))</f>
        <v/>
      </c>
      <c r="M1152" s="13">
        <f>IF(B1152="","",MONTH(B1152))</f>
        <v/>
      </c>
      <c r="N1152" s="9" t="n"/>
      <c r="O1152" s="9" t="n"/>
      <c r="P1152" s="9" t="n"/>
      <c r="Q1152" s="9" t="n"/>
    </row>
    <row r="1153">
      <c r="A1153" s="9" t="n"/>
      <c r="B1153" s="70" t="n"/>
      <c r="C1153" s="9" t="n"/>
      <c r="D1153" s="9" t="n"/>
      <c r="E1153" s="9" t="n"/>
      <c r="F1153" s="9" t="n"/>
      <c r="G1153" s="9" t="n"/>
      <c r="H1153" s="71" t="n"/>
      <c r="I1153" s="9" t="n"/>
      <c r="J1153" s="89">
        <f>IF(H1153="","",IF(I1153="Sí",ROUND(H1153*Configuracion!$B$11,0),0))</f>
        <v/>
      </c>
      <c r="K1153" s="89">
        <f>IF(H1153="","",H1153+J1153)</f>
        <v/>
      </c>
      <c r="L1153" s="13">
        <f>IF(B1153="","",YEAR(B1153))</f>
        <v/>
      </c>
      <c r="M1153" s="13">
        <f>IF(B1153="","",MONTH(B1153))</f>
        <v/>
      </c>
      <c r="N1153" s="9" t="n"/>
      <c r="O1153" s="9" t="n"/>
      <c r="P1153" s="9" t="n"/>
      <c r="Q1153" s="9" t="n"/>
    </row>
    <row r="1154">
      <c r="A1154" s="9" t="n"/>
      <c r="B1154" s="70" t="n"/>
      <c r="C1154" s="9" t="n"/>
      <c r="D1154" s="9" t="n"/>
      <c r="E1154" s="9" t="n"/>
      <c r="F1154" s="9" t="n"/>
      <c r="G1154" s="9" t="n"/>
      <c r="H1154" s="71" t="n"/>
      <c r="I1154" s="9" t="n"/>
      <c r="J1154" s="89">
        <f>IF(H1154="","",IF(I1154="Sí",ROUND(H1154*Configuracion!$B$11,0),0))</f>
        <v/>
      </c>
      <c r="K1154" s="89">
        <f>IF(H1154="","",H1154+J1154)</f>
        <v/>
      </c>
      <c r="L1154" s="13">
        <f>IF(B1154="","",YEAR(B1154))</f>
        <v/>
      </c>
      <c r="M1154" s="13">
        <f>IF(B1154="","",MONTH(B1154))</f>
        <v/>
      </c>
      <c r="N1154" s="9" t="n"/>
      <c r="O1154" s="9" t="n"/>
      <c r="P1154" s="9" t="n"/>
      <c r="Q1154" s="9" t="n"/>
    </row>
    <row r="1155">
      <c r="A1155" s="9" t="n"/>
      <c r="B1155" s="70" t="n"/>
      <c r="C1155" s="9" t="n"/>
      <c r="D1155" s="9" t="n"/>
      <c r="E1155" s="9" t="n"/>
      <c r="F1155" s="9" t="n"/>
      <c r="G1155" s="9" t="n"/>
      <c r="H1155" s="71" t="n"/>
      <c r="I1155" s="9" t="n"/>
      <c r="J1155" s="89">
        <f>IF(H1155="","",IF(I1155="Sí",ROUND(H1155*Configuracion!$B$11,0),0))</f>
        <v/>
      </c>
      <c r="K1155" s="89">
        <f>IF(H1155="","",H1155+J1155)</f>
        <v/>
      </c>
      <c r="L1155" s="13">
        <f>IF(B1155="","",YEAR(B1155))</f>
        <v/>
      </c>
      <c r="M1155" s="13">
        <f>IF(B1155="","",MONTH(B1155))</f>
        <v/>
      </c>
      <c r="N1155" s="9" t="n"/>
      <c r="O1155" s="9" t="n"/>
      <c r="P1155" s="9" t="n"/>
      <c r="Q1155" s="9" t="n"/>
    </row>
    <row r="1156">
      <c r="A1156" s="9" t="n"/>
      <c r="B1156" s="70" t="n"/>
      <c r="C1156" s="9" t="n"/>
      <c r="D1156" s="9" t="n"/>
      <c r="E1156" s="9" t="n"/>
      <c r="F1156" s="9" t="n"/>
      <c r="G1156" s="9" t="n"/>
      <c r="H1156" s="71" t="n"/>
      <c r="I1156" s="9" t="n"/>
      <c r="J1156" s="89">
        <f>IF(H1156="","",IF(I1156="Sí",ROUND(H1156*Configuracion!$B$11,0),0))</f>
        <v/>
      </c>
      <c r="K1156" s="89">
        <f>IF(H1156="","",H1156+J1156)</f>
        <v/>
      </c>
      <c r="L1156" s="13">
        <f>IF(B1156="","",YEAR(B1156))</f>
        <v/>
      </c>
      <c r="M1156" s="13">
        <f>IF(B1156="","",MONTH(B1156))</f>
        <v/>
      </c>
      <c r="N1156" s="9" t="n"/>
      <c r="O1156" s="9" t="n"/>
      <c r="P1156" s="9" t="n"/>
      <c r="Q1156" s="9" t="n"/>
    </row>
    <row r="1157">
      <c r="A1157" s="9" t="n"/>
      <c r="B1157" s="70" t="n"/>
      <c r="C1157" s="9" t="n"/>
      <c r="D1157" s="9" t="n"/>
      <c r="E1157" s="9" t="n"/>
      <c r="F1157" s="9" t="n"/>
      <c r="G1157" s="9" t="n"/>
      <c r="H1157" s="71" t="n"/>
      <c r="I1157" s="9" t="n"/>
      <c r="J1157" s="89">
        <f>IF(H1157="","",IF(I1157="Sí",ROUND(H1157*Configuracion!$B$11,0),0))</f>
        <v/>
      </c>
      <c r="K1157" s="89">
        <f>IF(H1157="","",H1157+J1157)</f>
        <v/>
      </c>
      <c r="L1157" s="13">
        <f>IF(B1157="","",YEAR(B1157))</f>
        <v/>
      </c>
      <c r="M1157" s="13">
        <f>IF(B1157="","",MONTH(B1157))</f>
        <v/>
      </c>
      <c r="N1157" s="9" t="n"/>
      <c r="O1157" s="9" t="n"/>
      <c r="P1157" s="9" t="n"/>
      <c r="Q1157" s="9" t="n"/>
    </row>
    <row r="1158">
      <c r="A1158" s="9" t="n"/>
      <c r="B1158" s="70" t="n"/>
      <c r="C1158" s="9" t="n"/>
      <c r="D1158" s="9" t="n"/>
      <c r="E1158" s="9" t="n"/>
      <c r="F1158" s="9" t="n"/>
      <c r="G1158" s="9" t="n"/>
      <c r="H1158" s="71" t="n"/>
      <c r="I1158" s="9" t="n"/>
      <c r="J1158" s="89">
        <f>IF(H1158="","",IF(I1158="Sí",ROUND(H1158*Configuracion!$B$11,0),0))</f>
        <v/>
      </c>
      <c r="K1158" s="89">
        <f>IF(H1158="","",H1158+J1158)</f>
        <v/>
      </c>
      <c r="L1158" s="13">
        <f>IF(B1158="","",YEAR(B1158))</f>
        <v/>
      </c>
      <c r="M1158" s="13">
        <f>IF(B1158="","",MONTH(B1158))</f>
        <v/>
      </c>
      <c r="N1158" s="9" t="n"/>
      <c r="O1158" s="9" t="n"/>
      <c r="P1158" s="9" t="n"/>
      <c r="Q1158" s="9" t="n"/>
    </row>
    <row r="1159">
      <c r="A1159" s="9" t="n"/>
      <c r="B1159" s="70" t="n"/>
      <c r="C1159" s="9" t="n"/>
      <c r="D1159" s="9" t="n"/>
      <c r="E1159" s="9" t="n"/>
      <c r="F1159" s="9" t="n"/>
      <c r="G1159" s="9" t="n"/>
      <c r="H1159" s="71" t="n"/>
      <c r="I1159" s="9" t="n"/>
      <c r="J1159" s="89">
        <f>IF(H1159="","",IF(I1159="Sí",ROUND(H1159*Configuracion!$B$11,0),0))</f>
        <v/>
      </c>
      <c r="K1159" s="89">
        <f>IF(H1159="","",H1159+J1159)</f>
        <v/>
      </c>
      <c r="L1159" s="13">
        <f>IF(B1159="","",YEAR(B1159))</f>
        <v/>
      </c>
      <c r="M1159" s="13">
        <f>IF(B1159="","",MONTH(B1159))</f>
        <v/>
      </c>
      <c r="N1159" s="9" t="n"/>
      <c r="O1159" s="9" t="n"/>
      <c r="P1159" s="9" t="n"/>
      <c r="Q1159" s="9" t="n"/>
    </row>
    <row r="1160">
      <c r="A1160" s="9" t="n"/>
      <c r="B1160" s="70" t="n"/>
      <c r="C1160" s="9" t="n"/>
      <c r="D1160" s="9" t="n"/>
      <c r="E1160" s="9" t="n"/>
      <c r="F1160" s="9" t="n"/>
      <c r="G1160" s="9" t="n"/>
      <c r="H1160" s="71" t="n"/>
      <c r="I1160" s="9" t="n"/>
      <c r="J1160" s="89">
        <f>IF(H1160="","",IF(I1160="Sí",ROUND(H1160*Configuracion!$B$11,0),0))</f>
        <v/>
      </c>
      <c r="K1160" s="89">
        <f>IF(H1160="","",H1160+J1160)</f>
        <v/>
      </c>
      <c r="L1160" s="13">
        <f>IF(B1160="","",YEAR(B1160))</f>
        <v/>
      </c>
      <c r="M1160" s="13">
        <f>IF(B1160="","",MONTH(B1160))</f>
        <v/>
      </c>
      <c r="N1160" s="9" t="n"/>
      <c r="O1160" s="9" t="n"/>
      <c r="P1160" s="9" t="n"/>
      <c r="Q1160" s="9" t="n"/>
    </row>
    <row r="1161">
      <c r="A1161" s="9" t="n"/>
      <c r="B1161" s="70" t="n"/>
      <c r="C1161" s="9" t="n"/>
      <c r="D1161" s="9" t="n"/>
      <c r="E1161" s="9" t="n"/>
      <c r="F1161" s="9" t="n"/>
      <c r="G1161" s="9" t="n"/>
      <c r="H1161" s="71" t="n"/>
      <c r="I1161" s="9" t="n"/>
      <c r="J1161" s="89">
        <f>IF(H1161="","",IF(I1161="Sí",ROUND(H1161*Configuracion!$B$11,0),0))</f>
        <v/>
      </c>
      <c r="K1161" s="89">
        <f>IF(H1161="","",H1161+J1161)</f>
        <v/>
      </c>
      <c r="L1161" s="13">
        <f>IF(B1161="","",YEAR(B1161))</f>
        <v/>
      </c>
      <c r="M1161" s="13">
        <f>IF(B1161="","",MONTH(B1161))</f>
        <v/>
      </c>
      <c r="N1161" s="9" t="n"/>
      <c r="O1161" s="9" t="n"/>
      <c r="P1161" s="9" t="n"/>
      <c r="Q1161" s="9" t="n"/>
    </row>
    <row r="1162">
      <c r="A1162" s="9" t="n"/>
      <c r="B1162" s="70" t="n"/>
      <c r="C1162" s="9" t="n"/>
      <c r="D1162" s="9" t="n"/>
      <c r="E1162" s="9" t="n"/>
      <c r="F1162" s="9" t="n"/>
      <c r="G1162" s="9" t="n"/>
      <c r="H1162" s="71" t="n"/>
      <c r="I1162" s="9" t="n"/>
      <c r="J1162" s="89">
        <f>IF(H1162="","",IF(I1162="Sí",ROUND(H1162*Configuracion!$B$11,0),0))</f>
        <v/>
      </c>
      <c r="K1162" s="89">
        <f>IF(H1162="","",H1162+J1162)</f>
        <v/>
      </c>
      <c r="L1162" s="13">
        <f>IF(B1162="","",YEAR(B1162))</f>
        <v/>
      </c>
      <c r="M1162" s="13">
        <f>IF(B1162="","",MONTH(B1162))</f>
        <v/>
      </c>
      <c r="N1162" s="9" t="n"/>
      <c r="O1162" s="9" t="n"/>
      <c r="P1162" s="9" t="n"/>
      <c r="Q1162" s="9" t="n"/>
    </row>
    <row r="1163">
      <c r="A1163" s="9" t="n"/>
      <c r="B1163" s="70" t="n"/>
      <c r="C1163" s="9" t="n"/>
      <c r="D1163" s="9" t="n"/>
      <c r="E1163" s="9" t="n"/>
      <c r="F1163" s="9" t="n"/>
      <c r="G1163" s="9" t="n"/>
      <c r="H1163" s="71" t="n"/>
      <c r="I1163" s="9" t="n"/>
      <c r="J1163" s="89">
        <f>IF(H1163="","",IF(I1163="Sí",ROUND(H1163*Configuracion!$B$11,0),0))</f>
        <v/>
      </c>
      <c r="K1163" s="89">
        <f>IF(H1163="","",H1163+J1163)</f>
        <v/>
      </c>
      <c r="L1163" s="13">
        <f>IF(B1163="","",YEAR(B1163))</f>
        <v/>
      </c>
      <c r="M1163" s="13">
        <f>IF(B1163="","",MONTH(B1163))</f>
        <v/>
      </c>
      <c r="N1163" s="9" t="n"/>
      <c r="O1163" s="9" t="n"/>
      <c r="P1163" s="9" t="n"/>
      <c r="Q1163" s="9" t="n"/>
    </row>
    <row r="1164">
      <c r="A1164" s="9" t="n"/>
      <c r="B1164" s="70" t="n"/>
      <c r="C1164" s="9" t="n"/>
      <c r="D1164" s="9" t="n"/>
      <c r="E1164" s="9" t="n"/>
      <c r="F1164" s="9" t="n"/>
      <c r="G1164" s="9" t="n"/>
      <c r="H1164" s="71" t="n"/>
      <c r="I1164" s="9" t="n"/>
      <c r="J1164" s="89">
        <f>IF(H1164="","",IF(I1164="Sí",ROUND(H1164*Configuracion!$B$11,0),0))</f>
        <v/>
      </c>
      <c r="K1164" s="89">
        <f>IF(H1164="","",H1164+J1164)</f>
        <v/>
      </c>
      <c r="L1164" s="13">
        <f>IF(B1164="","",YEAR(B1164))</f>
        <v/>
      </c>
      <c r="M1164" s="13">
        <f>IF(B1164="","",MONTH(B1164))</f>
        <v/>
      </c>
      <c r="N1164" s="9" t="n"/>
      <c r="O1164" s="9" t="n"/>
      <c r="P1164" s="9" t="n"/>
      <c r="Q1164" s="9" t="n"/>
    </row>
    <row r="1165">
      <c r="A1165" s="9" t="n"/>
      <c r="B1165" s="70" t="n"/>
      <c r="C1165" s="9" t="n"/>
      <c r="D1165" s="9" t="n"/>
      <c r="E1165" s="9" t="n"/>
      <c r="F1165" s="9" t="n"/>
      <c r="G1165" s="9" t="n"/>
      <c r="H1165" s="71" t="n"/>
      <c r="I1165" s="9" t="n"/>
      <c r="J1165" s="89">
        <f>IF(H1165="","",IF(I1165="Sí",ROUND(H1165*Configuracion!$B$11,0),0))</f>
        <v/>
      </c>
      <c r="K1165" s="89">
        <f>IF(H1165="","",H1165+J1165)</f>
        <v/>
      </c>
      <c r="L1165" s="13">
        <f>IF(B1165="","",YEAR(B1165))</f>
        <v/>
      </c>
      <c r="M1165" s="13">
        <f>IF(B1165="","",MONTH(B1165))</f>
        <v/>
      </c>
      <c r="N1165" s="9" t="n"/>
      <c r="O1165" s="9" t="n"/>
      <c r="P1165" s="9" t="n"/>
      <c r="Q1165" s="9" t="n"/>
    </row>
    <row r="1166">
      <c r="A1166" s="9" t="n"/>
      <c r="B1166" s="70" t="n"/>
      <c r="C1166" s="9" t="n"/>
      <c r="D1166" s="9" t="n"/>
      <c r="E1166" s="9" t="n"/>
      <c r="F1166" s="9" t="n"/>
      <c r="G1166" s="9" t="n"/>
      <c r="H1166" s="71" t="n"/>
      <c r="I1166" s="9" t="n"/>
      <c r="J1166" s="89">
        <f>IF(H1166="","",IF(I1166="Sí",ROUND(H1166*Configuracion!$B$11,0),0))</f>
        <v/>
      </c>
      <c r="K1166" s="89">
        <f>IF(H1166="","",H1166+J1166)</f>
        <v/>
      </c>
      <c r="L1166" s="13">
        <f>IF(B1166="","",YEAR(B1166))</f>
        <v/>
      </c>
      <c r="M1166" s="13">
        <f>IF(B1166="","",MONTH(B1166))</f>
        <v/>
      </c>
      <c r="N1166" s="9" t="n"/>
      <c r="O1166" s="9" t="n"/>
      <c r="P1166" s="9" t="n"/>
      <c r="Q1166" s="9" t="n"/>
    </row>
    <row r="1167">
      <c r="A1167" s="9" t="n"/>
      <c r="B1167" s="70" t="n"/>
      <c r="C1167" s="9" t="n"/>
      <c r="D1167" s="9" t="n"/>
      <c r="E1167" s="9" t="n"/>
      <c r="F1167" s="9" t="n"/>
      <c r="G1167" s="9" t="n"/>
      <c r="H1167" s="71" t="n"/>
      <c r="I1167" s="9" t="n"/>
      <c r="J1167" s="89">
        <f>IF(H1167="","",IF(I1167="Sí",ROUND(H1167*Configuracion!$B$11,0),0))</f>
        <v/>
      </c>
      <c r="K1167" s="89">
        <f>IF(H1167="","",H1167+J1167)</f>
        <v/>
      </c>
      <c r="L1167" s="13">
        <f>IF(B1167="","",YEAR(B1167))</f>
        <v/>
      </c>
      <c r="M1167" s="13">
        <f>IF(B1167="","",MONTH(B1167))</f>
        <v/>
      </c>
      <c r="N1167" s="9" t="n"/>
      <c r="O1167" s="9" t="n"/>
      <c r="P1167" s="9" t="n"/>
      <c r="Q1167" s="9" t="n"/>
    </row>
    <row r="1168">
      <c r="A1168" s="9" t="n"/>
      <c r="B1168" s="70" t="n"/>
      <c r="C1168" s="9" t="n"/>
      <c r="D1168" s="9" t="n"/>
      <c r="E1168" s="9" t="n"/>
      <c r="F1168" s="9" t="n"/>
      <c r="G1168" s="9" t="n"/>
      <c r="H1168" s="71" t="n"/>
      <c r="I1168" s="9" t="n"/>
      <c r="J1168" s="89">
        <f>IF(H1168="","",IF(I1168="Sí",ROUND(H1168*Configuracion!$B$11,0),0))</f>
        <v/>
      </c>
      <c r="K1168" s="89">
        <f>IF(H1168="","",H1168+J1168)</f>
        <v/>
      </c>
      <c r="L1168" s="13">
        <f>IF(B1168="","",YEAR(B1168))</f>
        <v/>
      </c>
      <c r="M1168" s="13">
        <f>IF(B1168="","",MONTH(B1168))</f>
        <v/>
      </c>
      <c r="N1168" s="9" t="n"/>
      <c r="O1168" s="9" t="n"/>
      <c r="P1168" s="9" t="n"/>
      <c r="Q1168" s="9" t="n"/>
    </row>
    <row r="1169">
      <c r="A1169" s="9" t="n"/>
      <c r="B1169" s="70" t="n"/>
      <c r="C1169" s="9" t="n"/>
      <c r="D1169" s="9" t="n"/>
      <c r="E1169" s="9" t="n"/>
      <c r="F1169" s="9" t="n"/>
      <c r="G1169" s="9" t="n"/>
      <c r="H1169" s="71" t="n"/>
      <c r="I1169" s="9" t="n"/>
      <c r="J1169" s="89">
        <f>IF(H1169="","",IF(I1169="Sí",ROUND(H1169*Configuracion!$B$11,0),0))</f>
        <v/>
      </c>
      <c r="K1169" s="89">
        <f>IF(H1169="","",H1169+J1169)</f>
        <v/>
      </c>
      <c r="L1169" s="13">
        <f>IF(B1169="","",YEAR(B1169))</f>
        <v/>
      </c>
      <c r="M1169" s="13">
        <f>IF(B1169="","",MONTH(B1169))</f>
        <v/>
      </c>
      <c r="N1169" s="9" t="n"/>
      <c r="O1169" s="9" t="n"/>
      <c r="P1169" s="9" t="n"/>
      <c r="Q1169" s="9" t="n"/>
    </row>
    <row r="1170">
      <c r="A1170" s="9" t="n"/>
      <c r="B1170" s="70" t="n"/>
      <c r="C1170" s="9" t="n"/>
      <c r="D1170" s="9" t="n"/>
      <c r="E1170" s="9" t="n"/>
      <c r="F1170" s="9" t="n"/>
      <c r="G1170" s="9" t="n"/>
      <c r="H1170" s="71" t="n"/>
      <c r="I1170" s="9" t="n"/>
      <c r="J1170" s="89">
        <f>IF(H1170="","",IF(I1170="Sí",ROUND(H1170*Configuracion!$B$11,0),0))</f>
        <v/>
      </c>
      <c r="K1170" s="89">
        <f>IF(H1170="","",H1170+J1170)</f>
        <v/>
      </c>
      <c r="L1170" s="13">
        <f>IF(B1170="","",YEAR(B1170))</f>
        <v/>
      </c>
      <c r="M1170" s="13">
        <f>IF(B1170="","",MONTH(B1170))</f>
        <v/>
      </c>
      <c r="N1170" s="9" t="n"/>
      <c r="O1170" s="9" t="n"/>
      <c r="P1170" s="9" t="n"/>
      <c r="Q1170" s="9" t="n"/>
    </row>
    <row r="1171">
      <c r="A1171" s="9" t="n"/>
      <c r="B1171" s="70" t="n"/>
      <c r="C1171" s="9" t="n"/>
      <c r="D1171" s="9" t="n"/>
      <c r="E1171" s="9" t="n"/>
      <c r="F1171" s="9" t="n"/>
      <c r="G1171" s="9" t="n"/>
      <c r="H1171" s="71" t="n"/>
      <c r="I1171" s="9" t="n"/>
      <c r="J1171" s="89">
        <f>IF(H1171="","",IF(I1171="Sí",ROUND(H1171*Configuracion!$B$11,0),0))</f>
        <v/>
      </c>
      <c r="K1171" s="89">
        <f>IF(H1171="","",H1171+J1171)</f>
        <v/>
      </c>
      <c r="L1171" s="13">
        <f>IF(B1171="","",YEAR(B1171))</f>
        <v/>
      </c>
      <c r="M1171" s="13">
        <f>IF(B1171="","",MONTH(B1171))</f>
        <v/>
      </c>
      <c r="N1171" s="9" t="n"/>
      <c r="O1171" s="9" t="n"/>
      <c r="P1171" s="9" t="n"/>
      <c r="Q1171" s="9" t="n"/>
    </row>
    <row r="1172">
      <c r="A1172" s="9" t="n"/>
      <c r="B1172" s="70" t="n"/>
      <c r="C1172" s="9" t="n"/>
      <c r="D1172" s="9" t="n"/>
      <c r="E1172" s="9" t="n"/>
      <c r="F1172" s="9" t="n"/>
      <c r="G1172" s="9" t="n"/>
      <c r="H1172" s="71" t="n"/>
      <c r="I1172" s="9" t="n"/>
      <c r="J1172" s="89">
        <f>IF(H1172="","",IF(I1172="Sí",ROUND(H1172*Configuracion!$B$11,0),0))</f>
        <v/>
      </c>
      <c r="K1172" s="89">
        <f>IF(H1172="","",H1172+J1172)</f>
        <v/>
      </c>
      <c r="L1172" s="13">
        <f>IF(B1172="","",YEAR(B1172))</f>
        <v/>
      </c>
      <c r="M1172" s="13">
        <f>IF(B1172="","",MONTH(B1172))</f>
        <v/>
      </c>
      <c r="N1172" s="9" t="n"/>
      <c r="O1172" s="9" t="n"/>
      <c r="P1172" s="9" t="n"/>
      <c r="Q1172" s="9" t="n"/>
    </row>
    <row r="1173">
      <c r="A1173" s="9" t="n"/>
      <c r="B1173" s="70" t="n"/>
      <c r="C1173" s="9" t="n"/>
      <c r="D1173" s="9" t="n"/>
      <c r="E1173" s="9" t="n"/>
      <c r="F1173" s="9" t="n"/>
      <c r="G1173" s="9" t="n"/>
      <c r="H1173" s="71" t="n"/>
      <c r="I1173" s="9" t="n"/>
      <c r="J1173" s="89">
        <f>IF(H1173="","",IF(I1173="Sí",ROUND(H1173*Configuracion!$B$11,0),0))</f>
        <v/>
      </c>
      <c r="K1173" s="89">
        <f>IF(H1173="","",H1173+J1173)</f>
        <v/>
      </c>
      <c r="L1173" s="13">
        <f>IF(B1173="","",YEAR(B1173))</f>
        <v/>
      </c>
      <c r="M1173" s="13">
        <f>IF(B1173="","",MONTH(B1173))</f>
        <v/>
      </c>
      <c r="N1173" s="9" t="n"/>
      <c r="O1173" s="9" t="n"/>
      <c r="P1173" s="9" t="n"/>
      <c r="Q1173" s="9" t="n"/>
    </row>
    <row r="1174">
      <c r="A1174" s="9" t="n"/>
      <c r="B1174" s="70" t="n"/>
      <c r="C1174" s="9" t="n"/>
      <c r="D1174" s="9" t="n"/>
      <c r="E1174" s="9" t="n"/>
      <c r="F1174" s="9" t="n"/>
      <c r="G1174" s="9" t="n"/>
      <c r="H1174" s="71" t="n"/>
      <c r="I1174" s="9" t="n"/>
      <c r="J1174" s="89">
        <f>IF(H1174="","",IF(I1174="Sí",ROUND(H1174*Configuracion!$B$11,0),0))</f>
        <v/>
      </c>
      <c r="K1174" s="89">
        <f>IF(H1174="","",H1174+J1174)</f>
        <v/>
      </c>
      <c r="L1174" s="13">
        <f>IF(B1174="","",YEAR(B1174))</f>
        <v/>
      </c>
      <c r="M1174" s="13">
        <f>IF(B1174="","",MONTH(B1174))</f>
        <v/>
      </c>
      <c r="N1174" s="9" t="n"/>
      <c r="O1174" s="9" t="n"/>
      <c r="P1174" s="9" t="n"/>
      <c r="Q1174" s="9" t="n"/>
    </row>
    <row r="1175">
      <c r="A1175" s="9" t="n"/>
      <c r="B1175" s="70" t="n"/>
      <c r="C1175" s="9" t="n"/>
      <c r="D1175" s="9" t="n"/>
      <c r="E1175" s="9" t="n"/>
      <c r="F1175" s="9" t="n"/>
      <c r="G1175" s="9" t="n"/>
      <c r="H1175" s="71" t="n"/>
      <c r="I1175" s="9" t="n"/>
      <c r="J1175" s="89">
        <f>IF(H1175="","",IF(I1175="Sí",ROUND(H1175*Configuracion!$B$11,0),0))</f>
        <v/>
      </c>
      <c r="K1175" s="89">
        <f>IF(H1175="","",H1175+J1175)</f>
        <v/>
      </c>
      <c r="L1175" s="13">
        <f>IF(B1175="","",YEAR(B1175))</f>
        <v/>
      </c>
      <c r="M1175" s="13">
        <f>IF(B1175="","",MONTH(B1175))</f>
        <v/>
      </c>
      <c r="N1175" s="9" t="n"/>
      <c r="O1175" s="9" t="n"/>
      <c r="P1175" s="9" t="n"/>
      <c r="Q1175" s="9" t="n"/>
    </row>
    <row r="1176">
      <c r="A1176" s="9" t="n"/>
      <c r="B1176" s="70" t="n"/>
      <c r="C1176" s="9" t="n"/>
      <c r="D1176" s="9" t="n"/>
      <c r="E1176" s="9" t="n"/>
      <c r="F1176" s="9" t="n"/>
      <c r="G1176" s="9" t="n"/>
      <c r="H1176" s="71" t="n"/>
      <c r="I1176" s="9" t="n"/>
      <c r="J1176" s="89">
        <f>IF(H1176="","",IF(I1176="Sí",ROUND(H1176*Configuracion!$B$11,0),0))</f>
        <v/>
      </c>
      <c r="K1176" s="89">
        <f>IF(H1176="","",H1176+J1176)</f>
        <v/>
      </c>
      <c r="L1176" s="13">
        <f>IF(B1176="","",YEAR(B1176))</f>
        <v/>
      </c>
      <c r="M1176" s="13">
        <f>IF(B1176="","",MONTH(B1176))</f>
        <v/>
      </c>
      <c r="N1176" s="9" t="n"/>
      <c r="O1176" s="9" t="n"/>
      <c r="P1176" s="9" t="n"/>
      <c r="Q1176" s="9" t="n"/>
    </row>
    <row r="1177">
      <c r="A1177" s="9" t="n"/>
      <c r="B1177" s="70" t="n"/>
      <c r="C1177" s="9" t="n"/>
      <c r="D1177" s="9" t="n"/>
      <c r="E1177" s="9" t="n"/>
      <c r="F1177" s="9" t="n"/>
      <c r="G1177" s="9" t="n"/>
      <c r="H1177" s="71" t="n"/>
      <c r="I1177" s="9" t="n"/>
      <c r="J1177" s="89">
        <f>IF(H1177="","",IF(I1177="Sí",ROUND(H1177*Configuracion!$B$11,0),0))</f>
        <v/>
      </c>
      <c r="K1177" s="89">
        <f>IF(H1177="","",H1177+J1177)</f>
        <v/>
      </c>
      <c r="L1177" s="13">
        <f>IF(B1177="","",YEAR(B1177))</f>
        <v/>
      </c>
      <c r="M1177" s="13">
        <f>IF(B1177="","",MONTH(B1177))</f>
        <v/>
      </c>
      <c r="N1177" s="9" t="n"/>
      <c r="O1177" s="9" t="n"/>
      <c r="P1177" s="9" t="n"/>
      <c r="Q1177" s="9" t="n"/>
    </row>
    <row r="1178">
      <c r="A1178" s="9" t="n"/>
      <c r="B1178" s="70" t="n"/>
      <c r="C1178" s="9" t="n"/>
      <c r="D1178" s="9" t="n"/>
      <c r="E1178" s="9" t="n"/>
      <c r="F1178" s="9" t="n"/>
      <c r="G1178" s="9" t="n"/>
      <c r="H1178" s="71" t="n"/>
      <c r="I1178" s="9" t="n"/>
      <c r="J1178" s="89">
        <f>IF(H1178="","",IF(I1178="Sí",ROUND(H1178*Configuracion!$B$11,0),0))</f>
        <v/>
      </c>
      <c r="K1178" s="89">
        <f>IF(H1178="","",H1178+J1178)</f>
        <v/>
      </c>
      <c r="L1178" s="13">
        <f>IF(B1178="","",YEAR(B1178))</f>
        <v/>
      </c>
      <c r="M1178" s="13">
        <f>IF(B1178="","",MONTH(B1178))</f>
        <v/>
      </c>
      <c r="N1178" s="9" t="n"/>
      <c r="O1178" s="9" t="n"/>
      <c r="P1178" s="9" t="n"/>
      <c r="Q1178" s="9" t="n"/>
    </row>
    <row r="1179">
      <c r="A1179" s="9" t="n"/>
      <c r="B1179" s="70" t="n"/>
      <c r="C1179" s="9" t="n"/>
      <c r="D1179" s="9" t="n"/>
      <c r="E1179" s="9" t="n"/>
      <c r="F1179" s="9" t="n"/>
      <c r="G1179" s="9" t="n"/>
      <c r="H1179" s="71" t="n"/>
      <c r="I1179" s="9" t="n"/>
      <c r="J1179" s="89">
        <f>IF(H1179="","",IF(I1179="Sí",ROUND(H1179*Configuracion!$B$11,0),0))</f>
        <v/>
      </c>
      <c r="K1179" s="89">
        <f>IF(H1179="","",H1179+J1179)</f>
        <v/>
      </c>
      <c r="L1179" s="13">
        <f>IF(B1179="","",YEAR(B1179))</f>
        <v/>
      </c>
      <c r="M1179" s="13">
        <f>IF(B1179="","",MONTH(B1179))</f>
        <v/>
      </c>
      <c r="N1179" s="9" t="n"/>
      <c r="O1179" s="9" t="n"/>
      <c r="P1179" s="9" t="n"/>
      <c r="Q1179" s="9" t="n"/>
    </row>
    <row r="1180">
      <c r="A1180" s="9" t="n"/>
      <c r="B1180" s="70" t="n"/>
      <c r="C1180" s="9" t="n"/>
      <c r="D1180" s="9" t="n"/>
      <c r="E1180" s="9" t="n"/>
      <c r="F1180" s="9" t="n"/>
      <c r="G1180" s="9" t="n"/>
      <c r="H1180" s="71" t="n"/>
      <c r="I1180" s="9" t="n"/>
      <c r="J1180" s="89">
        <f>IF(H1180="","",IF(I1180="Sí",ROUND(H1180*Configuracion!$B$11,0),0))</f>
        <v/>
      </c>
      <c r="K1180" s="89">
        <f>IF(H1180="","",H1180+J1180)</f>
        <v/>
      </c>
      <c r="L1180" s="13">
        <f>IF(B1180="","",YEAR(B1180))</f>
        <v/>
      </c>
      <c r="M1180" s="13">
        <f>IF(B1180="","",MONTH(B1180))</f>
        <v/>
      </c>
      <c r="N1180" s="9" t="n"/>
      <c r="O1180" s="9" t="n"/>
      <c r="P1180" s="9" t="n"/>
      <c r="Q1180" s="9" t="n"/>
    </row>
    <row r="1181">
      <c r="A1181" s="9" t="n"/>
      <c r="B1181" s="70" t="n"/>
      <c r="C1181" s="9" t="n"/>
      <c r="D1181" s="9" t="n"/>
      <c r="E1181" s="9" t="n"/>
      <c r="F1181" s="9" t="n"/>
      <c r="G1181" s="9" t="n"/>
      <c r="H1181" s="71" t="n"/>
      <c r="I1181" s="9" t="n"/>
      <c r="J1181" s="89">
        <f>IF(H1181="","",IF(I1181="Sí",ROUND(H1181*Configuracion!$B$11,0),0))</f>
        <v/>
      </c>
      <c r="K1181" s="89">
        <f>IF(H1181="","",H1181+J1181)</f>
        <v/>
      </c>
      <c r="L1181" s="13">
        <f>IF(B1181="","",YEAR(B1181))</f>
        <v/>
      </c>
      <c r="M1181" s="13">
        <f>IF(B1181="","",MONTH(B1181))</f>
        <v/>
      </c>
      <c r="N1181" s="9" t="n"/>
      <c r="O1181" s="9" t="n"/>
      <c r="P1181" s="9" t="n"/>
      <c r="Q1181" s="9" t="n"/>
    </row>
    <row r="1182">
      <c r="A1182" s="9" t="n"/>
      <c r="B1182" s="70" t="n"/>
      <c r="C1182" s="9" t="n"/>
      <c r="D1182" s="9" t="n"/>
      <c r="E1182" s="9" t="n"/>
      <c r="F1182" s="9" t="n"/>
      <c r="G1182" s="9" t="n"/>
      <c r="H1182" s="71" t="n"/>
      <c r="I1182" s="9" t="n"/>
      <c r="J1182" s="89">
        <f>IF(H1182="","",IF(I1182="Sí",ROUND(H1182*Configuracion!$B$11,0),0))</f>
        <v/>
      </c>
      <c r="K1182" s="89">
        <f>IF(H1182="","",H1182+J1182)</f>
        <v/>
      </c>
      <c r="L1182" s="13">
        <f>IF(B1182="","",YEAR(B1182))</f>
        <v/>
      </c>
      <c r="M1182" s="13">
        <f>IF(B1182="","",MONTH(B1182))</f>
        <v/>
      </c>
      <c r="N1182" s="9" t="n"/>
      <c r="O1182" s="9" t="n"/>
      <c r="P1182" s="9" t="n"/>
      <c r="Q1182" s="9" t="n"/>
    </row>
    <row r="1183">
      <c r="A1183" s="9" t="n"/>
      <c r="B1183" s="70" t="n"/>
      <c r="C1183" s="9" t="n"/>
      <c r="D1183" s="9" t="n"/>
      <c r="E1183" s="9" t="n"/>
      <c r="F1183" s="9" t="n"/>
      <c r="G1183" s="9" t="n"/>
      <c r="H1183" s="71" t="n"/>
      <c r="I1183" s="9" t="n"/>
      <c r="J1183" s="89">
        <f>IF(H1183="","",IF(I1183="Sí",ROUND(H1183*Configuracion!$B$11,0),0))</f>
        <v/>
      </c>
      <c r="K1183" s="89">
        <f>IF(H1183="","",H1183+J1183)</f>
        <v/>
      </c>
      <c r="L1183" s="13">
        <f>IF(B1183="","",YEAR(B1183))</f>
        <v/>
      </c>
      <c r="M1183" s="13">
        <f>IF(B1183="","",MONTH(B1183))</f>
        <v/>
      </c>
      <c r="N1183" s="9" t="n"/>
      <c r="O1183" s="9" t="n"/>
      <c r="P1183" s="9" t="n"/>
      <c r="Q1183" s="9" t="n"/>
    </row>
    <row r="1184">
      <c r="A1184" s="9" t="n"/>
      <c r="B1184" s="70" t="n"/>
      <c r="C1184" s="9" t="n"/>
      <c r="D1184" s="9" t="n"/>
      <c r="E1184" s="9" t="n"/>
      <c r="F1184" s="9" t="n"/>
      <c r="G1184" s="9" t="n"/>
      <c r="H1184" s="71" t="n"/>
      <c r="I1184" s="9" t="n"/>
      <c r="J1184" s="89">
        <f>IF(H1184="","",IF(I1184="Sí",ROUND(H1184*Configuracion!$B$11,0),0))</f>
        <v/>
      </c>
      <c r="K1184" s="89">
        <f>IF(H1184="","",H1184+J1184)</f>
        <v/>
      </c>
      <c r="L1184" s="13">
        <f>IF(B1184="","",YEAR(B1184))</f>
        <v/>
      </c>
      <c r="M1184" s="13">
        <f>IF(B1184="","",MONTH(B1184))</f>
        <v/>
      </c>
      <c r="N1184" s="9" t="n"/>
      <c r="O1184" s="9" t="n"/>
      <c r="P1184" s="9" t="n"/>
      <c r="Q1184" s="9" t="n"/>
    </row>
    <row r="1185">
      <c r="A1185" s="9" t="n"/>
      <c r="B1185" s="70" t="n"/>
      <c r="C1185" s="9" t="n"/>
      <c r="D1185" s="9" t="n"/>
      <c r="E1185" s="9" t="n"/>
      <c r="F1185" s="9" t="n"/>
      <c r="G1185" s="9" t="n"/>
      <c r="H1185" s="71" t="n"/>
      <c r="I1185" s="9" t="n"/>
      <c r="J1185" s="89">
        <f>IF(H1185="","",IF(I1185="Sí",ROUND(H1185*Configuracion!$B$11,0),0))</f>
        <v/>
      </c>
      <c r="K1185" s="89">
        <f>IF(H1185="","",H1185+J1185)</f>
        <v/>
      </c>
      <c r="L1185" s="13">
        <f>IF(B1185="","",YEAR(B1185))</f>
        <v/>
      </c>
      <c r="M1185" s="13">
        <f>IF(B1185="","",MONTH(B1185))</f>
        <v/>
      </c>
      <c r="N1185" s="9" t="n"/>
      <c r="O1185" s="9" t="n"/>
      <c r="P1185" s="9" t="n"/>
      <c r="Q1185" s="9" t="n"/>
    </row>
    <row r="1186">
      <c r="A1186" s="9" t="n"/>
      <c r="B1186" s="70" t="n"/>
      <c r="C1186" s="9" t="n"/>
      <c r="D1186" s="9" t="n"/>
      <c r="E1186" s="9" t="n"/>
      <c r="F1186" s="9" t="n"/>
      <c r="G1186" s="9" t="n"/>
      <c r="H1186" s="71" t="n"/>
      <c r="I1186" s="9" t="n"/>
      <c r="J1186" s="89">
        <f>IF(H1186="","",IF(I1186="Sí",ROUND(H1186*Configuracion!$B$11,0),0))</f>
        <v/>
      </c>
      <c r="K1186" s="89">
        <f>IF(H1186="","",H1186+J1186)</f>
        <v/>
      </c>
      <c r="L1186" s="13">
        <f>IF(B1186="","",YEAR(B1186))</f>
        <v/>
      </c>
      <c r="M1186" s="13">
        <f>IF(B1186="","",MONTH(B1186))</f>
        <v/>
      </c>
      <c r="N1186" s="9" t="n"/>
      <c r="O1186" s="9" t="n"/>
      <c r="P1186" s="9" t="n"/>
      <c r="Q1186" s="9" t="n"/>
    </row>
    <row r="1187">
      <c r="A1187" s="9" t="n"/>
      <c r="B1187" s="70" t="n"/>
      <c r="C1187" s="9" t="n"/>
      <c r="D1187" s="9" t="n"/>
      <c r="E1187" s="9" t="n"/>
      <c r="F1187" s="9" t="n"/>
      <c r="G1187" s="9" t="n"/>
      <c r="H1187" s="71" t="n"/>
      <c r="I1187" s="9" t="n"/>
      <c r="J1187" s="89">
        <f>IF(H1187="","",IF(I1187="Sí",ROUND(H1187*Configuracion!$B$11,0),0))</f>
        <v/>
      </c>
      <c r="K1187" s="89">
        <f>IF(H1187="","",H1187+J1187)</f>
        <v/>
      </c>
      <c r="L1187" s="13">
        <f>IF(B1187="","",YEAR(B1187))</f>
        <v/>
      </c>
      <c r="M1187" s="13">
        <f>IF(B1187="","",MONTH(B1187))</f>
        <v/>
      </c>
      <c r="N1187" s="9" t="n"/>
      <c r="O1187" s="9" t="n"/>
      <c r="P1187" s="9" t="n"/>
      <c r="Q1187" s="9" t="n"/>
    </row>
    <row r="1188">
      <c r="A1188" s="9" t="n"/>
      <c r="B1188" s="70" t="n"/>
      <c r="C1188" s="9" t="n"/>
      <c r="D1188" s="9" t="n"/>
      <c r="E1188" s="9" t="n"/>
      <c r="F1188" s="9" t="n"/>
      <c r="G1188" s="9" t="n"/>
      <c r="H1188" s="71" t="n"/>
      <c r="I1188" s="9" t="n"/>
      <c r="J1188" s="89">
        <f>IF(H1188="","",IF(I1188="Sí",ROUND(H1188*Configuracion!$B$11,0),0))</f>
        <v/>
      </c>
      <c r="K1188" s="89">
        <f>IF(H1188="","",H1188+J1188)</f>
        <v/>
      </c>
      <c r="L1188" s="13">
        <f>IF(B1188="","",YEAR(B1188))</f>
        <v/>
      </c>
      <c r="M1188" s="13">
        <f>IF(B1188="","",MONTH(B1188))</f>
        <v/>
      </c>
      <c r="N1188" s="9" t="n"/>
      <c r="O1188" s="9" t="n"/>
      <c r="P1188" s="9" t="n"/>
      <c r="Q1188" s="9" t="n"/>
    </row>
    <row r="1189">
      <c r="A1189" s="9" t="n"/>
      <c r="B1189" s="70" t="n"/>
      <c r="C1189" s="9" t="n"/>
      <c r="D1189" s="9" t="n"/>
      <c r="E1189" s="9" t="n"/>
      <c r="F1189" s="9" t="n"/>
      <c r="G1189" s="9" t="n"/>
      <c r="H1189" s="71" t="n"/>
      <c r="I1189" s="9" t="n"/>
      <c r="J1189" s="89">
        <f>IF(H1189="","",IF(I1189="Sí",ROUND(H1189*Configuracion!$B$11,0),0))</f>
        <v/>
      </c>
      <c r="K1189" s="89">
        <f>IF(H1189="","",H1189+J1189)</f>
        <v/>
      </c>
      <c r="L1189" s="13">
        <f>IF(B1189="","",YEAR(B1189))</f>
        <v/>
      </c>
      <c r="M1189" s="13">
        <f>IF(B1189="","",MONTH(B1189))</f>
        <v/>
      </c>
      <c r="N1189" s="9" t="n"/>
      <c r="O1189" s="9" t="n"/>
      <c r="P1189" s="9" t="n"/>
      <c r="Q1189" s="9" t="n"/>
    </row>
    <row r="1190">
      <c r="A1190" s="9" t="n"/>
      <c r="B1190" s="70" t="n"/>
      <c r="C1190" s="9" t="n"/>
      <c r="D1190" s="9" t="n"/>
      <c r="E1190" s="9" t="n"/>
      <c r="F1190" s="9" t="n"/>
      <c r="G1190" s="9" t="n"/>
      <c r="H1190" s="71" t="n"/>
      <c r="I1190" s="9" t="n"/>
      <c r="J1190" s="89">
        <f>IF(H1190="","",IF(I1190="Sí",ROUND(H1190*Configuracion!$B$11,0),0))</f>
        <v/>
      </c>
      <c r="K1190" s="89">
        <f>IF(H1190="","",H1190+J1190)</f>
        <v/>
      </c>
      <c r="L1190" s="13">
        <f>IF(B1190="","",YEAR(B1190))</f>
        <v/>
      </c>
      <c r="M1190" s="13">
        <f>IF(B1190="","",MONTH(B1190))</f>
        <v/>
      </c>
      <c r="N1190" s="9" t="n"/>
      <c r="O1190" s="9" t="n"/>
      <c r="P1190" s="9" t="n"/>
      <c r="Q1190" s="9" t="n"/>
    </row>
    <row r="1191">
      <c r="A1191" s="9" t="n"/>
      <c r="B1191" s="70" t="n"/>
      <c r="C1191" s="9" t="n"/>
      <c r="D1191" s="9" t="n"/>
      <c r="E1191" s="9" t="n"/>
      <c r="F1191" s="9" t="n"/>
      <c r="G1191" s="9" t="n"/>
      <c r="H1191" s="71" t="n"/>
      <c r="I1191" s="9" t="n"/>
      <c r="J1191" s="89">
        <f>IF(H1191="","",IF(I1191="Sí",ROUND(H1191*Configuracion!$B$11,0),0))</f>
        <v/>
      </c>
      <c r="K1191" s="89">
        <f>IF(H1191="","",H1191+J1191)</f>
        <v/>
      </c>
      <c r="L1191" s="13">
        <f>IF(B1191="","",YEAR(B1191))</f>
        <v/>
      </c>
      <c r="M1191" s="13">
        <f>IF(B1191="","",MONTH(B1191))</f>
        <v/>
      </c>
      <c r="N1191" s="9" t="n"/>
      <c r="O1191" s="9" t="n"/>
      <c r="P1191" s="9" t="n"/>
      <c r="Q1191" s="9" t="n"/>
    </row>
    <row r="1192">
      <c r="A1192" s="9" t="n"/>
      <c r="B1192" s="70" t="n"/>
      <c r="C1192" s="9" t="n"/>
      <c r="D1192" s="9" t="n"/>
      <c r="E1192" s="9" t="n"/>
      <c r="F1192" s="9" t="n"/>
      <c r="G1192" s="9" t="n"/>
      <c r="H1192" s="71" t="n"/>
      <c r="I1192" s="9" t="n"/>
      <c r="J1192" s="89">
        <f>IF(H1192="","",IF(I1192="Sí",ROUND(H1192*Configuracion!$B$11,0),0))</f>
        <v/>
      </c>
      <c r="K1192" s="89">
        <f>IF(H1192="","",H1192+J1192)</f>
        <v/>
      </c>
      <c r="L1192" s="13">
        <f>IF(B1192="","",YEAR(B1192))</f>
        <v/>
      </c>
      <c r="M1192" s="13">
        <f>IF(B1192="","",MONTH(B1192))</f>
        <v/>
      </c>
      <c r="N1192" s="9" t="n"/>
      <c r="O1192" s="9" t="n"/>
      <c r="P1192" s="9" t="n"/>
      <c r="Q1192" s="9" t="n"/>
    </row>
    <row r="1193">
      <c r="A1193" s="9" t="n"/>
      <c r="B1193" s="70" t="n"/>
      <c r="C1193" s="9" t="n"/>
      <c r="D1193" s="9" t="n"/>
      <c r="E1193" s="9" t="n"/>
      <c r="F1193" s="9" t="n"/>
      <c r="G1193" s="9" t="n"/>
      <c r="H1193" s="71" t="n"/>
      <c r="I1193" s="9" t="n"/>
      <c r="J1193" s="89">
        <f>IF(H1193="","",IF(I1193="Sí",ROUND(H1193*Configuracion!$B$11,0),0))</f>
        <v/>
      </c>
      <c r="K1193" s="89">
        <f>IF(H1193="","",H1193+J1193)</f>
        <v/>
      </c>
      <c r="L1193" s="13">
        <f>IF(B1193="","",YEAR(B1193))</f>
        <v/>
      </c>
      <c r="M1193" s="13">
        <f>IF(B1193="","",MONTH(B1193))</f>
        <v/>
      </c>
      <c r="N1193" s="9" t="n"/>
      <c r="O1193" s="9" t="n"/>
      <c r="P1193" s="9" t="n"/>
      <c r="Q1193" s="9" t="n"/>
    </row>
    <row r="1194">
      <c r="A1194" s="9" t="n"/>
      <c r="B1194" s="70" t="n"/>
      <c r="C1194" s="9" t="n"/>
      <c r="D1194" s="9" t="n"/>
      <c r="E1194" s="9" t="n"/>
      <c r="F1194" s="9" t="n"/>
      <c r="G1194" s="9" t="n"/>
      <c r="H1194" s="71" t="n"/>
      <c r="I1194" s="9" t="n"/>
      <c r="J1194" s="89">
        <f>IF(H1194="","",IF(I1194="Sí",ROUND(H1194*Configuracion!$B$11,0),0))</f>
        <v/>
      </c>
      <c r="K1194" s="89">
        <f>IF(H1194="","",H1194+J1194)</f>
        <v/>
      </c>
      <c r="L1194" s="13">
        <f>IF(B1194="","",YEAR(B1194))</f>
        <v/>
      </c>
      <c r="M1194" s="13">
        <f>IF(B1194="","",MONTH(B1194))</f>
        <v/>
      </c>
      <c r="N1194" s="9" t="n"/>
      <c r="O1194" s="9" t="n"/>
      <c r="P1194" s="9" t="n"/>
      <c r="Q1194" s="9" t="n"/>
    </row>
    <row r="1195">
      <c r="A1195" s="9" t="n"/>
      <c r="B1195" s="70" t="n"/>
      <c r="C1195" s="9" t="n"/>
      <c r="D1195" s="9" t="n"/>
      <c r="E1195" s="9" t="n"/>
      <c r="F1195" s="9" t="n"/>
      <c r="G1195" s="9" t="n"/>
      <c r="H1195" s="71" t="n"/>
      <c r="I1195" s="9" t="n"/>
      <c r="J1195" s="89">
        <f>IF(H1195="","",IF(I1195="Sí",ROUND(H1195*Configuracion!$B$11,0),0))</f>
        <v/>
      </c>
      <c r="K1195" s="89">
        <f>IF(H1195="","",H1195+J1195)</f>
        <v/>
      </c>
      <c r="L1195" s="13">
        <f>IF(B1195="","",YEAR(B1195))</f>
        <v/>
      </c>
      <c r="M1195" s="13">
        <f>IF(B1195="","",MONTH(B1195))</f>
        <v/>
      </c>
      <c r="N1195" s="9" t="n"/>
      <c r="O1195" s="9" t="n"/>
      <c r="P1195" s="9" t="n"/>
      <c r="Q1195" s="9" t="n"/>
    </row>
    <row r="1196">
      <c r="A1196" s="9" t="n"/>
      <c r="B1196" s="70" t="n"/>
      <c r="C1196" s="9" t="n"/>
      <c r="D1196" s="9" t="n"/>
      <c r="E1196" s="9" t="n"/>
      <c r="F1196" s="9" t="n"/>
      <c r="G1196" s="9" t="n"/>
      <c r="H1196" s="71" t="n"/>
      <c r="I1196" s="9" t="n"/>
      <c r="J1196" s="89">
        <f>IF(H1196="","",IF(I1196="Sí",ROUND(H1196*Configuracion!$B$11,0),0))</f>
        <v/>
      </c>
      <c r="K1196" s="89">
        <f>IF(H1196="","",H1196+J1196)</f>
        <v/>
      </c>
      <c r="L1196" s="13">
        <f>IF(B1196="","",YEAR(B1196))</f>
        <v/>
      </c>
      <c r="M1196" s="13">
        <f>IF(B1196="","",MONTH(B1196))</f>
        <v/>
      </c>
      <c r="N1196" s="9" t="n"/>
      <c r="O1196" s="9" t="n"/>
      <c r="P1196" s="9" t="n"/>
      <c r="Q1196" s="9" t="n"/>
    </row>
    <row r="1197">
      <c r="A1197" s="9" t="n"/>
      <c r="B1197" s="70" t="n"/>
      <c r="C1197" s="9" t="n"/>
      <c r="D1197" s="9" t="n"/>
      <c r="E1197" s="9" t="n"/>
      <c r="F1197" s="9" t="n"/>
      <c r="G1197" s="9" t="n"/>
      <c r="H1197" s="71" t="n"/>
      <c r="I1197" s="9" t="n"/>
      <c r="J1197" s="89">
        <f>IF(H1197="","",IF(I1197="Sí",ROUND(H1197*Configuracion!$B$11,0),0))</f>
        <v/>
      </c>
      <c r="K1197" s="89">
        <f>IF(H1197="","",H1197+J1197)</f>
        <v/>
      </c>
      <c r="L1197" s="13">
        <f>IF(B1197="","",YEAR(B1197))</f>
        <v/>
      </c>
      <c r="M1197" s="13">
        <f>IF(B1197="","",MONTH(B1197))</f>
        <v/>
      </c>
      <c r="N1197" s="9" t="n"/>
      <c r="O1197" s="9" t="n"/>
      <c r="P1197" s="9" t="n"/>
      <c r="Q1197" s="9" t="n"/>
    </row>
    <row r="1198">
      <c r="A1198" s="9" t="n"/>
      <c r="B1198" s="70" t="n"/>
      <c r="C1198" s="9" t="n"/>
      <c r="D1198" s="9" t="n"/>
      <c r="E1198" s="9" t="n"/>
      <c r="F1198" s="9" t="n"/>
      <c r="G1198" s="9" t="n"/>
      <c r="H1198" s="71" t="n"/>
      <c r="I1198" s="9" t="n"/>
      <c r="J1198" s="89">
        <f>IF(H1198="","",IF(I1198="Sí",ROUND(H1198*Configuracion!$B$11,0),0))</f>
        <v/>
      </c>
      <c r="K1198" s="89">
        <f>IF(H1198="","",H1198+J1198)</f>
        <v/>
      </c>
      <c r="L1198" s="13">
        <f>IF(B1198="","",YEAR(B1198))</f>
        <v/>
      </c>
      <c r="M1198" s="13">
        <f>IF(B1198="","",MONTH(B1198))</f>
        <v/>
      </c>
      <c r="N1198" s="9" t="n"/>
      <c r="O1198" s="9" t="n"/>
      <c r="P1198" s="9" t="n"/>
      <c r="Q1198" s="9" t="n"/>
    </row>
    <row r="1199">
      <c r="A1199" s="9" t="n"/>
      <c r="B1199" s="70" t="n"/>
      <c r="C1199" s="9" t="n"/>
      <c r="D1199" s="9" t="n"/>
      <c r="E1199" s="9" t="n"/>
      <c r="F1199" s="9" t="n"/>
      <c r="G1199" s="9" t="n"/>
      <c r="H1199" s="71" t="n"/>
      <c r="I1199" s="9" t="n"/>
      <c r="J1199" s="89">
        <f>IF(H1199="","",IF(I1199="Sí",ROUND(H1199*Configuracion!$B$11,0),0))</f>
        <v/>
      </c>
      <c r="K1199" s="89">
        <f>IF(H1199="","",H1199+J1199)</f>
        <v/>
      </c>
      <c r="L1199" s="13">
        <f>IF(B1199="","",YEAR(B1199))</f>
        <v/>
      </c>
      <c r="M1199" s="13">
        <f>IF(B1199="","",MONTH(B1199))</f>
        <v/>
      </c>
      <c r="N1199" s="9" t="n"/>
      <c r="O1199" s="9" t="n"/>
      <c r="P1199" s="9" t="n"/>
      <c r="Q1199" s="9" t="n"/>
    </row>
    <row r="1200">
      <c r="A1200" s="9" t="n"/>
      <c r="B1200" s="70" t="n"/>
      <c r="C1200" s="9" t="n"/>
      <c r="D1200" s="9" t="n"/>
      <c r="E1200" s="9" t="n"/>
      <c r="F1200" s="9" t="n"/>
      <c r="G1200" s="9" t="n"/>
      <c r="H1200" s="71" t="n"/>
      <c r="I1200" s="9" t="n"/>
      <c r="J1200" s="89">
        <f>IF(H1200="","",IF(I1200="Sí",ROUND(H1200*Configuracion!$B$11,0),0))</f>
        <v/>
      </c>
      <c r="K1200" s="89">
        <f>IF(H1200="","",H1200+J1200)</f>
        <v/>
      </c>
      <c r="L1200" s="13">
        <f>IF(B1200="","",YEAR(B1200))</f>
        <v/>
      </c>
      <c r="M1200" s="13">
        <f>IF(B1200="","",MONTH(B1200))</f>
        <v/>
      </c>
      <c r="N1200" s="9" t="n"/>
      <c r="O1200" s="9" t="n"/>
      <c r="P1200" s="9" t="n"/>
      <c r="Q1200" s="9" t="n"/>
    </row>
    <row r="1201">
      <c r="A1201" s="9" t="n"/>
      <c r="B1201" s="70" t="n"/>
      <c r="C1201" s="9" t="n"/>
      <c r="D1201" s="9" t="n"/>
      <c r="E1201" s="9" t="n"/>
      <c r="F1201" s="9" t="n"/>
      <c r="G1201" s="9" t="n"/>
      <c r="H1201" s="71" t="n"/>
      <c r="I1201" s="9" t="n"/>
      <c r="J1201" s="89">
        <f>IF(H1201="","",IF(I1201="Sí",ROUND(H1201*Configuracion!$B$11,0),0))</f>
        <v/>
      </c>
      <c r="K1201" s="89">
        <f>IF(H1201="","",H1201+J1201)</f>
        <v/>
      </c>
      <c r="L1201" s="13">
        <f>IF(B1201="","",YEAR(B1201))</f>
        <v/>
      </c>
      <c r="M1201" s="13">
        <f>IF(B1201="","",MONTH(B1201))</f>
        <v/>
      </c>
      <c r="N1201" s="9" t="n"/>
      <c r="O1201" s="9" t="n"/>
      <c r="P1201" s="9" t="n"/>
      <c r="Q1201" s="9" t="n"/>
    </row>
    <row r="1202">
      <c r="A1202" s="9" t="n"/>
      <c r="B1202" s="70" t="n"/>
      <c r="C1202" s="9" t="n"/>
      <c r="D1202" s="9" t="n"/>
      <c r="E1202" s="9" t="n"/>
      <c r="F1202" s="9" t="n"/>
      <c r="G1202" s="9" t="n"/>
      <c r="H1202" s="71" t="n"/>
      <c r="I1202" s="9" t="n"/>
      <c r="J1202" s="89">
        <f>IF(H1202="","",IF(I1202="Sí",ROUND(H1202*Configuracion!$B$11,0),0))</f>
        <v/>
      </c>
      <c r="K1202" s="89">
        <f>IF(H1202="","",H1202+J1202)</f>
        <v/>
      </c>
      <c r="L1202" s="13">
        <f>IF(B1202="","",YEAR(B1202))</f>
        <v/>
      </c>
      <c r="M1202" s="13">
        <f>IF(B1202="","",MONTH(B1202))</f>
        <v/>
      </c>
      <c r="N1202" s="9" t="n"/>
      <c r="O1202" s="9" t="n"/>
      <c r="P1202" s="9" t="n"/>
      <c r="Q1202" s="9" t="n"/>
    </row>
    <row r="1203">
      <c r="A1203" s="9" t="n"/>
      <c r="B1203" s="70" t="n"/>
      <c r="C1203" s="9" t="n"/>
      <c r="D1203" s="9" t="n"/>
      <c r="E1203" s="9" t="n"/>
      <c r="F1203" s="9" t="n"/>
      <c r="G1203" s="9" t="n"/>
      <c r="H1203" s="71" t="n"/>
      <c r="I1203" s="9" t="n"/>
      <c r="J1203" s="89">
        <f>IF(H1203="","",IF(I1203="Sí",ROUND(H1203*Configuracion!$B$11,0),0))</f>
        <v/>
      </c>
      <c r="K1203" s="89">
        <f>IF(H1203="","",H1203+J1203)</f>
        <v/>
      </c>
      <c r="L1203" s="13">
        <f>IF(B1203="","",YEAR(B1203))</f>
        <v/>
      </c>
      <c r="M1203" s="13">
        <f>IF(B1203="","",MONTH(B1203))</f>
        <v/>
      </c>
      <c r="N1203" s="9" t="n"/>
      <c r="O1203" s="9" t="n"/>
      <c r="P1203" s="9" t="n"/>
      <c r="Q1203" s="9" t="n"/>
    </row>
    <row r="1204">
      <c r="A1204" s="9" t="n"/>
      <c r="B1204" s="70" t="n"/>
      <c r="C1204" s="9" t="n"/>
      <c r="D1204" s="9" t="n"/>
      <c r="E1204" s="9" t="n"/>
      <c r="F1204" s="9" t="n"/>
      <c r="G1204" s="9" t="n"/>
      <c r="H1204" s="71" t="n"/>
      <c r="I1204" s="9" t="n"/>
      <c r="J1204" s="89">
        <f>IF(H1204="","",IF(I1204="Sí",ROUND(H1204*Configuracion!$B$11,0),0))</f>
        <v/>
      </c>
      <c r="K1204" s="89">
        <f>IF(H1204="","",H1204+J1204)</f>
        <v/>
      </c>
      <c r="L1204" s="13">
        <f>IF(B1204="","",YEAR(B1204))</f>
        <v/>
      </c>
      <c r="M1204" s="13">
        <f>IF(B1204="","",MONTH(B1204))</f>
        <v/>
      </c>
      <c r="N1204" s="9" t="n"/>
      <c r="O1204" s="9" t="n"/>
      <c r="P1204" s="9" t="n"/>
      <c r="Q1204" s="9" t="n"/>
    </row>
    <row r="1205">
      <c r="A1205" s="9" t="n"/>
      <c r="B1205" s="70" t="n"/>
      <c r="C1205" s="9" t="n"/>
      <c r="D1205" s="9" t="n"/>
      <c r="E1205" s="9" t="n"/>
      <c r="F1205" s="9" t="n"/>
      <c r="G1205" s="9" t="n"/>
      <c r="H1205" s="71" t="n"/>
      <c r="I1205" s="9" t="n"/>
      <c r="J1205" s="89">
        <f>IF(H1205="","",IF(I1205="Sí",ROUND(H1205*Configuracion!$B$11,0),0))</f>
        <v/>
      </c>
      <c r="K1205" s="89">
        <f>IF(H1205="","",H1205+J1205)</f>
        <v/>
      </c>
      <c r="L1205" s="13">
        <f>IF(B1205="","",YEAR(B1205))</f>
        <v/>
      </c>
      <c r="M1205" s="13">
        <f>IF(B1205="","",MONTH(B1205))</f>
        <v/>
      </c>
      <c r="N1205" s="9" t="n"/>
      <c r="O1205" s="9" t="n"/>
      <c r="P1205" s="9" t="n"/>
      <c r="Q1205" s="9" t="n"/>
    </row>
    <row r="1206">
      <c r="A1206" s="9" t="n"/>
      <c r="B1206" s="70" t="n"/>
      <c r="C1206" s="9" t="n"/>
      <c r="D1206" s="9" t="n"/>
      <c r="E1206" s="9" t="n"/>
      <c r="F1206" s="9" t="n"/>
      <c r="G1206" s="9" t="n"/>
      <c r="H1206" s="71" t="n"/>
      <c r="I1206" s="9" t="n"/>
      <c r="J1206" s="89">
        <f>IF(H1206="","",IF(I1206="Sí",ROUND(H1206*Configuracion!$B$11,0),0))</f>
        <v/>
      </c>
      <c r="K1206" s="89">
        <f>IF(H1206="","",H1206+J1206)</f>
        <v/>
      </c>
      <c r="L1206" s="13">
        <f>IF(B1206="","",YEAR(B1206))</f>
        <v/>
      </c>
      <c r="M1206" s="13">
        <f>IF(B1206="","",MONTH(B1206))</f>
        <v/>
      </c>
      <c r="N1206" s="9" t="n"/>
      <c r="O1206" s="9" t="n"/>
      <c r="P1206" s="9" t="n"/>
      <c r="Q1206" s="9" t="n"/>
    </row>
    <row r="1207">
      <c r="A1207" s="9" t="n"/>
      <c r="B1207" s="70" t="n"/>
      <c r="C1207" s="9" t="n"/>
      <c r="D1207" s="9" t="n"/>
      <c r="E1207" s="9" t="n"/>
      <c r="F1207" s="9" t="n"/>
      <c r="G1207" s="9" t="n"/>
      <c r="H1207" s="71" t="n"/>
      <c r="I1207" s="9" t="n"/>
      <c r="J1207" s="89">
        <f>IF(H1207="","",IF(I1207="Sí",ROUND(H1207*Configuracion!$B$11,0),0))</f>
        <v/>
      </c>
      <c r="K1207" s="89">
        <f>IF(H1207="","",H1207+J1207)</f>
        <v/>
      </c>
      <c r="L1207" s="13">
        <f>IF(B1207="","",YEAR(B1207))</f>
        <v/>
      </c>
      <c r="M1207" s="13">
        <f>IF(B1207="","",MONTH(B1207))</f>
        <v/>
      </c>
      <c r="N1207" s="9" t="n"/>
      <c r="O1207" s="9" t="n"/>
      <c r="P1207" s="9" t="n"/>
      <c r="Q1207" s="9" t="n"/>
    </row>
    <row r="1208">
      <c r="A1208" s="9" t="n"/>
      <c r="B1208" s="70" t="n"/>
      <c r="C1208" s="9" t="n"/>
      <c r="D1208" s="9" t="n"/>
      <c r="E1208" s="9" t="n"/>
      <c r="F1208" s="9" t="n"/>
      <c r="G1208" s="9" t="n"/>
      <c r="H1208" s="71" t="n"/>
      <c r="I1208" s="9" t="n"/>
      <c r="J1208" s="89">
        <f>IF(H1208="","",IF(I1208="Sí",ROUND(H1208*Configuracion!$B$11,0),0))</f>
        <v/>
      </c>
      <c r="K1208" s="89">
        <f>IF(H1208="","",H1208+J1208)</f>
        <v/>
      </c>
      <c r="L1208" s="13">
        <f>IF(B1208="","",YEAR(B1208))</f>
        <v/>
      </c>
      <c r="M1208" s="13">
        <f>IF(B1208="","",MONTH(B1208))</f>
        <v/>
      </c>
      <c r="N1208" s="9" t="n"/>
      <c r="O1208" s="9" t="n"/>
      <c r="P1208" s="9" t="n"/>
      <c r="Q1208" s="9" t="n"/>
    </row>
    <row r="1209">
      <c r="A1209" s="9" t="n"/>
      <c r="B1209" s="70" t="n"/>
      <c r="C1209" s="9" t="n"/>
      <c r="D1209" s="9" t="n"/>
      <c r="E1209" s="9" t="n"/>
      <c r="F1209" s="9" t="n"/>
      <c r="G1209" s="9" t="n"/>
      <c r="H1209" s="71" t="n"/>
      <c r="I1209" s="9" t="n"/>
      <c r="J1209" s="89">
        <f>IF(H1209="","",IF(I1209="Sí",ROUND(H1209*Configuracion!$B$11,0),0))</f>
        <v/>
      </c>
      <c r="K1209" s="89">
        <f>IF(H1209="","",H1209+J1209)</f>
        <v/>
      </c>
      <c r="L1209" s="13">
        <f>IF(B1209="","",YEAR(B1209))</f>
        <v/>
      </c>
      <c r="M1209" s="13">
        <f>IF(B1209="","",MONTH(B1209))</f>
        <v/>
      </c>
      <c r="N1209" s="9" t="n"/>
      <c r="O1209" s="9" t="n"/>
      <c r="P1209" s="9" t="n"/>
      <c r="Q1209" s="9" t="n"/>
    </row>
    <row r="1210">
      <c r="A1210" s="9" t="n"/>
      <c r="B1210" s="70" t="n"/>
      <c r="C1210" s="9" t="n"/>
      <c r="D1210" s="9" t="n"/>
      <c r="E1210" s="9" t="n"/>
      <c r="F1210" s="9" t="n"/>
      <c r="G1210" s="9" t="n"/>
      <c r="H1210" s="71" t="n"/>
      <c r="I1210" s="9" t="n"/>
      <c r="J1210" s="89">
        <f>IF(H1210="","",IF(I1210="Sí",ROUND(H1210*Configuracion!$B$11,0),0))</f>
        <v/>
      </c>
      <c r="K1210" s="89">
        <f>IF(H1210="","",H1210+J1210)</f>
        <v/>
      </c>
      <c r="L1210" s="13">
        <f>IF(B1210="","",YEAR(B1210))</f>
        <v/>
      </c>
      <c r="M1210" s="13">
        <f>IF(B1210="","",MONTH(B1210))</f>
        <v/>
      </c>
      <c r="N1210" s="9" t="n"/>
      <c r="O1210" s="9" t="n"/>
      <c r="P1210" s="9" t="n"/>
      <c r="Q1210" s="9" t="n"/>
    </row>
    <row r="1211">
      <c r="A1211" s="9" t="n"/>
      <c r="B1211" s="70" t="n"/>
      <c r="C1211" s="9" t="n"/>
      <c r="D1211" s="9" t="n"/>
      <c r="E1211" s="9" t="n"/>
      <c r="F1211" s="9" t="n"/>
      <c r="G1211" s="9" t="n"/>
      <c r="H1211" s="71" t="n"/>
      <c r="I1211" s="9" t="n"/>
      <c r="J1211" s="89">
        <f>IF(H1211="","",IF(I1211="Sí",ROUND(H1211*Configuracion!$B$11,0),0))</f>
        <v/>
      </c>
      <c r="K1211" s="89">
        <f>IF(H1211="","",H1211+J1211)</f>
        <v/>
      </c>
      <c r="L1211" s="13">
        <f>IF(B1211="","",YEAR(B1211))</f>
        <v/>
      </c>
      <c r="M1211" s="13">
        <f>IF(B1211="","",MONTH(B1211))</f>
        <v/>
      </c>
      <c r="N1211" s="9" t="n"/>
      <c r="O1211" s="9" t="n"/>
      <c r="P1211" s="9" t="n"/>
      <c r="Q1211" s="9" t="n"/>
    </row>
    <row r="1212">
      <c r="A1212" s="9" t="n"/>
      <c r="B1212" s="70" t="n"/>
      <c r="C1212" s="9" t="n"/>
      <c r="D1212" s="9" t="n"/>
      <c r="E1212" s="9" t="n"/>
      <c r="F1212" s="9" t="n"/>
      <c r="G1212" s="9" t="n"/>
      <c r="H1212" s="71" t="n"/>
      <c r="I1212" s="9" t="n"/>
      <c r="J1212" s="89">
        <f>IF(H1212="","",IF(I1212="Sí",ROUND(H1212*Configuracion!$B$11,0),0))</f>
        <v/>
      </c>
      <c r="K1212" s="89">
        <f>IF(H1212="","",H1212+J1212)</f>
        <v/>
      </c>
      <c r="L1212" s="13">
        <f>IF(B1212="","",YEAR(B1212))</f>
        <v/>
      </c>
      <c r="M1212" s="13">
        <f>IF(B1212="","",MONTH(B1212))</f>
        <v/>
      </c>
      <c r="N1212" s="9" t="n"/>
      <c r="O1212" s="9" t="n"/>
      <c r="P1212" s="9" t="n"/>
      <c r="Q1212" s="9" t="n"/>
    </row>
    <row r="1213">
      <c r="A1213" s="9" t="n"/>
      <c r="B1213" s="70" t="n"/>
      <c r="C1213" s="9" t="n"/>
      <c r="D1213" s="9" t="n"/>
      <c r="E1213" s="9" t="n"/>
      <c r="F1213" s="9" t="n"/>
      <c r="G1213" s="9" t="n"/>
      <c r="H1213" s="71" t="n"/>
      <c r="I1213" s="9" t="n"/>
      <c r="J1213" s="89">
        <f>IF(H1213="","",IF(I1213="Sí",ROUND(H1213*Configuracion!$B$11,0),0))</f>
        <v/>
      </c>
      <c r="K1213" s="89">
        <f>IF(H1213="","",H1213+J1213)</f>
        <v/>
      </c>
      <c r="L1213" s="13">
        <f>IF(B1213="","",YEAR(B1213))</f>
        <v/>
      </c>
      <c r="M1213" s="13">
        <f>IF(B1213="","",MONTH(B1213))</f>
        <v/>
      </c>
      <c r="N1213" s="9" t="n"/>
      <c r="O1213" s="9" t="n"/>
      <c r="P1213" s="9" t="n"/>
      <c r="Q1213" s="9" t="n"/>
    </row>
    <row r="1214">
      <c r="A1214" s="9" t="n"/>
      <c r="B1214" s="70" t="n"/>
      <c r="C1214" s="9" t="n"/>
      <c r="D1214" s="9" t="n"/>
      <c r="E1214" s="9" t="n"/>
      <c r="F1214" s="9" t="n"/>
      <c r="G1214" s="9" t="n"/>
      <c r="H1214" s="71" t="n"/>
      <c r="I1214" s="9" t="n"/>
      <c r="J1214" s="89">
        <f>IF(H1214="","",IF(I1214="Sí",ROUND(H1214*Configuracion!$B$11,0),0))</f>
        <v/>
      </c>
      <c r="K1214" s="89">
        <f>IF(H1214="","",H1214+J1214)</f>
        <v/>
      </c>
      <c r="L1214" s="13">
        <f>IF(B1214="","",YEAR(B1214))</f>
        <v/>
      </c>
      <c r="M1214" s="13">
        <f>IF(B1214="","",MONTH(B1214))</f>
        <v/>
      </c>
      <c r="N1214" s="9" t="n"/>
      <c r="O1214" s="9" t="n"/>
      <c r="P1214" s="9" t="n"/>
      <c r="Q1214" s="9" t="n"/>
    </row>
    <row r="1215">
      <c r="A1215" s="9" t="n"/>
      <c r="B1215" s="70" t="n"/>
      <c r="C1215" s="9" t="n"/>
      <c r="D1215" s="9" t="n"/>
      <c r="E1215" s="9" t="n"/>
      <c r="F1215" s="9" t="n"/>
      <c r="G1215" s="9" t="n"/>
      <c r="H1215" s="71" t="n"/>
      <c r="I1215" s="9" t="n"/>
      <c r="J1215" s="89">
        <f>IF(H1215="","",IF(I1215="Sí",ROUND(H1215*Configuracion!$B$11,0),0))</f>
        <v/>
      </c>
      <c r="K1215" s="89">
        <f>IF(H1215="","",H1215+J1215)</f>
        <v/>
      </c>
      <c r="L1215" s="13">
        <f>IF(B1215="","",YEAR(B1215))</f>
        <v/>
      </c>
      <c r="M1215" s="13">
        <f>IF(B1215="","",MONTH(B1215))</f>
        <v/>
      </c>
      <c r="N1215" s="9" t="n"/>
      <c r="O1215" s="9" t="n"/>
      <c r="P1215" s="9" t="n"/>
      <c r="Q1215" s="9" t="n"/>
    </row>
    <row r="1216">
      <c r="A1216" s="9" t="n"/>
      <c r="B1216" s="70" t="n"/>
      <c r="C1216" s="9" t="n"/>
      <c r="D1216" s="9" t="n"/>
      <c r="E1216" s="9" t="n"/>
      <c r="F1216" s="9" t="n"/>
      <c r="G1216" s="9" t="n"/>
      <c r="H1216" s="71" t="n"/>
      <c r="I1216" s="9" t="n"/>
      <c r="J1216" s="89">
        <f>IF(H1216="","",IF(I1216="Sí",ROUND(H1216*Configuracion!$B$11,0),0))</f>
        <v/>
      </c>
      <c r="K1216" s="89">
        <f>IF(H1216="","",H1216+J1216)</f>
        <v/>
      </c>
      <c r="L1216" s="13">
        <f>IF(B1216="","",YEAR(B1216))</f>
        <v/>
      </c>
      <c r="M1216" s="13">
        <f>IF(B1216="","",MONTH(B1216))</f>
        <v/>
      </c>
      <c r="N1216" s="9" t="n"/>
      <c r="O1216" s="9" t="n"/>
      <c r="P1216" s="9" t="n"/>
      <c r="Q1216" s="9" t="n"/>
    </row>
    <row r="1217">
      <c r="A1217" s="9" t="n"/>
      <c r="B1217" s="70" t="n"/>
      <c r="C1217" s="9" t="n"/>
      <c r="D1217" s="9" t="n"/>
      <c r="E1217" s="9" t="n"/>
      <c r="F1217" s="9" t="n"/>
      <c r="G1217" s="9" t="n"/>
      <c r="H1217" s="71" t="n"/>
      <c r="I1217" s="9" t="n"/>
      <c r="J1217" s="89">
        <f>IF(H1217="","",IF(I1217="Sí",ROUND(H1217*Configuracion!$B$11,0),0))</f>
        <v/>
      </c>
      <c r="K1217" s="89">
        <f>IF(H1217="","",H1217+J1217)</f>
        <v/>
      </c>
      <c r="L1217" s="13">
        <f>IF(B1217="","",YEAR(B1217))</f>
        <v/>
      </c>
      <c r="M1217" s="13">
        <f>IF(B1217="","",MONTH(B1217))</f>
        <v/>
      </c>
      <c r="N1217" s="9" t="n"/>
      <c r="O1217" s="9" t="n"/>
      <c r="P1217" s="9" t="n"/>
      <c r="Q1217" s="9" t="n"/>
    </row>
    <row r="1218">
      <c r="A1218" s="9" t="n"/>
      <c r="B1218" s="70" t="n"/>
      <c r="C1218" s="9" t="n"/>
      <c r="D1218" s="9" t="n"/>
      <c r="E1218" s="9" t="n"/>
      <c r="F1218" s="9" t="n"/>
      <c r="G1218" s="9" t="n"/>
      <c r="H1218" s="71" t="n"/>
      <c r="I1218" s="9" t="n"/>
      <c r="J1218" s="89">
        <f>IF(H1218="","",IF(I1218="Sí",ROUND(H1218*Configuracion!$B$11,0),0))</f>
        <v/>
      </c>
      <c r="K1218" s="89">
        <f>IF(H1218="","",H1218+J1218)</f>
        <v/>
      </c>
      <c r="L1218" s="13">
        <f>IF(B1218="","",YEAR(B1218))</f>
        <v/>
      </c>
      <c r="M1218" s="13">
        <f>IF(B1218="","",MONTH(B1218))</f>
        <v/>
      </c>
      <c r="N1218" s="9" t="n"/>
      <c r="O1218" s="9" t="n"/>
      <c r="P1218" s="9" t="n"/>
      <c r="Q1218" s="9" t="n"/>
    </row>
    <row r="1219">
      <c r="A1219" s="9" t="n"/>
      <c r="B1219" s="70" t="n"/>
      <c r="C1219" s="9" t="n"/>
      <c r="D1219" s="9" t="n"/>
      <c r="E1219" s="9" t="n"/>
      <c r="F1219" s="9" t="n"/>
      <c r="G1219" s="9" t="n"/>
      <c r="H1219" s="71" t="n"/>
      <c r="I1219" s="9" t="n"/>
      <c r="J1219" s="89">
        <f>IF(H1219="","",IF(I1219="Sí",ROUND(H1219*Configuracion!$B$11,0),0))</f>
        <v/>
      </c>
      <c r="K1219" s="89">
        <f>IF(H1219="","",H1219+J1219)</f>
        <v/>
      </c>
      <c r="L1219" s="13">
        <f>IF(B1219="","",YEAR(B1219))</f>
        <v/>
      </c>
      <c r="M1219" s="13">
        <f>IF(B1219="","",MONTH(B1219))</f>
        <v/>
      </c>
      <c r="N1219" s="9" t="n"/>
      <c r="O1219" s="9" t="n"/>
      <c r="P1219" s="9" t="n"/>
      <c r="Q1219" s="9" t="n"/>
    </row>
    <row r="1220">
      <c r="A1220" s="9" t="n"/>
      <c r="B1220" s="70" t="n"/>
      <c r="C1220" s="9" t="n"/>
      <c r="D1220" s="9" t="n"/>
      <c r="E1220" s="9" t="n"/>
      <c r="F1220" s="9" t="n"/>
      <c r="G1220" s="9" t="n"/>
      <c r="H1220" s="71" t="n"/>
      <c r="I1220" s="9" t="n"/>
      <c r="J1220" s="89">
        <f>IF(H1220="","",IF(I1220="Sí",ROUND(H1220*Configuracion!$B$11,0),0))</f>
        <v/>
      </c>
      <c r="K1220" s="89">
        <f>IF(H1220="","",H1220+J1220)</f>
        <v/>
      </c>
      <c r="L1220" s="13">
        <f>IF(B1220="","",YEAR(B1220))</f>
        <v/>
      </c>
      <c r="M1220" s="13">
        <f>IF(B1220="","",MONTH(B1220))</f>
        <v/>
      </c>
      <c r="N1220" s="9" t="n"/>
      <c r="O1220" s="9" t="n"/>
      <c r="P1220" s="9" t="n"/>
      <c r="Q1220" s="9" t="n"/>
    </row>
    <row r="1221">
      <c r="A1221" s="9" t="n"/>
      <c r="B1221" s="70" t="n"/>
      <c r="C1221" s="9" t="n"/>
      <c r="D1221" s="9" t="n"/>
      <c r="E1221" s="9" t="n"/>
      <c r="F1221" s="9" t="n"/>
      <c r="G1221" s="9" t="n"/>
      <c r="H1221" s="71" t="n"/>
      <c r="I1221" s="9" t="n"/>
      <c r="J1221" s="89">
        <f>IF(H1221="","",IF(I1221="Sí",ROUND(H1221*Configuracion!$B$11,0),0))</f>
        <v/>
      </c>
      <c r="K1221" s="89">
        <f>IF(H1221="","",H1221+J1221)</f>
        <v/>
      </c>
      <c r="L1221" s="13">
        <f>IF(B1221="","",YEAR(B1221))</f>
        <v/>
      </c>
      <c r="M1221" s="13">
        <f>IF(B1221="","",MONTH(B1221))</f>
        <v/>
      </c>
      <c r="N1221" s="9" t="n"/>
      <c r="O1221" s="9" t="n"/>
      <c r="P1221" s="9" t="n"/>
      <c r="Q1221" s="9" t="n"/>
    </row>
    <row r="1222">
      <c r="A1222" s="9" t="n"/>
      <c r="B1222" s="70" t="n"/>
      <c r="C1222" s="9" t="n"/>
      <c r="D1222" s="9" t="n"/>
      <c r="E1222" s="9" t="n"/>
      <c r="F1222" s="9" t="n"/>
      <c r="G1222" s="9" t="n"/>
      <c r="H1222" s="71" t="n"/>
      <c r="I1222" s="9" t="n"/>
      <c r="J1222" s="89">
        <f>IF(H1222="","",IF(I1222="Sí",ROUND(H1222*Configuracion!$B$11,0),0))</f>
        <v/>
      </c>
      <c r="K1222" s="89">
        <f>IF(H1222="","",H1222+J1222)</f>
        <v/>
      </c>
      <c r="L1222" s="13">
        <f>IF(B1222="","",YEAR(B1222))</f>
        <v/>
      </c>
      <c r="M1222" s="13">
        <f>IF(B1222="","",MONTH(B1222))</f>
        <v/>
      </c>
      <c r="N1222" s="9" t="n"/>
      <c r="O1222" s="9" t="n"/>
      <c r="P1222" s="9" t="n"/>
      <c r="Q1222" s="9" t="n"/>
    </row>
    <row r="1223">
      <c r="A1223" s="9" t="n"/>
      <c r="B1223" s="70" t="n"/>
      <c r="C1223" s="9" t="n"/>
      <c r="D1223" s="9" t="n"/>
      <c r="E1223" s="9" t="n"/>
      <c r="F1223" s="9" t="n"/>
      <c r="G1223" s="9" t="n"/>
      <c r="H1223" s="71" t="n"/>
      <c r="I1223" s="9" t="n"/>
      <c r="J1223" s="89">
        <f>IF(H1223="","",IF(I1223="Sí",ROUND(H1223*Configuracion!$B$11,0),0))</f>
        <v/>
      </c>
      <c r="K1223" s="89">
        <f>IF(H1223="","",H1223+J1223)</f>
        <v/>
      </c>
      <c r="L1223" s="13">
        <f>IF(B1223="","",YEAR(B1223))</f>
        <v/>
      </c>
      <c r="M1223" s="13">
        <f>IF(B1223="","",MONTH(B1223))</f>
        <v/>
      </c>
      <c r="N1223" s="9" t="n"/>
      <c r="O1223" s="9" t="n"/>
      <c r="P1223" s="9" t="n"/>
      <c r="Q1223" s="9" t="n"/>
    </row>
    <row r="1224">
      <c r="A1224" s="9" t="n"/>
      <c r="B1224" s="70" t="n"/>
      <c r="C1224" s="9" t="n"/>
      <c r="D1224" s="9" t="n"/>
      <c r="E1224" s="9" t="n"/>
      <c r="F1224" s="9" t="n"/>
      <c r="G1224" s="9" t="n"/>
      <c r="H1224" s="71" t="n"/>
      <c r="I1224" s="9" t="n"/>
      <c r="J1224" s="89">
        <f>IF(H1224="","",IF(I1224="Sí",ROUND(H1224*Configuracion!$B$11,0),0))</f>
        <v/>
      </c>
      <c r="K1224" s="89">
        <f>IF(H1224="","",H1224+J1224)</f>
        <v/>
      </c>
      <c r="L1224" s="13">
        <f>IF(B1224="","",YEAR(B1224))</f>
        <v/>
      </c>
      <c r="M1224" s="13">
        <f>IF(B1224="","",MONTH(B1224))</f>
        <v/>
      </c>
      <c r="N1224" s="9" t="n"/>
      <c r="O1224" s="9" t="n"/>
      <c r="P1224" s="9" t="n"/>
      <c r="Q1224" s="9" t="n"/>
    </row>
    <row r="1225">
      <c r="A1225" s="9" t="n"/>
      <c r="B1225" s="70" t="n"/>
      <c r="C1225" s="9" t="n"/>
      <c r="D1225" s="9" t="n"/>
      <c r="E1225" s="9" t="n"/>
      <c r="F1225" s="9" t="n"/>
      <c r="G1225" s="9" t="n"/>
      <c r="H1225" s="71" t="n"/>
      <c r="I1225" s="9" t="n"/>
      <c r="J1225" s="89">
        <f>IF(H1225="","",IF(I1225="Sí",ROUND(H1225*Configuracion!$B$11,0),0))</f>
        <v/>
      </c>
      <c r="K1225" s="89">
        <f>IF(H1225="","",H1225+J1225)</f>
        <v/>
      </c>
      <c r="L1225" s="13">
        <f>IF(B1225="","",YEAR(B1225))</f>
        <v/>
      </c>
      <c r="M1225" s="13">
        <f>IF(B1225="","",MONTH(B1225))</f>
        <v/>
      </c>
      <c r="N1225" s="9" t="n"/>
      <c r="O1225" s="9" t="n"/>
      <c r="P1225" s="9" t="n"/>
      <c r="Q1225" s="9" t="n"/>
    </row>
    <row r="1226">
      <c r="A1226" s="9" t="n"/>
      <c r="B1226" s="70" t="n"/>
      <c r="C1226" s="9" t="n"/>
      <c r="D1226" s="9" t="n"/>
      <c r="E1226" s="9" t="n"/>
      <c r="F1226" s="9" t="n"/>
      <c r="G1226" s="9" t="n"/>
      <c r="H1226" s="71" t="n"/>
      <c r="I1226" s="9" t="n"/>
      <c r="J1226" s="89">
        <f>IF(H1226="","",IF(I1226="Sí",ROUND(H1226*Configuracion!$B$11,0),0))</f>
        <v/>
      </c>
      <c r="K1226" s="89">
        <f>IF(H1226="","",H1226+J1226)</f>
        <v/>
      </c>
      <c r="L1226" s="13">
        <f>IF(B1226="","",YEAR(B1226))</f>
        <v/>
      </c>
      <c r="M1226" s="13">
        <f>IF(B1226="","",MONTH(B1226))</f>
        <v/>
      </c>
      <c r="N1226" s="9" t="n"/>
      <c r="O1226" s="9" t="n"/>
      <c r="P1226" s="9" t="n"/>
      <c r="Q1226" s="9" t="n"/>
    </row>
    <row r="1227">
      <c r="A1227" s="9" t="n"/>
      <c r="B1227" s="70" t="n"/>
      <c r="C1227" s="9" t="n"/>
      <c r="D1227" s="9" t="n"/>
      <c r="E1227" s="9" t="n"/>
      <c r="F1227" s="9" t="n"/>
      <c r="G1227" s="9" t="n"/>
      <c r="H1227" s="71" t="n"/>
      <c r="I1227" s="9" t="n"/>
      <c r="J1227" s="89">
        <f>IF(H1227="","",IF(I1227="Sí",ROUND(H1227*Configuracion!$B$11,0),0))</f>
        <v/>
      </c>
      <c r="K1227" s="89">
        <f>IF(H1227="","",H1227+J1227)</f>
        <v/>
      </c>
      <c r="L1227" s="13">
        <f>IF(B1227="","",YEAR(B1227))</f>
        <v/>
      </c>
      <c r="M1227" s="13">
        <f>IF(B1227="","",MONTH(B1227))</f>
        <v/>
      </c>
      <c r="N1227" s="9" t="n"/>
      <c r="O1227" s="9" t="n"/>
      <c r="P1227" s="9" t="n"/>
      <c r="Q1227" s="9" t="n"/>
    </row>
    <row r="1228">
      <c r="A1228" s="9" t="n"/>
      <c r="B1228" s="70" t="n"/>
      <c r="C1228" s="9" t="n"/>
      <c r="D1228" s="9" t="n"/>
      <c r="E1228" s="9" t="n"/>
      <c r="F1228" s="9" t="n"/>
      <c r="G1228" s="9" t="n"/>
      <c r="H1228" s="71" t="n"/>
      <c r="I1228" s="9" t="n"/>
      <c r="J1228" s="89">
        <f>IF(H1228="","",IF(I1228="Sí",ROUND(H1228*Configuracion!$B$11,0),0))</f>
        <v/>
      </c>
      <c r="K1228" s="89">
        <f>IF(H1228="","",H1228+J1228)</f>
        <v/>
      </c>
      <c r="L1228" s="13">
        <f>IF(B1228="","",YEAR(B1228))</f>
        <v/>
      </c>
      <c r="M1228" s="13">
        <f>IF(B1228="","",MONTH(B1228))</f>
        <v/>
      </c>
      <c r="N1228" s="9" t="n"/>
      <c r="O1228" s="9" t="n"/>
      <c r="P1228" s="9" t="n"/>
      <c r="Q1228" s="9" t="n"/>
    </row>
    <row r="1229">
      <c r="A1229" s="9" t="n"/>
      <c r="B1229" s="70" t="n"/>
      <c r="C1229" s="9" t="n"/>
      <c r="D1229" s="9" t="n"/>
      <c r="E1229" s="9" t="n"/>
      <c r="F1229" s="9" t="n"/>
      <c r="G1229" s="9" t="n"/>
      <c r="H1229" s="71" t="n"/>
      <c r="I1229" s="9" t="n"/>
      <c r="J1229" s="89">
        <f>IF(H1229="","",IF(I1229="Sí",ROUND(H1229*Configuracion!$B$11,0),0))</f>
        <v/>
      </c>
      <c r="K1229" s="89">
        <f>IF(H1229="","",H1229+J1229)</f>
        <v/>
      </c>
      <c r="L1229" s="13">
        <f>IF(B1229="","",YEAR(B1229))</f>
        <v/>
      </c>
      <c r="M1229" s="13">
        <f>IF(B1229="","",MONTH(B1229))</f>
        <v/>
      </c>
      <c r="N1229" s="9" t="n"/>
      <c r="O1229" s="9" t="n"/>
      <c r="P1229" s="9" t="n"/>
      <c r="Q1229" s="9" t="n"/>
    </row>
    <row r="1230">
      <c r="A1230" s="9" t="n"/>
      <c r="B1230" s="70" t="n"/>
      <c r="C1230" s="9" t="n"/>
      <c r="D1230" s="9" t="n"/>
      <c r="E1230" s="9" t="n"/>
      <c r="F1230" s="9" t="n"/>
      <c r="G1230" s="9" t="n"/>
      <c r="H1230" s="71" t="n"/>
      <c r="I1230" s="9" t="n"/>
      <c r="J1230" s="89">
        <f>IF(H1230="","",IF(I1230="Sí",ROUND(H1230*Configuracion!$B$11,0),0))</f>
        <v/>
      </c>
      <c r="K1230" s="89">
        <f>IF(H1230="","",H1230+J1230)</f>
        <v/>
      </c>
      <c r="L1230" s="13">
        <f>IF(B1230="","",YEAR(B1230))</f>
        <v/>
      </c>
      <c r="M1230" s="13">
        <f>IF(B1230="","",MONTH(B1230))</f>
        <v/>
      </c>
      <c r="N1230" s="9" t="n"/>
      <c r="O1230" s="9" t="n"/>
      <c r="P1230" s="9" t="n"/>
      <c r="Q1230" s="9" t="n"/>
    </row>
    <row r="1231">
      <c r="A1231" s="9" t="n"/>
      <c r="B1231" s="70" t="n"/>
      <c r="C1231" s="9" t="n"/>
      <c r="D1231" s="9" t="n"/>
      <c r="E1231" s="9" t="n"/>
      <c r="F1231" s="9" t="n"/>
      <c r="G1231" s="9" t="n"/>
      <c r="H1231" s="71" t="n"/>
      <c r="I1231" s="9" t="n"/>
      <c r="J1231" s="89">
        <f>IF(H1231="","",IF(I1231="Sí",ROUND(H1231*Configuracion!$B$11,0),0))</f>
        <v/>
      </c>
      <c r="K1231" s="89">
        <f>IF(H1231="","",H1231+J1231)</f>
        <v/>
      </c>
      <c r="L1231" s="13">
        <f>IF(B1231="","",YEAR(B1231))</f>
        <v/>
      </c>
      <c r="M1231" s="13">
        <f>IF(B1231="","",MONTH(B1231))</f>
        <v/>
      </c>
      <c r="N1231" s="9" t="n"/>
      <c r="O1231" s="9" t="n"/>
      <c r="P1231" s="9" t="n"/>
      <c r="Q1231" s="9" t="n"/>
    </row>
    <row r="1232">
      <c r="A1232" s="9" t="n"/>
      <c r="B1232" s="70" t="n"/>
      <c r="C1232" s="9" t="n"/>
      <c r="D1232" s="9" t="n"/>
      <c r="E1232" s="9" t="n"/>
      <c r="F1232" s="9" t="n"/>
      <c r="G1232" s="9" t="n"/>
      <c r="H1232" s="71" t="n"/>
      <c r="I1232" s="9" t="n"/>
      <c r="J1232" s="89">
        <f>IF(H1232="","",IF(I1232="Sí",ROUND(H1232*Configuracion!$B$11,0),0))</f>
        <v/>
      </c>
      <c r="K1232" s="89">
        <f>IF(H1232="","",H1232+J1232)</f>
        <v/>
      </c>
      <c r="L1232" s="13">
        <f>IF(B1232="","",YEAR(B1232))</f>
        <v/>
      </c>
      <c r="M1232" s="13">
        <f>IF(B1232="","",MONTH(B1232))</f>
        <v/>
      </c>
      <c r="N1232" s="9" t="n"/>
      <c r="O1232" s="9" t="n"/>
      <c r="P1232" s="9" t="n"/>
      <c r="Q1232" s="9" t="n"/>
    </row>
    <row r="1233">
      <c r="A1233" s="9" t="n"/>
      <c r="B1233" s="70" t="n"/>
      <c r="C1233" s="9" t="n"/>
      <c r="D1233" s="9" t="n"/>
      <c r="E1233" s="9" t="n"/>
      <c r="F1233" s="9" t="n"/>
      <c r="G1233" s="9" t="n"/>
      <c r="H1233" s="71" t="n"/>
      <c r="I1233" s="9" t="n"/>
      <c r="J1233" s="89">
        <f>IF(H1233="","",IF(I1233="Sí",ROUND(H1233*Configuracion!$B$11,0),0))</f>
        <v/>
      </c>
      <c r="K1233" s="89">
        <f>IF(H1233="","",H1233+J1233)</f>
        <v/>
      </c>
      <c r="L1233" s="13">
        <f>IF(B1233="","",YEAR(B1233))</f>
        <v/>
      </c>
      <c r="M1233" s="13">
        <f>IF(B1233="","",MONTH(B1233))</f>
        <v/>
      </c>
      <c r="N1233" s="9" t="n"/>
      <c r="O1233" s="9" t="n"/>
      <c r="P1233" s="9" t="n"/>
      <c r="Q1233" s="9" t="n"/>
    </row>
    <row r="1234">
      <c r="A1234" s="9" t="n"/>
      <c r="B1234" s="70" t="n"/>
      <c r="C1234" s="9" t="n"/>
      <c r="D1234" s="9" t="n"/>
      <c r="E1234" s="9" t="n"/>
      <c r="F1234" s="9" t="n"/>
      <c r="G1234" s="9" t="n"/>
      <c r="H1234" s="71" t="n"/>
      <c r="I1234" s="9" t="n"/>
      <c r="J1234" s="89">
        <f>IF(H1234="","",IF(I1234="Sí",ROUND(H1234*Configuracion!$B$11,0),0))</f>
        <v/>
      </c>
      <c r="K1234" s="89">
        <f>IF(H1234="","",H1234+J1234)</f>
        <v/>
      </c>
      <c r="L1234" s="13">
        <f>IF(B1234="","",YEAR(B1234))</f>
        <v/>
      </c>
      <c r="M1234" s="13">
        <f>IF(B1234="","",MONTH(B1234))</f>
        <v/>
      </c>
      <c r="N1234" s="9" t="n"/>
      <c r="O1234" s="9" t="n"/>
      <c r="P1234" s="9" t="n"/>
      <c r="Q1234" s="9" t="n"/>
    </row>
    <row r="1235">
      <c r="A1235" s="9" t="n"/>
      <c r="B1235" s="70" t="n"/>
      <c r="C1235" s="9" t="n"/>
      <c r="D1235" s="9" t="n"/>
      <c r="E1235" s="9" t="n"/>
      <c r="F1235" s="9" t="n"/>
      <c r="G1235" s="9" t="n"/>
      <c r="H1235" s="71" t="n"/>
      <c r="I1235" s="9" t="n"/>
      <c r="J1235" s="89">
        <f>IF(H1235="","",IF(I1235="Sí",ROUND(H1235*Configuracion!$B$11,0),0))</f>
        <v/>
      </c>
      <c r="K1235" s="89">
        <f>IF(H1235="","",H1235+J1235)</f>
        <v/>
      </c>
      <c r="L1235" s="13">
        <f>IF(B1235="","",YEAR(B1235))</f>
        <v/>
      </c>
      <c r="M1235" s="13">
        <f>IF(B1235="","",MONTH(B1235))</f>
        <v/>
      </c>
      <c r="N1235" s="9" t="n"/>
      <c r="O1235" s="9" t="n"/>
      <c r="P1235" s="9" t="n"/>
      <c r="Q1235" s="9" t="n"/>
    </row>
    <row r="1236">
      <c r="A1236" s="9" t="n"/>
      <c r="B1236" s="70" t="n"/>
      <c r="C1236" s="9" t="n"/>
      <c r="D1236" s="9" t="n"/>
      <c r="E1236" s="9" t="n"/>
      <c r="F1236" s="9" t="n"/>
      <c r="G1236" s="9" t="n"/>
      <c r="H1236" s="71" t="n"/>
      <c r="I1236" s="9" t="n"/>
      <c r="J1236" s="89">
        <f>IF(H1236="","",IF(I1236="Sí",ROUND(H1236*Configuracion!$B$11,0),0))</f>
        <v/>
      </c>
      <c r="K1236" s="89">
        <f>IF(H1236="","",H1236+J1236)</f>
        <v/>
      </c>
      <c r="L1236" s="13">
        <f>IF(B1236="","",YEAR(B1236))</f>
        <v/>
      </c>
      <c r="M1236" s="13">
        <f>IF(B1236="","",MONTH(B1236))</f>
        <v/>
      </c>
      <c r="N1236" s="9" t="n"/>
      <c r="O1236" s="9" t="n"/>
      <c r="P1236" s="9" t="n"/>
      <c r="Q1236" s="9" t="n"/>
    </row>
    <row r="1237">
      <c r="A1237" s="9" t="n"/>
      <c r="B1237" s="70" t="n"/>
      <c r="C1237" s="9" t="n"/>
      <c r="D1237" s="9" t="n"/>
      <c r="E1237" s="9" t="n"/>
      <c r="F1237" s="9" t="n"/>
      <c r="G1237" s="9" t="n"/>
      <c r="H1237" s="71" t="n"/>
      <c r="I1237" s="9" t="n"/>
      <c r="J1237" s="89">
        <f>IF(H1237="","",IF(I1237="Sí",ROUND(H1237*Configuracion!$B$11,0),0))</f>
        <v/>
      </c>
      <c r="K1237" s="89">
        <f>IF(H1237="","",H1237+J1237)</f>
        <v/>
      </c>
      <c r="L1237" s="13">
        <f>IF(B1237="","",YEAR(B1237))</f>
        <v/>
      </c>
      <c r="M1237" s="13">
        <f>IF(B1237="","",MONTH(B1237))</f>
        <v/>
      </c>
      <c r="N1237" s="9" t="n"/>
      <c r="O1237" s="9" t="n"/>
      <c r="P1237" s="9" t="n"/>
      <c r="Q1237" s="9" t="n"/>
    </row>
    <row r="1238">
      <c r="A1238" s="9" t="n"/>
      <c r="B1238" s="70" t="n"/>
      <c r="C1238" s="9" t="n"/>
      <c r="D1238" s="9" t="n"/>
      <c r="E1238" s="9" t="n"/>
      <c r="F1238" s="9" t="n"/>
      <c r="G1238" s="9" t="n"/>
      <c r="H1238" s="71" t="n"/>
      <c r="I1238" s="9" t="n"/>
      <c r="J1238" s="89">
        <f>IF(H1238="","",IF(I1238="Sí",ROUND(H1238*Configuracion!$B$11,0),0))</f>
        <v/>
      </c>
      <c r="K1238" s="89">
        <f>IF(H1238="","",H1238+J1238)</f>
        <v/>
      </c>
      <c r="L1238" s="13">
        <f>IF(B1238="","",YEAR(B1238))</f>
        <v/>
      </c>
      <c r="M1238" s="13">
        <f>IF(B1238="","",MONTH(B1238))</f>
        <v/>
      </c>
      <c r="N1238" s="9" t="n"/>
      <c r="O1238" s="9" t="n"/>
      <c r="P1238" s="9" t="n"/>
      <c r="Q1238" s="9" t="n"/>
    </row>
    <row r="1239">
      <c r="A1239" s="9" t="n"/>
      <c r="B1239" s="70" t="n"/>
      <c r="C1239" s="9" t="n"/>
      <c r="D1239" s="9" t="n"/>
      <c r="E1239" s="9" t="n"/>
      <c r="F1239" s="9" t="n"/>
      <c r="G1239" s="9" t="n"/>
      <c r="H1239" s="71" t="n"/>
      <c r="I1239" s="9" t="n"/>
      <c r="J1239" s="89">
        <f>IF(H1239="","",IF(I1239="Sí",ROUND(H1239*Configuracion!$B$11,0),0))</f>
        <v/>
      </c>
      <c r="K1239" s="89">
        <f>IF(H1239="","",H1239+J1239)</f>
        <v/>
      </c>
      <c r="L1239" s="13">
        <f>IF(B1239="","",YEAR(B1239))</f>
        <v/>
      </c>
      <c r="M1239" s="13">
        <f>IF(B1239="","",MONTH(B1239))</f>
        <v/>
      </c>
      <c r="N1239" s="9" t="n"/>
      <c r="O1239" s="9" t="n"/>
      <c r="P1239" s="9" t="n"/>
      <c r="Q1239" s="9" t="n"/>
    </row>
    <row r="1240">
      <c r="A1240" s="9" t="n"/>
      <c r="B1240" s="70" t="n"/>
      <c r="C1240" s="9" t="n"/>
      <c r="D1240" s="9" t="n"/>
      <c r="E1240" s="9" t="n"/>
      <c r="F1240" s="9" t="n"/>
      <c r="G1240" s="9" t="n"/>
      <c r="H1240" s="71" t="n"/>
      <c r="I1240" s="9" t="n"/>
      <c r="J1240" s="89">
        <f>IF(H1240="","",IF(I1240="Sí",ROUND(H1240*Configuracion!$B$11,0),0))</f>
        <v/>
      </c>
      <c r="K1240" s="89">
        <f>IF(H1240="","",H1240+J1240)</f>
        <v/>
      </c>
      <c r="L1240" s="13">
        <f>IF(B1240="","",YEAR(B1240))</f>
        <v/>
      </c>
      <c r="M1240" s="13">
        <f>IF(B1240="","",MONTH(B1240))</f>
        <v/>
      </c>
      <c r="N1240" s="9" t="n"/>
      <c r="O1240" s="9" t="n"/>
      <c r="P1240" s="9" t="n"/>
      <c r="Q1240" s="9" t="n"/>
    </row>
    <row r="1241">
      <c r="A1241" s="9" t="n"/>
      <c r="B1241" s="70" t="n"/>
      <c r="C1241" s="9" t="n"/>
      <c r="D1241" s="9" t="n"/>
      <c r="E1241" s="9" t="n"/>
      <c r="F1241" s="9" t="n"/>
      <c r="G1241" s="9" t="n"/>
      <c r="H1241" s="71" t="n"/>
      <c r="I1241" s="9" t="n"/>
      <c r="J1241" s="89">
        <f>IF(H1241="","",IF(I1241="Sí",ROUND(H1241*Configuracion!$B$11,0),0))</f>
        <v/>
      </c>
      <c r="K1241" s="89">
        <f>IF(H1241="","",H1241+J1241)</f>
        <v/>
      </c>
      <c r="L1241" s="13">
        <f>IF(B1241="","",YEAR(B1241))</f>
        <v/>
      </c>
      <c r="M1241" s="13">
        <f>IF(B1241="","",MONTH(B1241))</f>
        <v/>
      </c>
      <c r="N1241" s="9" t="n"/>
      <c r="O1241" s="9" t="n"/>
      <c r="P1241" s="9" t="n"/>
      <c r="Q1241" s="9" t="n"/>
    </row>
    <row r="1242">
      <c r="A1242" s="9" t="n"/>
      <c r="B1242" s="70" t="n"/>
      <c r="C1242" s="9" t="n"/>
      <c r="D1242" s="9" t="n"/>
      <c r="E1242" s="9" t="n"/>
      <c r="F1242" s="9" t="n"/>
      <c r="G1242" s="9" t="n"/>
      <c r="H1242" s="71" t="n"/>
      <c r="I1242" s="9" t="n"/>
      <c r="J1242" s="89">
        <f>IF(H1242="","",IF(I1242="Sí",ROUND(H1242*Configuracion!$B$11,0),0))</f>
        <v/>
      </c>
      <c r="K1242" s="89">
        <f>IF(H1242="","",H1242+J1242)</f>
        <v/>
      </c>
      <c r="L1242" s="13">
        <f>IF(B1242="","",YEAR(B1242))</f>
        <v/>
      </c>
      <c r="M1242" s="13">
        <f>IF(B1242="","",MONTH(B1242))</f>
        <v/>
      </c>
      <c r="N1242" s="9" t="n"/>
      <c r="O1242" s="9" t="n"/>
      <c r="P1242" s="9" t="n"/>
      <c r="Q1242" s="9" t="n"/>
    </row>
    <row r="1243">
      <c r="A1243" s="9" t="n"/>
      <c r="B1243" s="70" t="n"/>
      <c r="C1243" s="9" t="n"/>
      <c r="D1243" s="9" t="n"/>
      <c r="E1243" s="9" t="n"/>
      <c r="F1243" s="9" t="n"/>
      <c r="G1243" s="9" t="n"/>
      <c r="H1243" s="71" t="n"/>
      <c r="I1243" s="9" t="n"/>
      <c r="J1243" s="89">
        <f>IF(H1243="","",IF(I1243="Sí",ROUND(H1243*Configuracion!$B$11,0),0))</f>
        <v/>
      </c>
      <c r="K1243" s="89">
        <f>IF(H1243="","",H1243+J1243)</f>
        <v/>
      </c>
      <c r="L1243" s="13">
        <f>IF(B1243="","",YEAR(B1243))</f>
        <v/>
      </c>
      <c r="M1243" s="13">
        <f>IF(B1243="","",MONTH(B1243))</f>
        <v/>
      </c>
      <c r="N1243" s="9" t="n"/>
      <c r="O1243" s="9" t="n"/>
      <c r="P1243" s="9" t="n"/>
      <c r="Q1243" s="9" t="n"/>
    </row>
    <row r="1244">
      <c r="A1244" s="9" t="n"/>
      <c r="B1244" s="70" t="n"/>
      <c r="C1244" s="9" t="n"/>
      <c r="D1244" s="9" t="n"/>
      <c r="E1244" s="9" t="n"/>
      <c r="F1244" s="9" t="n"/>
      <c r="G1244" s="9" t="n"/>
      <c r="H1244" s="71" t="n"/>
      <c r="I1244" s="9" t="n"/>
      <c r="J1244" s="89">
        <f>IF(H1244="","",IF(I1244="Sí",ROUND(H1244*Configuracion!$B$11,0),0))</f>
        <v/>
      </c>
      <c r="K1244" s="89">
        <f>IF(H1244="","",H1244+J1244)</f>
        <v/>
      </c>
      <c r="L1244" s="13">
        <f>IF(B1244="","",YEAR(B1244))</f>
        <v/>
      </c>
      <c r="M1244" s="13">
        <f>IF(B1244="","",MONTH(B1244))</f>
        <v/>
      </c>
      <c r="N1244" s="9" t="n"/>
      <c r="O1244" s="9" t="n"/>
      <c r="P1244" s="9" t="n"/>
      <c r="Q1244" s="9" t="n"/>
    </row>
    <row r="1245">
      <c r="A1245" s="9" t="n"/>
      <c r="B1245" s="70" t="n"/>
      <c r="C1245" s="9" t="n"/>
      <c r="D1245" s="9" t="n"/>
      <c r="E1245" s="9" t="n"/>
      <c r="F1245" s="9" t="n"/>
      <c r="G1245" s="9" t="n"/>
      <c r="H1245" s="71" t="n"/>
      <c r="I1245" s="9" t="n"/>
      <c r="J1245" s="89">
        <f>IF(H1245="","",IF(I1245="Sí",ROUND(H1245*Configuracion!$B$11,0),0))</f>
        <v/>
      </c>
      <c r="K1245" s="89">
        <f>IF(H1245="","",H1245+J1245)</f>
        <v/>
      </c>
      <c r="L1245" s="13">
        <f>IF(B1245="","",YEAR(B1245))</f>
        <v/>
      </c>
      <c r="M1245" s="13">
        <f>IF(B1245="","",MONTH(B1245))</f>
        <v/>
      </c>
      <c r="N1245" s="9" t="n"/>
      <c r="O1245" s="9" t="n"/>
      <c r="P1245" s="9" t="n"/>
      <c r="Q1245" s="9" t="n"/>
    </row>
    <row r="1246">
      <c r="A1246" s="9" t="n"/>
      <c r="B1246" s="70" t="n"/>
      <c r="C1246" s="9" t="n"/>
      <c r="D1246" s="9" t="n"/>
      <c r="E1246" s="9" t="n"/>
      <c r="F1246" s="9" t="n"/>
      <c r="G1246" s="9" t="n"/>
      <c r="H1246" s="71" t="n"/>
      <c r="I1246" s="9" t="n"/>
      <c r="J1246" s="89">
        <f>IF(H1246="","",IF(I1246="Sí",ROUND(H1246*Configuracion!$B$11,0),0))</f>
        <v/>
      </c>
      <c r="K1246" s="89">
        <f>IF(H1246="","",H1246+J1246)</f>
        <v/>
      </c>
      <c r="L1246" s="13">
        <f>IF(B1246="","",YEAR(B1246))</f>
        <v/>
      </c>
      <c r="M1246" s="13">
        <f>IF(B1246="","",MONTH(B1246))</f>
        <v/>
      </c>
      <c r="N1246" s="9" t="n"/>
      <c r="O1246" s="9" t="n"/>
      <c r="P1246" s="9" t="n"/>
      <c r="Q1246" s="9" t="n"/>
    </row>
    <row r="1247">
      <c r="A1247" s="9" t="n"/>
      <c r="B1247" s="70" t="n"/>
      <c r="C1247" s="9" t="n"/>
      <c r="D1247" s="9" t="n"/>
      <c r="E1247" s="9" t="n"/>
      <c r="F1247" s="9" t="n"/>
      <c r="G1247" s="9" t="n"/>
      <c r="H1247" s="71" t="n"/>
      <c r="I1247" s="9" t="n"/>
      <c r="J1247" s="89">
        <f>IF(H1247="","",IF(I1247="Sí",ROUND(H1247*Configuracion!$B$11,0),0))</f>
        <v/>
      </c>
      <c r="K1247" s="89">
        <f>IF(H1247="","",H1247+J1247)</f>
        <v/>
      </c>
      <c r="L1247" s="13">
        <f>IF(B1247="","",YEAR(B1247))</f>
        <v/>
      </c>
      <c r="M1247" s="13">
        <f>IF(B1247="","",MONTH(B1247))</f>
        <v/>
      </c>
      <c r="N1247" s="9" t="n"/>
      <c r="O1247" s="9" t="n"/>
      <c r="P1247" s="9" t="n"/>
      <c r="Q1247" s="9" t="n"/>
    </row>
    <row r="1248">
      <c r="A1248" s="9" t="n"/>
      <c r="B1248" s="70" t="n"/>
      <c r="C1248" s="9" t="n"/>
      <c r="D1248" s="9" t="n"/>
      <c r="E1248" s="9" t="n"/>
      <c r="F1248" s="9" t="n"/>
      <c r="G1248" s="9" t="n"/>
      <c r="H1248" s="71" t="n"/>
      <c r="I1248" s="9" t="n"/>
      <c r="J1248" s="89">
        <f>IF(H1248="","",IF(I1248="Sí",ROUND(H1248*Configuracion!$B$11,0),0))</f>
        <v/>
      </c>
      <c r="K1248" s="89">
        <f>IF(H1248="","",H1248+J1248)</f>
        <v/>
      </c>
      <c r="L1248" s="13">
        <f>IF(B1248="","",YEAR(B1248))</f>
        <v/>
      </c>
      <c r="M1248" s="13">
        <f>IF(B1248="","",MONTH(B1248))</f>
        <v/>
      </c>
      <c r="N1248" s="9" t="n"/>
      <c r="O1248" s="9" t="n"/>
      <c r="P1248" s="9" t="n"/>
      <c r="Q1248" s="9" t="n"/>
    </row>
    <row r="1249">
      <c r="A1249" s="9" t="n"/>
      <c r="B1249" s="70" t="n"/>
      <c r="C1249" s="9" t="n"/>
      <c r="D1249" s="9" t="n"/>
      <c r="E1249" s="9" t="n"/>
      <c r="F1249" s="9" t="n"/>
      <c r="G1249" s="9" t="n"/>
      <c r="H1249" s="71" t="n"/>
      <c r="I1249" s="9" t="n"/>
      <c r="J1249" s="89">
        <f>IF(H1249="","",IF(I1249="Sí",ROUND(H1249*Configuracion!$B$11,0),0))</f>
        <v/>
      </c>
      <c r="K1249" s="89">
        <f>IF(H1249="","",H1249+J1249)</f>
        <v/>
      </c>
      <c r="L1249" s="13">
        <f>IF(B1249="","",YEAR(B1249))</f>
        <v/>
      </c>
      <c r="M1249" s="13">
        <f>IF(B1249="","",MONTH(B1249))</f>
        <v/>
      </c>
      <c r="N1249" s="9" t="n"/>
      <c r="O1249" s="9" t="n"/>
      <c r="P1249" s="9" t="n"/>
      <c r="Q1249" s="9" t="n"/>
    </row>
    <row r="1250">
      <c r="A1250" s="9" t="n"/>
      <c r="B1250" s="70" t="n"/>
      <c r="C1250" s="9" t="n"/>
      <c r="D1250" s="9" t="n"/>
      <c r="E1250" s="9" t="n"/>
      <c r="F1250" s="9" t="n"/>
      <c r="G1250" s="9" t="n"/>
      <c r="H1250" s="71" t="n"/>
      <c r="I1250" s="9" t="n"/>
      <c r="J1250" s="89">
        <f>IF(H1250="","",IF(I1250="Sí",ROUND(H1250*Configuracion!$B$11,0),0))</f>
        <v/>
      </c>
      <c r="K1250" s="89">
        <f>IF(H1250="","",H1250+J1250)</f>
        <v/>
      </c>
      <c r="L1250" s="13">
        <f>IF(B1250="","",YEAR(B1250))</f>
        <v/>
      </c>
      <c r="M1250" s="13">
        <f>IF(B1250="","",MONTH(B1250))</f>
        <v/>
      </c>
      <c r="N1250" s="9" t="n"/>
      <c r="O1250" s="9" t="n"/>
      <c r="P1250" s="9" t="n"/>
      <c r="Q1250" s="9" t="n"/>
    </row>
    <row r="1251">
      <c r="A1251" s="9" t="n"/>
      <c r="B1251" s="70" t="n"/>
      <c r="C1251" s="9" t="n"/>
      <c r="D1251" s="9" t="n"/>
      <c r="E1251" s="9" t="n"/>
      <c r="F1251" s="9" t="n"/>
      <c r="G1251" s="9" t="n"/>
      <c r="H1251" s="71" t="n"/>
      <c r="I1251" s="9" t="n"/>
      <c r="J1251" s="89">
        <f>IF(H1251="","",IF(I1251="Sí",ROUND(H1251*Configuracion!$B$11,0),0))</f>
        <v/>
      </c>
      <c r="K1251" s="89">
        <f>IF(H1251="","",H1251+J1251)</f>
        <v/>
      </c>
      <c r="L1251" s="13">
        <f>IF(B1251="","",YEAR(B1251))</f>
        <v/>
      </c>
      <c r="M1251" s="13">
        <f>IF(B1251="","",MONTH(B1251))</f>
        <v/>
      </c>
      <c r="N1251" s="9" t="n"/>
      <c r="O1251" s="9" t="n"/>
      <c r="P1251" s="9" t="n"/>
      <c r="Q1251" s="9" t="n"/>
    </row>
    <row r="1252">
      <c r="A1252" s="9" t="n"/>
      <c r="B1252" s="70" t="n"/>
      <c r="C1252" s="9" t="n"/>
      <c r="D1252" s="9" t="n"/>
      <c r="E1252" s="9" t="n"/>
      <c r="F1252" s="9" t="n"/>
      <c r="G1252" s="9" t="n"/>
      <c r="H1252" s="71" t="n"/>
      <c r="I1252" s="9" t="n"/>
      <c r="J1252" s="89">
        <f>IF(H1252="","",IF(I1252="Sí",ROUND(H1252*Configuracion!$B$11,0),0))</f>
        <v/>
      </c>
      <c r="K1252" s="89">
        <f>IF(H1252="","",H1252+J1252)</f>
        <v/>
      </c>
      <c r="L1252" s="13">
        <f>IF(B1252="","",YEAR(B1252))</f>
        <v/>
      </c>
      <c r="M1252" s="13">
        <f>IF(B1252="","",MONTH(B1252))</f>
        <v/>
      </c>
      <c r="N1252" s="9" t="n"/>
      <c r="O1252" s="9" t="n"/>
      <c r="P1252" s="9" t="n"/>
      <c r="Q1252" s="9" t="n"/>
    </row>
    <row r="1253">
      <c r="A1253" s="9" t="n"/>
      <c r="B1253" s="70" t="n"/>
      <c r="C1253" s="9" t="n"/>
      <c r="D1253" s="9" t="n"/>
      <c r="E1253" s="9" t="n"/>
      <c r="F1253" s="9" t="n"/>
      <c r="G1253" s="9" t="n"/>
      <c r="H1253" s="71" t="n"/>
      <c r="I1253" s="9" t="n"/>
      <c r="J1253" s="89">
        <f>IF(H1253="","",IF(I1253="Sí",ROUND(H1253*Configuracion!$B$11,0),0))</f>
        <v/>
      </c>
      <c r="K1253" s="89">
        <f>IF(H1253="","",H1253+J1253)</f>
        <v/>
      </c>
      <c r="L1253" s="13">
        <f>IF(B1253="","",YEAR(B1253))</f>
        <v/>
      </c>
      <c r="M1253" s="13">
        <f>IF(B1253="","",MONTH(B1253))</f>
        <v/>
      </c>
      <c r="N1253" s="9" t="n"/>
      <c r="O1253" s="9" t="n"/>
      <c r="P1253" s="9" t="n"/>
      <c r="Q1253" s="9" t="n"/>
    </row>
    <row r="1254">
      <c r="A1254" s="9" t="n"/>
      <c r="B1254" s="70" t="n"/>
      <c r="C1254" s="9" t="n"/>
      <c r="D1254" s="9" t="n"/>
      <c r="E1254" s="9" t="n"/>
      <c r="F1254" s="9" t="n"/>
      <c r="G1254" s="9" t="n"/>
      <c r="H1254" s="71" t="n"/>
      <c r="I1254" s="9" t="n"/>
      <c r="J1254" s="89">
        <f>IF(H1254="","",IF(I1254="Sí",ROUND(H1254*Configuracion!$B$11,0),0))</f>
        <v/>
      </c>
      <c r="K1254" s="89">
        <f>IF(H1254="","",H1254+J1254)</f>
        <v/>
      </c>
      <c r="L1254" s="13">
        <f>IF(B1254="","",YEAR(B1254))</f>
        <v/>
      </c>
      <c r="M1254" s="13">
        <f>IF(B1254="","",MONTH(B1254))</f>
        <v/>
      </c>
      <c r="N1254" s="9" t="n"/>
      <c r="O1254" s="9" t="n"/>
      <c r="P1254" s="9" t="n"/>
      <c r="Q1254" s="9" t="n"/>
    </row>
    <row r="1255">
      <c r="A1255" s="9" t="n"/>
      <c r="B1255" s="70" t="n"/>
      <c r="C1255" s="9" t="n"/>
      <c r="D1255" s="9" t="n"/>
      <c r="E1255" s="9" t="n"/>
      <c r="F1255" s="9" t="n"/>
      <c r="G1255" s="9" t="n"/>
      <c r="H1255" s="71" t="n"/>
      <c r="I1255" s="9" t="n"/>
      <c r="J1255" s="89">
        <f>IF(H1255="","",IF(I1255="Sí",ROUND(H1255*Configuracion!$B$11,0),0))</f>
        <v/>
      </c>
      <c r="K1255" s="89">
        <f>IF(H1255="","",H1255+J1255)</f>
        <v/>
      </c>
      <c r="L1255" s="13">
        <f>IF(B1255="","",YEAR(B1255))</f>
        <v/>
      </c>
      <c r="M1255" s="13">
        <f>IF(B1255="","",MONTH(B1255))</f>
        <v/>
      </c>
      <c r="N1255" s="9" t="n"/>
      <c r="O1255" s="9" t="n"/>
      <c r="P1255" s="9" t="n"/>
      <c r="Q1255" s="9" t="n"/>
    </row>
    <row r="1256">
      <c r="A1256" s="9" t="n"/>
      <c r="B1256" s="70" t="n"/>
      <c r="C1256" s="9" t="n"/>
      <c r="D1256" s="9" t="n"/>
      <c r="E1256" s="9" t="n"/>
      <c r="F1256" s="9" t="n"/>
      <c r="G1256" s="9" t="n"/>
      <c r="H1256" s="71" t="n"/>
      <c r="I1256" s="9" t="n"/>
      <c r="J1256" s="89">
        <f>IF(H1256="","",IF(I1256="Sí",ROUND(H1256*Configuracion!$B$11,0),0))</f>
        <v/>
      </c>
      <c r="K1256" s="89">
        <f>IF(H1256="","",H1256+J1256)</f>
        <v/>
      </c>
      <c r="L1256" s="13">
        <f>IF(B1256="","",YEAR(B1256))</f>
        <v/>
      </c>
      <c r="M1256" s="13">
        <f>IF(B1256="","",MONTH(B1256))</f>
        <v/>
      </c>
      <c r="N1256" s="9" t="n"/>
      <c r="O1256" s="9" t="n"/>
      <c r="P1256" s="9" t="n"/>
      <c r="Q1256" s="9" t="n"/>
    </row>
    <row r="1257">
      <c r="A1257" s="9" t="n"/>
      <c r="B1257" s="70" t="n"/>
      <c r="C1257" s="9" t="n"/>
      <c r="D1257" s="9" t="n"/>
      <c r="E1257" s="9" t="n"/>
      <c r="F1257" s="9" t="n"/>
      <c r="G1257" s="9" t="n"/>
      <c r="H1257" s="71" t="n"/>
      <c r="I1257" s="9" t="n"/>
      <c r="J1257" s="89">
        <f>IF(H1257="","",IF(I1257="Sí",ROUND(H1257*Configuracion!$B$11,0),0))</f>
        <v/>
      </c>
      <c r="K1257" s="89">
        <f>IF(H1257="","",H1257+J1257)</f>
        <v/>
      </c>
      <c r="L1257" s="13">
        <f>IF(B1257="","",YEAR(B1257))</f>
        <v/>
      </c>
      <c r="M1257" s="13">
        <f>IF(B1257="","",MONTH(B1257))</f>
        <v/>
      </c>
      <c r="N1257" s="9" t="n"/>
      <c r="O1257" s="9" t="n"/>
      <c r="P1257" s="9" t="n"/>
      <c r="Q1257" s="9" t="n"/>
    </row>
    <row r="1258">
      <c r="A1258" s="9" t="n"/>
      <c r="B1258" s="70" t="n"/>
      <c r="C1258" s="9" t="n"/>
      <c r="D1258" s="9" t="n"/>
      <c r="E1258" s="9" t="n"/>
      <c r="F1258" s="9" t="n"/>
      <c r="G1258" s="9" t="n"/>
      <c r="H1258" s="71" t="n"/>
      <c r="I1258" s="9" t="n"/>
      <c r="J1258" s="89">
        <f>IF(H1258="","",IF(I1258="Sí",ROUND(H1258*Configuracion!$B$11,0),0))</f>
        <v/>
      </c>
      <c r="K1258" s="89">
        <f>IF(H1258="","",H1258+J1258)</f>
        <v/>
      </c>
      <c r="L1258" s="13">
        <f>IF(B1258="","",YEAR(B1258))</f>
        <v/>
      </c>
      <c r="M1258" s="13">
        <f>IF(B1258="","",MONTH(B1258))</f>
        <v/>
      </c>
      <c r="N1258" s="9" t="n"/>
      <c r="O1258" s="9" t="n"/>
      <c r="P1258" s="9" t="n"/>
      <c r="Q1258" s="9" t="n"/>
    </row>
    <row r="1259">
      <c r="A1259" s="9" t="n"/>
      <c r="B1259" s="70" t="n"/>
      <c r="C1259" s="9" t="n"/>
      <c r="D1259" s="9" t="n"/>
      <c r="E1259" s="9" t="n"/>
      <c r="F1259" s="9" t="n"/>
      <c r="G1259" s="9" t="n"/>
      <c r="H1259" s="71" t="n"/>
      <c r="I1259" s="9" t="n"/>
      <c r="J1259" s="89">
        <f>IF(H1259="","",IF(I1259="Sí",ROUND(H1259*Configuracion!$B$11,0),0))</f>
        <v/>
      </c>
      <c r="K1259" s="89">
        <f>IF(H1259="","",H1259+J1259)</f>
        <v/>
      </c>
      <c r="L1259" s="13">
        <f>IF(B1259="","",YEAR(B1259))</f>
        <v/>
      </c>
      <c r="M1259" s="13">
        <f>IF(B1259="","",MONTH(B1259))</f>
        <v/>
      </c>
      <c r="N1259" s="9" t="n"/>
      <c r="O1259" s="9" t="n"/>
      <c r="P1259" s="9" t="n"/>
      <c r="Q1259" s="9" t="n"/>
    </row>
    <row r="1260">
      <c r="A1260" s="9" t="n"/>
      <c r="B1260" s="70" t="n"/>
      <c r="C1260" s="9" t="n"/>
      <c r="D1260" s="9" t="n"/>
      <c r="E1260" s="9" t="n"/>
      <c r="F1260" s="9" t="n"/>
      <c r="G1260" s="9" t="n"/>
      <c r="H1260" s="71" t="n"/>
      <c r="I1260" s="9" t="n"/>
      <c r="J1260" s="89">
        <f>IF(H1260="","",IF(I1260="Sí",ROUND(H1260*Configuracion!$B$11,0),0))</f>
        <v/>
      </c>
      <c r="K1260" s="89">
        <f>IF(H1260="","",H1260+J1260)</f>
        <v/>
      </c>
      <c r="L1260" s="13">
        <f>IF(B1260="","",YEAR(B1260))</f>
        <v/>
      </c>
      <c r="M1260" s="13">
        <f>IF(B1260="","",MONTH(B1260))</f>
        <v/>
      </c>
      <c r="N1260" s="9" t="n"/>
      <c r="O1260" s="9" t="n"/>
      <c r="P1260" s="9" t="n"/>
      <c r="Q1260" s="9" t="n"/>
    </row>
    <row r="1261">
      <c r="A1261" s="9" t="n"/>
      <c r="B1261" s="70" t="n"/>
      <c r="C1261" s="9" t="n"/>
      <c r="D1261" s="9" t="n"/>
      <c r="E1261" s="9" t="n"/>
      <c r="F1261" s="9" t="n"/>
      <c r="G1261" s="9" t="n"/>
      <c r="H1261" s="71" t="n"/>
      <c r="I1261" s="9" t="n"/>
      <c r="J1261" s="89">
        <f>IF(H1261="","",IF(I1261="Sí",ROUND(H1261*Configuracion!$B$11,0),0))</f>
        <v/>
      </c>
      <c r="K1261" s="89">
        <f>IF(H1261="","",H1261+J1261)</f>
        <v/>
      </c>
      <c r="L1261" s="13">
        <f>IF(B1261="","",YEAR(B1261))</f>
        <v/>
      </c>
      <c r="M1261" s="13">
        <f>IF(B1261="","",MONTH(B1261))</f>
        <v/>
      </c>
      <c r="N1261" s="9" t="n"/>
      <c r="O1261" s="9" t="n"/>
      <c r="P1261" s="9" t="n"/>
      <c r="Q1261" s="9" t="n"/>
    </row>
    <row r="1262">
      <c r="A1262" s="9" t="n"/>
      <c r="B1262" s="70" t="n"/>
      <c r="C1262" s="9" t="n"/>
      <c r="D1262" s="9" t="n"/>
      <c r="E1262" s="9" t="n"/>
      <c r="F1262" s="9" t="n"/>
      <c r="G1262" s="9" t="n"/>
      <c r="H1262" s="71" t="n"/>
      <c r="I1262" s="9" t="n"/>
      <c r="J1262" s="89">
        <f>IF(H1262="","",IF(I1262="Sí",ROUND(H1262*Configuracion!$B$11,0),0))</f>
        <v/>
      </c>
      <c r="K1262" s="89">
        <f>IF(H1262="","",H1262+J1262)</f>
        <v/>
      </c>
      <c r="L1262" s="13">
        <f>IF(B1262="","",YEAR(B1262))</f>
        <v/>
      </c>
      <c r="M1262" s="13">
        <f>IF(B1262="","",MONTH(B1262))</f>
        <v/>
      </c>
      <c r="N1262" s="9" t="n"/>
      <c r="O1262" s="9" t="n"/>
      <c r="P1262" s="9" t="n"/>
      <c r="Q1262" s="9" t="n"/>
    </row>
    <row r="1263">
      <c r="A1263" s="9" t="n"/>
      <c r="B1263" s="70" t="n"/>
      <c r="C1263" s="9" t="n"/>
      <c r="D1263" s="9" t="n"/>
      <c r="E1263" s="9" t="n"/>
      <c r="F1263" s="9" t="n"/>
      <c r="G1263" s="9" t="n"/>
      <c r="H1263" s="71" t="n"/>
      <c r="I1263" s="9" t="n"/>
      <c r="J1263" s="89">
        <f>IF(H1263="","",IF(I1263="Sí",ROUND(H1263*Configuracion!$B$11,0),0))</f>
        <v/>
      </c>
      <c r="K1263" s="89">
        <f>IF(H1263="","",H1263+J1263)</f>
        <v/>
      </c>
      <c r="L1263" s="13">
        <f>IF(B1263="","",YEAR(B1263))</f>
        <v/>
      </c>
      <c r="M1263" s="13">
        <f>IF(B1263="","",MONTH(B1263))</f>
        <v/>
      </c>
      <c r="N1263" s="9" t="n"/>
      <c r="O1263" s="9" t="n"/>
      <c r="P1263" s="9" t="n"/>
      <c r="Q1263" s="9" t="n"/>
    </row>
    <row r="1264">
      <c r="A1264" s="9" t="n"/>
      <c r="B1264" s="70" t="n"/>
      <c r="C1264" s="9" t="n"/>
      <c r="D1264" s="9" t="n"/>
      <c r="E1264" s="9" t="n"/>
      <c r="F1264" s="9" t="n"/>
      <c r="G1264" s="9" t="n"/>
      <c r="H1264" s="71" t="n"/>
      <c r="I1264" s="9" t="n"/>
      <c r="J1264" s="89">
        <f>IF(H1264="","",IF(I1264="Sí",ROUND(H1264*Configuracion!$B$11,0),0))</f>
        <v/>
      </c>
      <c r="K1264" s="89">
        <f>IF(H1264="","",H1264+J1264)</f>
        <v/>
      </c>
      <c r="L1264" s="13">
        <f>IF(B1264="","",YEAR(B1264))</f>
        <v/>
      </c>
      <c r="M1264" s="13">
        <f>IF(B1264="","",MONTH(B1264))</f>
        <v/>
      </c>
      <c r="N1264" s="9" t="n"/>
      <c r="O1264" s="9" t="n"/>
      <c r="P1264" s="9" t="n"/>
      <c r="Q1264" s="9" t="n"/>
    </row>
    <row r="1265">
      <c r="A1265" s="9" t="n"/>
      <c r="B1265" s="70" t="n"/>
      <c r="C1265" s="9" t="n"/>
      <c r="D1265" s="9" t="n"/>
      <c r="E1265" s="9" t="n"/>
      <c r="F1265" s="9" t="n"/>
      <c r="G1265" s="9" t="n"/>
      <c r="H1265" s="71" t="n"/>
      <c r="I1265" s="9" t="n"/>
      <c r="J1265" s="89">
        <f>IF(H1265="","",IF(I1265="Sí",ROUND(H1265*Configuracion!$B$11,0),0))</f>
        <v/>
      </c>
      <c r="K1265" s="89">
        <f>IF(H1265="","",H1265+J1265)</f>
        <v/>
      </c>
      <c r="L1265" s="13">
        <f>IF(B1265="","",YEAR(B1265))</f>
        <v/>
      </c>
      <c r="M1265" s="13">
        <f>IF(B1265="","",MONTH(B1265))</f>
        <v/>
      </c>
      <c r="N1265" s="9" t="n"/>
      <c r="O1265" s="9" t="n"/>
      <c r="P1265" s="9" t="n"/>
      <c r="Q1265" s="9" t="n"/>
    </row>
    <row r="1266">
      <c r="A1266" s="9" t="n"/>
      <c r="B1266" s="70" t="n"/>
      <c r="C1266" s="9" t="n"/>
      <c r="D1266" s="9" t="n"/>
      <c r="E1266" s="9" t="n"/>
      <c r="F1266" s="9" t="n"/>
      <c r="G1266" s="9" t="n"/>
      <c r="H1266" s="71" t="n"/>
      <c r="I1266" s="9" t="n"/>
      <c r="J1266" s="89">
        <f>IF(H1266="","",IF(I1266="Sí",ROUND(H1266*Configuracion!$B$11,0),0))</f>
        <v/>
      </c>
      <c r="K1266" s="89">
        <f>IF(H1266="","",H1266+J1266)</f>
        <v/>
      </c>
      <c r="L1266" s="13">
        <f>IF(B1266="","",YEAR(B1266))</f>
        <v/>
      </c>
      <c r="M1266" s="13">
        <f>IF(B1266="","",MONTH(B1266))</f>
        <v/>
      </c>
      <c r="N1266" s="9" t="n"/>
      <c r="O1266" s="9" t="n"/>
      <c r="P1266" s="9" t="n"/>
      <c r="Q1266" s="9" t="n"/>
    </row>
    <row r="1267">
      <c r="A1267" s="9" t="n"/>
      <c r="B1267" s="70" t="n"/>
      <c r="C1267" s="9" t="n"/>
      <c r="D1267" s="9" t="n"/>
      <c r="E1267" s="9" t="n"/>
      <c r="F1267" s="9" t="n"/>
      <c r="G1267" s="9" t="n"/>
      <c r="H1267" s="71" t="n"/>
      <c r="I1267" s="9" t="n"/>
      <c r="J1267" s="89">
        <f>IF(H1267="","",IF(I1267="Sí",ROUND(H1267*Configuracion!$B$11,0),0))</f>
        <v/>
      </c>
      <c r="K1267" s="89">
        <f>IF(H1267="","",H1267+J1267)</f>
        <v/>
      </c>
      <c r="L1267" s="13">
        <f>IF(B1267="","",YEAR(B1267))</f>
        <v/>
      </c>
      <c r="M1267" s="13">
        <f>IF(B1267="","",MONTH(B1267))</f>
        <v/>
      </c>
      <c r="N1267" s="9" t="n"/>
      <c r="O1267" s="9" t="n"/>
      <c r="P1267" s="9" t="n"/>
      <c r="Q1267" s="9" t="n"/>
    </row>
    <row r="1268">
      <c r="A1268" s="9" t="n"/>
      <c r="B1268" s="70" t="n"/>
      <c r="C1268" s="9" t="n"/>
      <c r="D1268" s="9" t="n"/>
      <c r="E1268" s="9" t="n"/>
      <c r="F1268" s="9" t="n"/>
      <c r="G1268" s="9" t="n"/>
      <c r="H1268" s="71" t="n"/>
      <c r="I1268" s="9" t="n"/>
      <c r="J1268" s="89">
        <f>IF(H1268="","",IF(I1268="Sí",ROUND(H1268*Configuracion!$B$11,0),0))</f>
        <v/>
      </c>
      <c r="K1268" s="89">
        <f>IF(H1268="","",H1268+J1268)</f>
        <v/>
      </c>
      <c r="L1268" s="13">
        <f>IF(B1268="","",YEAR(B1268))</f>
        <v/>
      </c>
      <c r="M1268" s="13">
        <f>IF(B1268="","",MONTH(B1268))</f>
        <v/>
      </c>
      <c r="N1268" s="9" t="n"/>
      <c r="O1268" s="9" t="n"/>
      <c r="P1268" s="9" t="n"/>
      <c r="Q1268" s="9" t="n"/>
    </row>
    <row r="1269">
      <c r="A1269" s="9" t="n"/>
      <c r="B1269" s="70" t="n"/>
      <c r="C1269" s="9" t="n"/>
      <c r="D1269" s="9" t="n"/>
      <c r="E1269" s="9" t="n"/>
      <c r="F1269" s="9" t="n"/>
      <c r="G1269" s="9" t="n"/>
      <c r="H1269" s="71" t="n"/>
      <c r="I1269" s="9" t="n"/>
      <c r="J1269" s="89">
        <f>IF(H1269="","",IF(I1269="Sí",ROUND(H1269*Configuracion!$B$11,0),0))</f>
        <v/>
      </c>
      <c r="K1269" s="89">
        <f>IF(H1269="","",H1269+J1269)</f>
        <v/>
      </c>
      <c r="L1269" s="13">
        <f>IF(B1269="","",YEAR(B1269))</f>
        <v/>
      </c>
      <c r="M1269" s="13">
        <f>IF(B1269="","",MONTH(B1269))</f>
        <v/>
      </c>
      <c r="N1269" s="9" t="n"/>
      <c r="O1269" s="9" t="n"/>
      <c r="P1269" s="9" t="n"/>
      <c r="Q1269" s="9" t="n"/>
    </row>
    <row r="1270">
      <c r="A1270" s="9" t="n"/>
      <c r="B1270" s="70" t="n"/>
      <c r="C1270" s="9" t="n"/>
      <c r="D1270" s="9" t="n"/>
      <c r="E1270" s="9" t="n"/>
      <c r="F1270" s="9" t="n"/>
      <c r="G1270" s="9" t="n"/>
      <c r="H1270" s="71" t="n"/>
      <c r="I1270" s="9" t="n"/>
      <c r="J1270" s="89">
        <f>IF(H1270="","",IF(I1270="Sí",ROUND(H1270*Configuracion!$B$11,0),0))</f>
        <v/>
      </c>
      <c r="K1270" s="89">
        <f>IF(H1270="","",H1270+J1270)</f>
        <v/>
      </c>
      <c r="L1270" s="13">
        <f>IF(B1270="","",YEAR(B1270))</f>
        <v/>
      </c>
      <c r="M1270" s="13">
        <f>IF(B1270="","",MONTH(B1270))</f>
        <v/>
      </c>
      <c r="N1270" s="9" t="n"/>
      <c r="O1270" s="9" t="n"/>
      <c r="P1270" s="9" t="n"/>
      <c r="Q1270" s="9" t="n"/>
    </row>
    <row r="1271">
      <c r="A1271" s="9" t="n"/>
      <c r="B1271" s="70" t="n"/>
      <c r="C1271" s="9" t="n"/>
      <c r="D1271" s="9" t="n"/>
      <c r="E1271" s="9" t="n"/>
      <c r="F1271" s="9" t="n"/>
      <c r="G1271" s="9" t="n"/>
      <c r="H1271" s="71" t="n"/>
      <c r="I1271" s="9" t="n"/>
      <c r="J1271" s="89">
        <f>IF(H1271="","",IF(I1271="Sí",ROUND(H1271*Configuracion!$B$11,0),0))</f>
        <v/>
      </c>
      <c r="K1271" s="89">
        <f>IF(H1271="","",H1271+J1271)</f>
        <v/>
      </c>
      <c r="L1271" s="13">
        <f>IF(B1271="","",YEAR(B1271))</f>
        <v/>
      </c>
      <c r="M1271" s="13">
        <f>IF(B1271="","",MONTH(B1271))</f>
        <v/>
      </c>
      <c r="N1271" s="9" t="n"/>
      <c r="O1271" s="9" t="n"/>
      <c r="P1271" s="9" t="n"/>
      <c r="Q1271" s="9" t="n"/>
    </row>
    <row r="1272">
      <c r="A1272" s="9" t="n"/>
      <c r="B1272" s="70" t="n"/>
      <c r="C1272" s="9" t="n"/>
      <c r="D1272" s="9" t="n"/>
      <c r="E1272" s="9" t="n"/>
      <c r="F1272" s="9" t="n"/>
      <c r="G1272" s="9" t="n"/>
      <c r="H1272" s="71" t="n"/>
      <c r="I1272" s="9" t="n"/>
      <c r="J1272" s="89">
        <f>IF(H1272="","",IF(I1272="Sí",ROUND(H1272*Configuracion!$B$11,0),0))</f>
        <v/>
      </c>
      <c r="K1272" s="89">
        <f>IF(H1272="","",H1272+J1272)</f>
        <v/>
      </c>
      <c r="L1272" s="13">
        <f>IF(B1272="","",YEAR(B1272))</f>
        <v/>
      </c>
      <c r="M1272" s="13">
        <f>IF(B1272="","",MONTH(B1272))</f>
        <v/>
      </c>
      <c r="N1272" s="9" t="n"/>
      <c r="O1272" s="9" t="n"/>
      <c r="P1272" s="9" t="n"/>
      <c r="Q1272" s="9" t="n"/>
    </row>
    <row r="1273">
      <c r="A1273" s="9" t="n"/>
      <c r="B1273" s="70" t="n"/>
      <c r="C1273" s="9" t="n"/>
      <c r="D1273" s="9" t="n"/>
      <c r="E1273" s="9" t="n"/>
      <c r="F1273" s="9" t="n"/>
      <c r="G1273" s="9" t="n"/>
      <c r="H1273" s="71" t="n"/>
      <c r="I1273" s="9" t="n"/>
      <c r="J1273" s="89">
        <f>IF(H1273="","",IF(I1273="Sí",ROUND(H1273*Configuracion!$B$11,0),0))</f>
        <v/>
      </c>
      <c r="K1273" s="89">
        <f>IF(H1273="","",H1273+J1273)</f>
        <v/>
      </c>
      <c r="L1273" s="13">
        <f>IF(B1273="","",YEAR(B1273))</f>
        <v/>
      </c>
      <c r="M1273" s="13">
        <f>IF(B1273="","",MONTH(B1273))</f>
        <v/>
      </c>
      <c r="N1273" s="9" t="n"/>
      <c r="O1273" s="9" t="n"/>
      <c r="P1273" s="9" t="n"/>
      <c r="Q1273" s="9" t="n"/>
    </row>
    <row r="1274">
      <c r="A1274" s="9" t="n"/>
      <c r="B1274" s="70" t="n"/>
      <c r="C1274" s="9" t="n"/>
      <c r="D1274" s="9" t="n"/>
      <c r="E1274" s="9" t="n"/>
      <c r="F1274" s="9" t="n"/>
      <c r="G1274" s="9" t="n"/>
      <c r="H1274" s="71" t="n"/>
      <c r="I1274" s="9" t="n"/>
      <c r="J1274" s="89">
        <f>IF(H1274="","",IF(I1274="Sí",ROUND(H1274*Configuracion!$B$11,0),0))</f>
        <v/>
      </c>
      <c r="K1274" s="89">
        <f>IF(H1274="","",H1274+J1274)</f>
        <v/>
      </c>
      <c r="L1274" s="13">
        <f>IF(B1274="","",YEAR(B1274))</f>
        <v/>
      </c>
      <c r="M1274" s="13">
        <f>IF(B1274="","",MONTH(B1274))</f>
        <v/>
      </c>
      <c r="N1274" s="9" t="n"/>
      <c r="O1274" s="9" t="n"/>
      <c r="P1274" s="9" t="n"/>
      <c r="Q1274" s="9" t="n"/>
    </row>
    <row r="1275">
      <c r="A1275" s="9" t="n"/>
      <c r="B1275" s="70" t="n"/>
      <c r="C1275" s="9" t="n"/>
      <c r="D1275" s="9" t="n"/>
      <c r="E1275" s="9" t="n"/>
      <c r="F1275" s="9" t="n"/>
      <c r="G1275" s="9" t="n"/>
      <c r="H1275" s="71" t="n"/>
      <c r="I1275" s="9" t="n"/>
      <c r="J1275" s="89">
        <f>IF(H1275="","",IF(I1275="Sí",ROUND(H1275*Configuracion!$B$11,0),0))</f>
        <v/>
      </c>
      <c r="K1275" s="89">
        <f>IF(H1275="","",H1275+J1275)</f>
        <v/>
      </c>
      <c r="L1275" s="13">
        <f>IF(B1275="","",YEAR(B1275))</f>
        <v/>
      </c>
      <c r="M1275" s="13">
        <f>IF(B1275="","",MONTH(B1275))</f>
        <v/>
      </c>
      <c r="N1275" s="9" t="n"/>
      <c r="O1275" s="9" t="n"/>
      <c r="P1275" s="9" t="n"/>
      <c r="Q1275" s="9" t="n"/>
    </row>
    <row r="1276">
      <c r="A1276" s="9" t="n"/>
      <c r="B1276" s="70" t="n"/>
      <c r="C1276" s="9" t="n"/>
      <c r="D1276" s="9" t="n"/>
      <c r="E1276" s="9" t="n"/>
      <c r="F1276" s="9" t="n"/>
      <c r="G1276" s="9" t="n"/>
      <c r="H1276" s="71" t="n"/>
      <c r="I1276" s="9" t="n"/>
      <c r="J1276" s="89">
        <f>IF(H1276="","",IF(I1276="Sí",ROUND(H1276*Configuracion!$B$11,0),0))</f>
        <v/>
      </c>
      <c r="K1276" s="89">
        <f>IF(H1276="","",H1276+J1276)</f>
        <v/>
      </c>
      <c r="L1276" s="13">
        <f>IF(B1276="","",YEAR(B1276))</f>
        <v/>
      </c>
      <c r="M1276" s="13">
        <f>IF(B1276="","",MONTH(B1276))</f>
        <v/>
      </c>
      <c r="N1276" s="9" t="n"/>
      <c r="O1276" s="9" t="n"/>
      <c r="P1276" s="9" t="n"/>
      <c r="Q1276" s="9" t="n"/>
    </row>
    <row r="1277">
      <c r="A1277" s="9" t="n"/>
      <c r="B1277" s="70" t="n"/>
      <c r="C1277" s="9" t="n"/>
      <c r="D1277" s="9" t="n"/>
      <c r="E1277" s="9" t="n"/>
      <c r="F1277" s="9" t="n"/>
      <c r="G1277" s="9" t="n"/>
      <c r="H1277" s="71" t="n"/>
      <c r="I1277" s="9" t="n"/>
      <c r="J1277" s="89">
        <f>IF(H1277="","",IF(I1277="Sí",ROUND(H1277*Configuracion!$B$11,0),0))</f>
        <v/>
      </c>
      <c r="K1277" s="89">
        <f>IF(H1277="","",H1277+J1277)</f>
        <v/>
      </c>
      <c r="L1277" s="13">
        <f>IF(B1277="","",YEAR(B1277))</f>
        <v/>
      </c>
      <c r="M1277" s="13">
        <f>IF(B1277="","",MONTH(B1277))</f>
        <v/>
      </c>
      <c r="N1277" s="9" t="n"/>
      <c r="O1277" s="9" t="n"/>
      <c r="P1277" s="9" t="n"/>
      <c r="Q1277" s="9" t="n"/>
    </row>
    <row r="1278">
      <c r="A1278" s="9" t="n"/>
      <c r="B1278" s="70" t="n"/>
      <c r="C1278" s="9" t="n"/>
      <c r="D1278" s="9" t="n"/>
      <c r="E1278" s="9" t="n"/>
      <c r="F1278" s="9" t="n"/>
      <c r="G1278" s="9" t="n"/>
      <c r="H1278" s="71" t="n"/>
      <c r="I1278" s="9" t="n"/>
      <c r="J1278" s="89">
        <f>IF(H1278="","",IF(I1278="Sí",ROUND(H1278*Configuracion!$B$11,0),0))</f>
        <v/>
      </c>
      <c r="K1278" s="89">
        <f>IF(H1278="","",H1278+J1278)</f>
        <v/>
      </c>
      <c r="L1278" s="13">
        <f>IF(B1278="","",YEAR(B1278))</f>
        <v/>
      </c>
      <c r="M1278" s="13">
        <f>IF(B1278="","",MONTH(B1278))</f>
        <v/>
      </c>
      <c r="N1278" s="9" t="n"/>
      <c r="O1278" s="9" t="n"/>
      <c r="P1278" s="9" t="n"/>
      <c r="Q1278" s="9" t="n"/>
    </row>
    <row r="1279">
      <c r="A1279" s="9" t="n"/>
      <c r="B1279" s="70" t="n"/>
      <c r="C1279" s="9" t="n"/>
      <c r="D1279" s="9" t="n"/>
      <c r="E1279" s="9" t="n"/>
      <c r="F1279" s="9" t="n"/>
      <c r="G1279" s="9" t="n"/>
      <c r="H1279" s="71" t="n"/>
      <c r="I1279" s="9" t="n"/>
      <c r="J1279" s="89">
        <f>IF(H1279="","",IF(I1279="Sí",ROUND(H1279*Configuracion!$B$11,0),0))</f>
        <v/>
      </c>
      <c r="K1279" s="89">
        <f>IF(H1279="","",H1279+J1279)</f>
        <v/>
      </c>
      <c r="L1279" s="13">
        <f>IF(B1279="","",YEAR(B1279))</f>
        <v/>
      </c>
      <c r="M1279" s="13">
        <f>IF(B1279="","",MONTH(B1279))</f>
        <v/>
      </c>
      <c r="N1279" s="9" t="n"/>
      <c r="O1279" s="9" t="n"/>
      <c r="P1279" s="9" t="n"/>
      <c r="Q1279" s="9" t="n"/>
    </row>
    <row r="1280">
      <c r="A1280" s="9" t="n"/>
      <c r="B1280" s="70" t="n"/>
      <c r="C1280" s="9" t="n"/>
      <c r="D1280" s="9" t="n"/>
      <c r="E1280" s="9" t="n"/>
      <c r="F1280" s="9" t="n"/>
      <c r="G1280" s="9" t="n"/>
      <c r="H1280" s="71" t="n"/>
      <c r="I1280" s="9" t="n"/>
      <c r="J1280" s="89">
        <f>IF(H1280="","",IF(I1280="Sí",ROUND(H1280*Configuracion!$B$11,0),0))</f>
        <v/>
      </c>
      <c r="K1280" s="89">
        <f>IF(H1280="","",H1280+J1280)</f>
        <v/>
      </c>
      <c r="L1280" s="13">
        <f>IF(B1280="","",YEAR(B1280))</f>
        <v/>
      </c>
      <c r="M1280" s="13">
        <f>IF(B1280="","",MONTH(B1280))</f>
        <v/>
      </c>
      <c r="N1280" s="9" t="n"/>
      <c r="O1280" s="9" t="n"/>
      <c r="P1280" s="9" t="n"/>
      <c r="Q1280" s="9" t="n"/>
    </row>
    <row r="1281">
      <c r="A1281" s="9" t="n"/>
      <c r="B1281" s="70" t="n"/>
      <c r="C1281" s="9" t="n"/>
      <c r="D1281" s="9" t="n"/>
      <c r="E1281" s="9" t="n"/>
      <c r="F1281" s="9" t="n"/>
      <c r="G1281" s="9" t="n"/>
      <c r="H1281" s="71" t="n"/>
      <c r="I1281" s="9" t="n"/>
      <c r="J1281" s="89">
        <f>IF(H1281="","",IF(I1281="Sí",ROUND(H1281*Configuracion!$B$11,0),0))</f>
        <v/>
      </c>
      <c r="K1281" s="89">
        <f>IF(H1281="","",H1281+J1281)</f>
        <v/>
      </c>
      <c r="L1281" s="13">
        <f>IF(B1281="","",YEAR(B1281))</f>
        <v/>
      </c>
      <c r="M1281" s="13">
        <f>IF(B1281="","",MONTH(B1281))</f>
        <v/>
      </c>
      <c r="N1281" s="9" t="n"/>
      <c r="O1281" s="9" t="n"/>
      <c r="P1281" s="9" t="n"/>
      <c r="Q1281" s="9" t="n"/>
    </row>
    <row r="1282">
      <c r="A1282" s="9" t="n"/>
      <c r="B1282" s="70" t="n"/>
      <c r="C1282" s="9" t="n"/>
      <c r="D1282" s="9" t="n"/>
      <c r="E1282" s="9" t="n"/>
      <c r="F1282" s="9" t="n"/>
      <c r="G1282" s="9" t="n"/>
      <c r="H1282" s="71" t="n"/>
      <c r="I1282" s="9" t="n"/>
      <c r="J1282" s="89">
        <f>IF(H1282="","",IF(I1282="Sí",ROUND(H1282*Configuracion!$B$11,0),0))</f>
        <v/>
      </c>
      <c r="K1282" s="89">
        <f>IF(H1282="","",H1282+J1282)</f>
        <v/>
      </c>
      <c r="L1282" s="13">
        <f>IF(B1282="","",YEAR(B1282))</f>
        <v/>
      </c>
      <c r="M1282" s="13">
        <f>IF(B1282="","",MONTH(B1282))</f>
        <v/>
      </c>
      <c r="N1282" s="9" t="n"/>
      <c r="O1282" s="9" t="n"/>
      <c r="P1282" s="9" t="n"/>
      <c r="Q1282" s="9" t="n"/>
    </row>
    <row r="1283">
      <c r="A1283" s="9" t="n"/>
      <c r="B1283" s="70" t="n"/>
      <c r="C1283" s="9" t="n"/>
      <c r="D1283" s="9" t="n"/>
      <c r="E1283" s="9" t="n"/>
      <c r="F1283" s="9" t="n"/>
      <c r="G1283" s="9" t="n"/>
      <c r="H1283" s="71" t="n"/>
      <c r="I1283" s="9" t="n"/>
      <c r="J1283" s="89">
        <f>IF(H1283="","",IF(I1283="Sí",ROUND(H1283*Configuracion!$B$11,0),0))</f>
        <v/>
      </c>
      <c r="K1283" s="89">
        <f>IF(H1283="","",H1283+J1283)</f>
        <v/>
      </c>
      <c r="L1283" s="13">
        <f>IF(B1283="","",YEAR(B1283))</f>
        <v/>
      </c>
      <c r="M1283" s="13">
        <f>IF(B1283="","",MONTH(B1283))</f>
        <v/>
      </c>
      <c r="N1283" s="9" t="n"/>
      <c r="O1283" s="9" t="n"/>
      <c r="P1283" s="9" t="n"/>
      <c r="Q1283" s="9" t="n"/>
    </row>
    <row r="1284">
      <c r="A1284" s="9" t="n"/>
      <c r="B1284" s="70" t="n"/>
      <c r="C1284" s="9" t="n"/>
      <c r="D1284" s="9" t="n"/>
      <c r="E1284" s="9" t="n"/>
      <c r="F1284" s="9" t="n"/>
      <c r="G1284" s="9" t="n"/>
      <c r="H1284" s="71" t="n"/>
      <c r="I1284" s="9" t="n"/>
      <c r="J1284" s="89">
        <f>IF(H1284="","",IF(I1284="Sí",ROUND(H1284*Configuracion!$B$11,0),0))</f>
        <v/>
      </c>
      <c r="K1284" s="89">
        <f>IF(H1284="","",H1284+J1284)</f>
        <v/>
      </c>
      <c r="L1284" s="13">
        <f>IF(B1284="","",YEAR(B1284))</f>
        <v/>
      </c>
      <c r="M1284" s="13">
        <f>IF(B1284="","",MONTH(B1284))</f>
        <v/>
      </c>
      <c r="N1284" s="9" t="n"/>
      <c r="O1284" s="9" t="n"/>
      <c r="P1284" s="9" t="n"/>
      <c r="Q1284" s="9" t="n"/>
    </row>
    <row r="1285">
      <c r="A1285" s="9" t="n"/>
      <c r="B1285" s="70" t="n"/>
      <c r="C1285" s="9" t="n"/>
      <c r="D1285" s="9" t="n"/>
      <c r="E1285" s="9" t="n"/>
      <c r="F1285" s="9" t="n"/>
      <c r="G1285" s="9" t="n"/>
      <c r="H1285" s="71" t="n"/>
      <c r="I1285" s="9" t="n"/>
      <c r="J1285" s="89">
        <f>IF(H1285="","",IF(I1285="Sí",ROUND(H1285*Configuracion!$B$11,0),0))</f>
        <v/>
      </c>
      <c r="K1285" s="89">
        <f>IF(H1285="","",H1285+J1285)</f>
        <v/>
      </c>
      <c r="L1285" s="13">
        <f>IF(B1285="","",YEAR(B1285))</f>
        <v/>
      </c>
      <c r="M1285" s="13">
        <f>IF(B1285="","",MONTH(B1285))</f>
        <v/>
      </c>
      <c r="N1285" s="9" t="n"/>
      <c r="O1285" s="9" t="n"/>
      <c r="P1285" s="9" t="n"/>
      <c r="Q1285" s="9" t="n"/>
    </row>
    <row r="1286">
      <c r="A1286" s="9" t="n"/>
      <c r="B1286" s="70" t="n"/>
      <c r="C1286" s="9" t="n"/>
      <c r="D1286" s="9" t="n"/>
      <c r="E1286" s="9" t="n"/>
      <c r="F1286" s="9" t="n"/>
      <c r="G1286" s="9" t="n"/>
      <c r="H1286" s="71" t="n"/>
      <c r="I1286" s="9" t="n"/>
      <c r="J1286" s="89">
        <f>IF(H1286="","",IF(I1286="Sí",ROUND(H1286*Configuracion!$B$11,0),0))</f>
        <v/>
      </c>
      <c r="K1286" s="89">
        <f>IF(H1286="","",H1286+J1286)</f>
        <v/>
      </c>
      <c r="L1286" s="13">
        <f>IF(B1286="","",YEAR(B1286))</f>
        <v/>
      </c>
      <c r="M1286" s="13">
        <f>IF(B1286="","",MONTH(B1286))</f>
        <v/>
      </c>
      <c r="N1286" s="9" t="n"/>
      <c r="O1286" s="9" t="n"/>
      <c r="P1286" s="9" t="n"/>
      <c r="Q1286" s="9" t="n"/>
    </row>
    <row r="1287">
      <c r="A1287" s="9" t="n"/>
      <c r="B1287" s="70" t="n"/>
      <c r="C1287" s="9" t="n"/>
      <c r="D1287" s="9" t="n"/>
      <c r="E1287" s="9" t="n"/>
      <c r="F1287" s="9" t="n"/>
      <c r="G1287" s="9" t="n"/>
      <c r="H1287" s="71" t="n"/>
      <c r="I1287" s="9" t="n"/>
      <c r="J1287" s="89">
        <f>IF(H1287="","",IF(I1287="Sí",ROUND(H1287*Configuracion!$B$11,0),0))</f>
        <v/>
      </c>
      <c r="K1287" s="89">
        <f>IF(H1287="","",H1287+J1287)</f>
        <v/>
      </c>
      <c r="L1287" s="13">
        <f>IF(B1287="","",YEAR(B1287))</f>
        <v/>
      </c>
      <c r="M1287" s="13">
        <f>IF(B1287="","",MONTH(B1287))</f>
        <v/>
      </c>
      <c r="N1287" s="9" t="n"/>
      <c r="O1287" s="9" t="n"/>
      <c r="P1287" s="9" t="n"/>
      <c r="Q1287" s="9" t="n"/>
    </row>
    <row r="1288">
      <c r="A1288" s="9" t="n"/>
      <c r="B1288" s="70" t="n"/>
      <c r="C1288" s="9" t="n"/>
      <c r="D1288" s="9" t="n"/>
      <c r="E1288" s="9" t="n"/>
      <c r="F1288" s="9" t="n"/>
      <c r="G1288" s="9" t="n"/>
      <c r="H1288" s="71" t="n"/>
      <c r="I1288" s="9" t="n"/>
      <c r="J1288" s="89">
        <f>IF(H1288="","",IF(I1288="Sí",ROUND(H1288*Configuracion!$B$11,0),0))</f>
        <v/>
      </c>
      <c r="K1288" s="89">
        <f>IF(H1288="","",H1288+J1288)</f>
        <v/>
      </c>
      <c r="L1288" s="13">
        <f>IF(B1288="","",YEAR(B1288))</f>
        <v/>
      </c>
      <c r="M1288" s="13">
        <f>IF(B1288="","",MONTH(B1288))</f>
        <v/>
      </c>
      <c r="N1288" s="9" t="n"/>
      <c r="O1288" s="9" t="n"/>
      <c r="P1288" s="9" t="n"/>
      <c r="Q1288" s="9" t="n"/>
    </row>
    <row r="1289">
      <c r="A1289" s="9" t="n"/>
      <c r="B1289" s="70" t="n"/>
      <c r="C1289" s="9" t="n"/>
      <c r="D1289" s="9" t="n"/>
      <c r="E1289" s="9" t="n"/>
      <c r="F1289" s="9" t="n"/>
      <c r="G1289" s="9" t="n"/>
      <c r="H1289" s="71" t="n"/>
      <c r="I1289" s="9" t="n"/>
      <c r="J1289" s="89">
        <f>IF(H1289="","",IF(I1289="Sí",ROUND(H1289*Configuracion!$B$11,0),0))</f>
        <v/>
      </c>
      <c r="K1289" s="89">
        <f>IF(H1289="","",H1289+J1289)</f>
        <v/>
      </c>
      <c r="L1289" s="13">
        <f>IF(B1289="","",YEAR(B1289))</f>
        <v/>
      </c>
      <c r="M1289" s="13">
        <f>IF(B1289="","",MONTH(B1289))</f>
        <v/>
      </c>
      <c r="N1289" s="9" t="n"/>
      <c r="O1289" s="9" t="n"/>
      <c r="P1289" s="9" t="n"/>
      <c r="Q1289" s="9" t="n"/>
    </row>
    <row r="1290">
      <c r="A1290" s="9" t="n"/>
      <c r="B1290" s="70" t="n"/>
      <c r="C1290" s="9" t="n"/>
      <c r="D1290" s="9" t="n"/>
      <c r="E1290" s="9" t="n"/>
      <c r="F1290" s="9" t="n"/>
      <c r="G1290" s="9" t="n"/>
      <c r="H1290" s="71" t="n"/>
      <c r="I1290" s="9" t="n"/>
      <c r="J1290" s="89">
        <f>IF(H1290="","",IF(I1290="Sí",ROUND(H1290*Configuracion!$B$11,0),0))</f>
        <v/>
      </c>
      <c r="K1290" s="89">
        <f>IF(H1290="","",H1290+J1290)</f>
        <v/>
      </c>
      <c r="L1290" s="13">
        <f>IF(B1290="","",YEAR(B1290))</f>
        <v/>
      </c>
      <c r="M1290" s="13">
        <f>IF(B1290="","",MONTH(B1290))</f>
        <v/>
      </c>
      <c r="N1290" s="9" t="n"/>
      <c r="O1290" s="9" t="n"/>
      <c r="P1290" s="9" t="n"/>
      <c r="Q1290" s="9" t="n"/>
    </row>
    <row r="1291">
      <c r="A1291" s="9" t="n"/>
      <c r="B1291" s="70" t="n"/>
      <c r="C1291" s="9" t="n"/>
      <c r="D1291" s="9" t="n"/>
      <c r="E1291" s="9" t="n"/>
      <c r="F1291" s="9" t="n"/>
      <c r="G1291" s="9" t="n"/>
      <c r="H1291" s="71" t="n"/>
      <c r="I1291" s="9" t="n"/>
      <c r="J1291" s="89">
        <f>IF(H1291="","",IF(I1291="Sí",ROUND(H1291*Configuracion!$B$11,0),0))</f>
        <v/>
      </c>
      <c r="K1291" s="89">
        <f>IF(H1291="","",H1291+J1291)</f>
        <v/>
      </c>
      <c r="L1291" s="13">
        <f>IF(B1291="","",YEAR(B1291))</f>
        <v/>
      </c>
      <c r="M1291" s="13">
        <f>IF(B1291="","",MONTH(B1291))</f>
        <v/>
      </c>
      <c r="N1291" s="9" t="n"/>
      <c r="O1291" s="9" t="n"/>
      <c r="P1291" s="9" t="n"/>
      <c r="Q1291" s="9" t="n"/>
    </row>
    <row r="1292">
      <c r="A1292" s="9" t="n"/>
      <c r="B1292" s="70" t="n"/>
      <c r="C1292" s="9" t="n"/>
      <c r="D1292" s="9" t="n"/>
      <c r="E1292" s="9" t="n"/>
      <c r="F1292" s="9" t="n"/>
      <c r="G1292" s="9" t="n"/>
      <c r="H1292" s="71" t="n"/>
      <c r="I1292" s="9" t="n"/>
      <c r="J1292" s="89">
        <f>IF(H1292="","",IF(I1292="Sí",ROUND(H1292*Configuracion!$B$11,0),0))</f>
        <v/>
      </c>
      <c r="K1292" s="89">
        <f>IF(H1292="","",H1292+J1292)</f>
        <v/>
      </c>
      <c r="L1292" s="13">
        <f>IF(B1292="","",YEAR(B1292))</f>
        <v/>
      </c>
      <c r="M1292" s="13">
        <f>IF(B1292="","",MONTH(B1292))</f>
        <v/>
      </c>
      <c r="N1292" s="9" t="n"/>
      <c r="O1292" s="9" t="n"/>
      <c r="P1292" s="9" t="n"/>
      <c r="Q1292" s="9" t="n"/>
    </row>
    <row r="1293">
      <c r="A1293" s="9" t="n"/>
      <c r="B1293" s="70" t="n"/>
      <c r="C1293" s="9" t="n"/>
      <c r="D1293" s="9" t="n"/>
      <c r="E1293" s="9" t="n"/>
      <c r="F1293" s="9" t="n"/>
      <c r="G1293" s="9" t="n"/>
      <c r="H1293" s="71" t="n"/>
      <c r="I1293" s="9" t="n"/>
      <c r="J1293" s="89">
        <f>IF(H1293="","",IF(I1293="Sí",ROUND(H1293*Configuracion!$B$11,0),0))</f>
        <v/>
      </c>
      <c r="K1293" s="89">
        <f>IF(H1293="","",H1293+J1293)</f>
        <v/>
      </c>
      <c r="L1293" s="13">
        <f>IF(B1293="","",YEAR(B1293))</f>
        <v/>
      </c>
      <c r="M1293" s="13">
        <f>IF(B1293="","",MONTH(B1293))</f>
        <v/>
      </c>
      <c r="N1293" s="9" t="n"/>
      <c r="O1293" s="9" t="n"/>
      <c r="P1293" s="9" t="n"/>
      <c r="Q1293" s="9" t="n"/>
    </row>
    <row r="1294">
      <c r="A1294" s="9" t="n"/>
      <c r="B1294" s="70" t="n"/>
      <c r="C1294" s="9" t="n"/>
      <c r="D1294" s="9" t="n"/>
      <c r="E1294" s="9" t="n"/>
      <c r="F1294" s="9" t="n"/>
      <c r="G1294" s="9" t="n"/>
      <c r="H1294" s="71" t="n"/>
      <c r="I1294" s="9" t="n"/>
      <c r="J1294" s="89">
        <f>IF(H1294="","",IF(I1294="Sí",ROUND(H1294*Configuracion!$B$11,0),0))</f>
        <v/>
      </c>
      <c r="K1294" s="89">
        <f>IF(H1294="","",H1294+J1294)</f>
        <v/>
      </c>
      <c r="L1294" s="13">
        <f>IF(B1294="","",YEAR(B1294))</f>
        <v/>
      </c>
      <c r="M1294" s="13">
        <f>IF(B1294="","",MONTH(B1294))</f>
        <v/>
      </c>
      <c r="N1294" s="9" t="n"/>
      <c r="O1294" s="9" t="n"/>
      <c r="P1294" s="9" t="n"/>
      <c r="Q1294" s="9" t="n"/>
    </row>
    <row r="1295">
      <c r="A1295" s="9" t="n"/>
      <c r="B1295" s="70" t="n"/>
      <c r="C1295" s="9" t="n"/>
      <c r="D1295" s="9" t="n"/>
      <c r="E1295" s="9" t="n"/>
      <c r="F1295" s="9" t="n"/>
      <c r="G1295" s="9" t="n"/>
      <c r="H1295" s="71" t="n"/>
      <c r="I1295" s="9" t="n"/>
      <c r="J1295" s="89">
        <f>IF(H1295="","",IF(I1295="Sí",ROUND(H1295*Configuracion!$B$11,0),0))</f>
        <v/>
      </c>
      <c r="K1295" s="89">
        <f>IF(H1295="","",H1295+J1295)</f>
        <v/>
      </c>
      <c r="L1295" s="13">
        <f>IF(B1295="","",YEAR(B1295))</f>
        <v/>
      </c>
      <c r="M1295" s="13">
        <f>IF(B1295="","",MONTH(B1295))</f>
        <v/>
      </c>
      <c r="N1295" s="9" t="n"/>
      <c r="O1295" s="9" t="n"/>
      <c r="P1295" s="9" t="n"/>
      <c r="Q1295" s="9" t="n"/>
    </row>
    <row r="1296">
      <c r="A1296" s="9" t="n"/>
      <c r="B1296" s="70" t="n"/>
      <c r="C1296" s="9" t="n"/>
      <c r="D1296" s="9" t="n"/>
      <c r="E1296" s="9" t="n"/>
      <c r="F1296" s="9" t="n"/>
      <c r="G1296" s="9" t="n"/>
      <c r="H1296" s="71" t="n"/>
      <c r="I1296" s="9" t="n"/>
      <c r="J1296" s="89">
        <f>IF(H1296="","",IF(I1296="Sí",ROUND(H1296*Configuracion!$B$11,0),0))</f>
        <v/>
      </c>
      <c r="K1296" s="89">
        <f>IF(H1296="","",H1296+J1296)</f>
        <v/>
      </c>
      <c r="L1296" s="13">
        <f>IF(B1296="","",YEAR(B1296))</f>
        <v/>
      </c>
      <c r="M1296" s="13">
        <f>IF(B1296="","",MONTH(B1296))</f>
        <v/>
      </c>
      <c r="N1296" s="9" t="n"/>
      <c r="O1296" s="9" t="n"/>
      <c r="P1296" s="9" t="n"/>
      <c r="Q1296" s="9" t="n"/>
    </row>
    <row r="1297">
      <c r="A1297" s="9" t="n"/>
      <c r="B1297" s="70" t="n"/>
      <c r="C1297" s="9" t="n"/>
      <c r="D1297" s="9" t="n"/>
      <c r="E1297" s="9" t="n"/>
      <c r="F1297" s="9" t="n"/>
      <c r="G1297" s="9" t="n"/>
      <c r="H1297" s="71" t="n"/>
      <c r="I1297" s="9" t="n"/>
      <c r="J1297" s="89">
        <f>IF(H1297="","",IF(I1297="Sí",ROUND(H1297*Configuracion!$B$11,0),0))</f>
        <v/>
      </c>
      <c r="K1297" s="89">
        <f>IF(H1297="","",H1297+J1297)</f>
        <v/>
      </c>
      <c r="L1297" s="13">
        <f>IF(B1297="","",YEAR(B1297))</f>
        <v/>
      </c>
      <c r="M1297" s="13">
        <f>IF(B1297="","",MONTH(B1297))</f>
        <v/>
      </c>
      <c r="N1297" s="9" t="n"/>
      <c r="O1297" s="9" t="n"/>
      <c r="P1297" s="9" t="n"/>
      <c r="Q1297" s="9" t="n"/>
    </row>
    <row r="1298">
      <c r="A1298" s="9" t="n"/>
      <c r="B1298" s="70" t="n"/>
      <c r="C1298" s="9" t="n"/>
      <c r="D1298" s="9" t="n"/>
      <c r="E1298" s="9" t="n"/>
      <c r="F1298" s="9" t="n"/>
      <c r="G1298" s="9" t="n"/>
      <c r="H1298" s="71" t="n"/>
      <c r="I1298" s="9" t="n"/>
      <c r="J1298" s="89">
        <f>IF(H1298="","",IF(I1298="Sí",ROUND(H1298*Configuracion!$B$11,0),0))</f>
        <v/>
      </c>
      <c r="K1298" s="89">
        <f>IF(H1298="","",H1298+J1298)</f>
        <v/>
      </c>
      <c r="L1298" s="13">
        <f>IF(B1298="","",YEAR(B1298))</f>
        <v/>
      </c>
      <c r="M1298" s="13">
        <f>IF(B1298="","",MONTH(B1298))</f>
        <v/>
      </c>
      <c r="N1298" s="9" t="n"/>
      <c r="O1298" s="9" t="n"/>
      <c r="P1298" s="9" t="n"/>
      <c r="Q1298" s="9" t="n"/>
    </row>
    <row r="1299">
      <c r="A1299" s="9" t="n"/>
      <c r="B1299" s="70" t="n"/>
      <c r="C1299" s="9" t="n"/>
      <c r="D1299" s="9" t="n"/>
      <c r="E1299" s="9" t="n"/>
      <c r="F1299" s="9" t="n"/>
      <c r="G1299" s="9" t="n"/>
      <c r="H1299" s="71" t="n"/>
      <c r="I1299" s="9" t="n"/>
      <c r="J1299" s="89">
        <f>IF(H1299="","",IF(I1299="Sí",ROUND(H1299*Configuracion!$B$11,0),0))</f>
        <v/>
      </c>
      <c r="K1299" s="89">
        <f>IF(H1299="","",H1299+J1299)</f>
        <v/>
      </c>
      <c r="L1299" s="13">
        <f>IF(B1299="","",YEAR(B1299))</f>
        <v/>
      </c>
      <c r="M1299" s="13">
        <f>IF(B1299="","",MONTH(B1299))</f>
        <v/>
      </c>
      <c r="N1299" s="9" t="n"/>
      <c r="O1299" s="9" t="n"/>
      <c r="P1299" s="9" t="n"/>
      <c r="Q1299" s="9" t="n"/>
    </row>
    <row r="1300">
      <c r="A1300" s="9" t="n"/>
      <c r="B1300" s="70" t="n"/>
      <c r="C1300" s="9" t="n"/>
      <c r="D1300" s="9" t="n"/>
      <c r="E1300" s="9" t="n"/>
      <c r="F1300" s="9" t="n"/>
      <c r="G1300" s="9" t="n"/>
      <c r="H1300" s="71" t="n"/>
      <c r="I1300" s="9" t="n"/>
      <c r="J1300" s="89">
        <f>IF(H1300="","",IF(I1300="Sí",ROUND(H1300*Configuracion!$B$11,0),0))</f>
        <v/>
      </c>
      <c r="K1300" s="89">
        <f>IF(H1300="","",H1300+J1300)</f>
        <v/>
      </c>
      <c r="L1300" s="13">
        <f>IF(B1300="","",YEAR(B1300))</f>
        <v/>
      </c>
      <c r="M1300" s="13">
        <f>IF(B1300="","",MONTH(B1300))</f>
        <v/>
      </c>
      <c r="N1300" s="9" t="n"/>
      <c r="O1300" s="9" t="n"/>
      <c r="P1300" s="9" t="n"/>
      <c r="Q1300" s="9" t="n"/>
    </row>
    <row r="1301">
      <c r="A1301" s="9" t="n"/>
      <c r="B1301" s="70" t="n"/>
      <c r="C1301" s="9" t="n"/>
      <c r="D1301" s="9" t="n"/>
      <c r="E1301" s="9" t="n"/>
      <c r="F1301" s="9" t="n"/>
      <c r="G1301" s="9" t="n"/>
      <c r="H1301" s="71" t="n"/>
      <c r="I1301" s="9" t="n"/>
      <c r="J1301" s="89">
        <f>IF(H1301="","",IF(I1301="Sí",ROUND(H1301*Configuracion!$B$11,0),0))</f>
        <v/>
      </c>
      <c r="K1301" s="89">
        <f>IF(H1301="","",H1301+J1301)</f>
        <v/>
      </c>
      <c r="L1301" s="13">
        <f>IF(B1301="","",YEAR(B1301))</f>
        <v/>
      </c>
      <c r="M1301" s="13">
        <f>IF(B1301="","",MONTH(B1301))</f>
        <v/>
      </c>
      <c r="N1301" s="9" t="n"/>
      <c r="O1301" s="9" t="n"/>
      <c r="P1301" s="9" t="n"/>
      <c r="Q1301" s="9" t="n"/>
    </row>
    <row r="1302">
      <c r="A1302" s="9" t="n"/>
      <c r="B1302" s="70" t="n"/>
      <c r="C1302" s="9" t="n"/>
      <c r="D1302" s="9" t="n"/>
      <c r="E1302" s="9" t="n"/>
      <c r="F1302" s="9" t="n"/>
      <c r="G1302" s="9" t="n"/>
      <c r="H1302" s="71" t="n"/>
      <c r="I1302" s="9" t="n"/>
      <c r="J1302" s="89">
        <f>IF(H1302="","",IF(I1302="Sí",ROUND(H1302*Configuracion!$B$11,0),0))</f>
        <v/>
      </c>
      <c r="K1302" s="89">
        <f>IF(H1302="","",H1302+J1302)</f>
        <v/>
      </c>
      <c r="L1302" s="13">
        <f>IF(B1302="","",YEAR(B1302))</f>
        <v/>
      </c>
      <c r="M1302" s="13">
        <f>IF(B1302="","",MONTH(B1302))</f>
        <v/>
      </c>
      <c r="N1302" s="9" t="n"/>
      <c r="O1302" s="9" t="n"/>
      <c r="P1302" s="9" t="n"/>
      <c r="Q1302" s="9" t="n"/>
    </row>
    <row r="1303">
      <c r="A1303" s="9" t="n"/>
      <c r="B1303" s="70" t="n"/>
      <c r="C1303" s="9" t="n"/>
      <c r="D1303" s="9" t="n"/>
      <c r="E1303" s="9" t="n"/>
      <c r="F1303" s="9" t="n"/>
      <c r="G1303" s="9" t="n"/>
      <c r="H1303" s="71" t="n"/>
      <c r="I1303" s="9" t="n"/>
      <c r="J1303" s="89">
        <f>IF(H1303="","",IF(I1303="Sí",ROUND(H1303*Configuracion!$B$11,0),0))</f>
        <v/>
      </c>
      <c r="K1303" s="89">
        <f>IF(H1303="","",H1303+J1303)</f>
        <v/>
      </c>
      <c r="L1303" s="13">
        <f>IF(B1303="","",YEAR(B1303))</f>
        <v/>
      </c>
      <c r="M1303" s="13">
        <f>IF(B1303="","",MONTH(B1303))</f>
        <v/>
      </c>
      <c r="N1303" s="9" t="n"/>
      <c r="O1303" s="9" t="n"/>
      <c r="P1303" s="9" t="n"/>
      <c r="Q1303" s="9" t="n"/>
    </row>
    <row r="1304">
      <c r="A1304" s="9" t="n"/>
      <c r="B1304" s="70" t="n"/>
      <c r="C1304" s="9" t="n"/>
      <c r="D1304" s="9" t="n"/>
      <c r="E1304" s="9" t="n"/>
      <c r="F1304" s="9" t="n"/>
      <c r="G1304" s="9" t="n"/>
      <c r="H1304" s="71" t="n"/>
      <c r="I1304" s="9" t="n"/>
      <c r="J1304" s="89">
        <f>IF(H1304="","",IF(I1304="Sí",ROUND(H1304*Configuracion!$B$11,0),0))</f>
        <v/>
      </c>
      <c r="K1304" s="89">
        <f>IF(H1304="","",H1304+J1304)</f>
        <v/>
      </c>
      <c r="L1304" s="13">
        <f>IF(B1304="","",YEAR(B1304))</f>
        <v/>
      </c>
      <c r="M1304" s="13">
        <f>IF(B1304="","",MONTH(B1304))</f>
        <v/>
      </c>
      <c r="N1304" s="9" t="n"/>
      <c r="O1304" s="9" t="n"/>
      <c r="P1304" s="9" t="n"/>
      <c r="Q1304" s="9" t="n"/>
    </row>
    <row r="1305">
      <c r="A1305" s="9" t="n"/>
      <c r="B1305" s="70" t="n"/>
      <c r="C1305" s="9" t="n"/>
      <c r="D1305" s="9" t="n"/>
      <c r="E1305" s="9" t="n"/>
      <c r="F1305" s="9" t="n"/>
      <c r="G1305" s="9" t="n"/>
      <c r="H1305" s="71" t="n"/>
      <c r="I1305" s="9" t="n"/>
      <c r="J1305" s="89">
        <f>IF(H1305="","",IF(I1305="Sí",ROUND(H1305*Configuracion!$B$11,0),0))</f>
        <v/>
      </c>
      <c r="K1305" s="89">
        <f>IF(H1305="","",H1305+J1305)</f>
        <v/>
      </c>
      <c r="L1305" s="13">
        <f>IF(B1305="","",YEAR(B1305))</f>
        <v/>
      </c>
      <c r="M1305" s="13">
        <f>IF(B1305="","",MONTH(B1305))</f>
        <v/>
      </c>
      <c r="N1305" s="9" t="n"/>
      <c r="O1305" s="9" t="n"/>
      <c r="P1305" s="9" t="n"/>
      <c r="Q1305" s="9" t="n"/>
    </row>
    <row r="1306">
      <c r="A1306" s="9" t="n"/>
      <c r="B1306" s="70" t="n"/>
      <c r="C1306" s="9" t="n"/>
      <c r="D1306" s="9" t="n"/>
      <c r="E1306" s="9" t="n"/>
      <c r="F1306" s="9" t="n"/>
      <c r="G1306" s="9" t="n"/>
      <c r="H1306" s="71" t="n"/>
      <c r="I1306" s="9" t="n"/>
      <c r="J1306" s="89">
        <f>IF(H1306="","",IF(I1306="Sí",ROUND(H1306*Configuracion!$B$11,0),0))</f>
        <v/>
      </c>
      <c r="K1306" s="89">
        <f>IF(H1306="","",H1306+J1306)</f>
        <v/>
      </c>
      <c r="L1306" s="13">
        <f>IF(B1306="","",YEAR(B1306))</f>
        <v/>
      </c>
      <c r="M1306" s="13">
        <f>IF(B1306="","",MONTH(B1306))</f>
        <v/>
      </c>
      <c r="N1306" s="9" t="n"/>
      <c r="O1306" s="9" t="n"/>
      <c r="P1306" s="9" t="n"/>
      <c r="Q1306" s="9" t="n"/>
    </row>
    <row r="1307">
      <c r="A1307" s="9" t="n"/>
      <c r="B1307" s="70" t="n"/>
      <c r="C1307" s="9" t="n"/>
      <c r="D1307" s="9" t="n"/>
      <c r="E1307" s="9" t="n"/>
      <c r="F1307" s="9" t="n"/>
      <c r="G1307" s="9" t="n"/>
      <c r="H1307" s="71" t="n"/>
      <c r="I1307" s="9" t="n"/>
      <c r="J1307" s="89">
        <f>IF(H1307="","",IF(I1307="Sí",ROUND(H1307*Configuracion!$B$11,0),0))</f>
        <v/>
      </c>
      <c r="K1307" s="89">
        <f>IF(H1307="","",H1307+J1307)</f>
        <v/>
      </c>
      <c r="L1307" s="13">
        <f>IF(B1307="","",YEAR(B1307))</f>
        <v/>
      </c>
      <c r="M1307" s="13">
        <f>IF(B1307="","",MONTH(B1307))</f>
        <v/>
      </c>
      <c r="N1307" s="9" t="n"/>
      <c r="O1307" s="9" t="n"/>
      <c r="P1307" s="9" t="n"/>
      <c r="Q1307" s="9" t="n"/>
    </row>
    <row r="1308">
      <c r="A1308" s="9" t="n"/>
      <c r="B1308" s="70" t="n"/>
      <c r="C1308" s="9" t="n"/>
      <c r="D1308" s="9" t="n"/>
      <c r="E1308" s="9" t="n"/>
      <c r="F1308" s="9" t="n"/>
      <c r="G1308" s="9" t="n"/>
      <c r="H1308" s="71" t="n"/>
      <c r="I1308" s="9" t="n"/>
      <c r="J1308" s="89">
        <f>IF(H1308="","",IF(I1308="Sí",ROUND(H1308*Configuracion!$B$11,0),0))</f>
        <v/>
      </c>
      <c r="K1308" s="89">
        <f>IF(H1308="","",H1308+J1308)</f>
        <v/>
      </c>
      <c r="L1308" s="13">
        <f>IF(B1308="","",YEAR(B1308))</f>
        <v/>
      </c>
      <c r="M1308" s="13">
        <f>IF(B1308="","",MONTH(B1308))</f>
        <v/>
      </c>
      <c r="N1308" s="9" t="n"/>
      <c r="O1308" s="9" t="n"/>
      <c r="P1308" s="9" t="n"/>
      <c r="Q1308" s="9" t="n"/>
    </row>
    <row r="1309">
      <c r="A1309" s="9" t="n"/>
      <c r="B1309" s="70" t="n"/>
      <c r="C1309" s="9" t="n"/>
      <c r="D1309" s="9" t="n"/>
      <c r="E1309" s="9" t="n"/>
      <c r="F1309" s="9" t="n"/>
      <c r="G1309" s="9" t="n"/>
      <c r="H1309" s="71" t="n"/>
      <c r="I1309" s="9" t="n"/>
      <c r="J1309" s="89">
        <f>IF(H1309="","",IF(I1309="Sí",ROUND(H1309*Configuracion!$B$11,0),0))</f>
        <v/>
      </c>
      <c r="K1309" s="89">
        <f>IF(H1309="","",H1309+J1309)</f>
        <v/>
      </c>
      <c r="L1309" s="13">
        <f>IF(B1309="","",YEAR(B1309))</f>
        <v/>
      </c>
      <c r="M1309" s="13">
        <f>IF(B1309="","",MONTH(B1309))</f>
        <v/>
      </c>
      <c r="N1309" s="9" t="n"/>
      <c r="O1309" s="9" t="n"/>
      <c r="P1309" s="9" t="n"/>
      <c r="Q1309" s="9" t="n"/>
    </row>
    <row r="1310">
      <c r="A1310" s="9" t="n"/>
      <c r="B1310" s="70" t="n"/>
      <c r="C1310" s="9" t="n"/>
      <c r="D1310" s="9" t="n"/>
      <c r="E1310" s="9" t="n"/>
      <c r="F1310" s="9" t="n"/>
      <c r="G1310" s="9" t="n"/>
      <c r="H1310" s="71" t="n"/>
      <c r="I1310" s="9" t="n"/>
      <c r="J1310" s="89">
        <f>IF(H1310="","",IF(I1310="Sí",ROUND(H1310*Configuracion!$B$11,0),0))</f>
        <v/>
      </c>
      <c r="K1310" s="89">
        <f>IF(H1310="","",H1310+J1310)</f>
        <v/>
      </c>
      <c r="L1310" s="13">
        <f>IF(B1310="","",YEAR(B1310))</f>
        <v/>
      </c>
      <c r="M1310" s="13">
        <f>IF(B1310="","",MONTH(B1310))</f>
        <v/>
      </c>
      <c r="N1310" s="9" t="n"/>
      <c r="O1310" s="9" t="n"/>
      <c r="P1310" s="9" t="n"/>
      <c r="Q1310" s="9" t="n"/>
    </row>
    <row r="1311">
      <c r="A1311" s="9" t="n"/>
      <c r="B1311" s="70" t="n"/>
      <c r="C1311" s="9" t="n"/>
      <c r="D1311" s="9" t="n"/>
      <c r="E1311" s="9" t="n"/>
      <c r="F1311" s="9" t="n"/>
      <c r="G1311" s="9" t="n"/>
      <c r="H1311" s="71" t="n"/>
      <c r="I1311" s="9" t="n"/>
      <c r="J1311" s="89">
        <f>IF(H1311="","",IF(I1311="Sí",ROUND(H1311*Configuracion!$B$11,0),0))</f>
        <v/>
      </c>
      <c r="K1311" s="89">
        <f>IF(H1311="","",H1311+J1311)</f>
        <v/>
      </c>
      <c r="L1311" s="13">
        <f>IF(B1311="","",YEAR(B1311))</f>
        <v/>
      </c>
      <c r="M1311" s="13">
        <f>IF(B1311="","",MONTH(B1311))</f>
        <v/>
      </c>
      <c r="N1311" s="9" t="n"/>
      <c r="O1311" s="9" t="n"/>
      <c r="P1311" s="9" t="n"/>
      <c r="Q1311" s="9" t="n"/>
    </row>
    <row r="1312">
      <c r="A1312" s="9" t="n"/>
      <c r="B1312" s="70" t="n"/>
      <c r="C1312" s="9" t="n"/>
      <c r="D1312" s="9" t="n"/>
      <c r="E1312" s="9" t="n"/>
      <c r="F1312" s="9" t="n"/>
      <c r="G1312" s="9" t="n"/>
      <c r="H1312" s="71" t="n"/>
      <c r="I1312" s="9" t="n"/>
      <c r="J1312" s="89">
        <f>IF(H1312="","",IF(I1312="Sí",ROUND(H1312*Configuracion!$B$11,0),0))</f>
        <v/>
      </c>
      <c r="K1312" s="89">
        <f>IF(H1312="","",H1312+J1312)</f>
        <v/>
      </c>
      <c r="L1312" s="13">
        <f>IF(B1312="","",YEAR(B1312))</f>
        <v/>
      </c>
      <c r="M1312" s="13">
        <f>IF(B1312="","",MONTH(B1312))</f>
        <v/>
      </c>
      <c r="N1312" s="9" t="n"/>
      <c r="O1312" s="9" t="n"/>
      <c r="P1312" s="9" t="n"/>
      <c r="Q1312" s="9" t="n"/>
    </row>
    <row r="1313">
      <c r="A1313" s="9" t="n"/>
      <c r="B1313" s="70" t="n"/>
      <c r="C1313" s="9" t="n"/>
      <c r="D1313" s="9" t="n"/>
      <c r="E1313" s="9" t="n"/>
      <c r="F1313" s="9" t="n"/>
      <c r="G1313" s="9" t="n"/>
      <c r="H1313" s="71" t="n"/>
      <c r="I1313" s="9" t="n"/>
      <c r="J1313" s="89">
        <f>IF(H1313="","",IF(I1313="Sí",ROUND(H1313*Configuracion!$B$11,0),0))</f>
        <v/>
      </c>
      <c r="K1313" s="89">
        <f>IF(H1313="","",H1313+J1313)</f>
        <v/>
      </c>
      <c r="L1313" s="13">
        <f>IF(B1313="","",YEAR(B1313))</f>
        <v/>
      </c>
      <c r="M1313" s="13">
        <f>IF(B1313="","",MONTH(B1313))</f>
        <v/>
      </c>
      <c r="N1313" s="9" t="n"/>
      <c r="O1313" s="9" t="n"/>
      <c r="P1313" s="9" t="n"/>
      <c r="Q1313" s="9" t="n"/>
    </row>
    <row r="1314">
      <c r="A1314" s="9" t="n"/>
      <c r="B1314" s="70" t="n"/>
      <c r="C1314" s="9" t="n"/>
      <c r="D1314" s="9" t="n"/>
      <c r="E1314" s="9" t="n"/>
      <c r="F1314" s="9" t="n"/>
      <c r="G1314" s="9" t="n"/>
      <c r="H1314" s="71" t="n"/>
      <c r="I1314" s="9" t="n"/>
      <c r="J1314" s="89">
        <f>IF(H1314="","",IF(I1314="Sí",ROUND(H1314*Configuracion!$B$11,0),0))</f>
        <v/>
      </c>
      <c r="K1314" s="89">
        <f>IF(H1314="","",H1314+J1314)</f>
        <v/>
      </c>
      <c r="L1314" s="13">
        <f>IF(B1314="","",YEAR(B1314))</f>
        <v/>
      </c>
      <c r="M1314" s="13">
        <f>IF(B1314="","",MONTH(B1314))</f>
        <v/>
      </c>
      <c r="N1314" s="9" t="n"/>
      <c r="O1314" s="9" t="n"/>
      <c r="P1314" s="9" t="n"/>
      <c r="Q1314" s="9" t="n"/>
    </row>
    <row r="1315">
      <c r="A1315" s="9" t="n"/>
      <c r="B1315" s="70" t="n"/>
      <c r="C1315" s="9" t="n"/>
      <c r="D1315" s="9" t="n"/>
      <c r="E1315" s="9" t="n"/>
      <c r="F1315" s="9" t="n"/>
      <c r="G1315" s="9" t="n"/>
      <c r="H1315" s="71" t="n"/>
      <c r="I1315" s="9" t="n"/>
      <c r="J1315" s="89">
        <f>IF(H1315="","",IF(I1315="Sí",ROUND(H1315*Configuracion!$B$11,0),0))</f>
        <v/>
      </c>
      <c r="K1315" s="89">
        <f>IF(H1315="","",H1315+J1315)</f>
        <v/>
      </c>
      <c r="L1315" s="13">
        <f>IF(B1315="","",YEAR(B1315))</f>
        <v/>
      </c>
      <c r="M1315" s="13">
        <f>IF(B1315="","",MONTH(B1315))</f>
        <v/>
      </c>
      <c r="N1315" s="9" t="n"/>
      <c r="O1315" s="9" t="n"/>
      <c r="P1315" s="9" t="n"/>
      <c r="Q1315" s="9" t="n"/>
    </row>
    <row r="1316">
      <c r="A1316" s="9" t="n"/>
      <c r="B1316" s="70" t="n"/>
      <c r="C1316" s="9" t="n"/>
      <c r="D1316" s="9" t="n"/>
      <c r="E1316" s="9" t="n"/>
      <c r="F1316" s="9" t="n"/>
      <c r="G1316" s="9" t="n"/>
      <c r="H1316" s="71" t="n"/>
      <c r="I1316" s="9" t="n"/>
      <c r="J1316" s="89">
        <f>IF(H1316="","",IF(I1316="Sí",ROUND(H1316*Configuracion!$B$11,0),0))</f>
        <v/>
      </c>
      <c r="K1316" s="89">
        <f>IF(H1316="","",H1316+J1316)</f>
        <v/>
      </c>
      <c r="L1316" s="13">
        <f>IF(B1316="","",YEAR(B1316))</f>
        <v/>
      </c>
      <c r="M1316" s="13">
        <f>IF(B1316="","",MONTH(B1316))</f>
        <v/>
      </c>
      <c r="N1316" s="9" t="n"/>
      <c r="O1316" s="9" t="n"/>
      <c r="P1316" s="9" t="n"/>
      <c r="Q1316" s="9" t="n"/>
    </row>
    <row r="1317">
      <c r="A1317" s="9" t="n"/>
      <c r="B1317" s="70" t="n"/>
      <c r="C1317" s="9" t="n"/>
      <c r="D1317" s="9" t="n"/>
      <c r="E1317" s="9" t="n"/>
      <c r="F1317" s="9" t="n"/>
      <c r="G1317" s="9" t="n"/>
      <c r="H1317" s="71" t="n"/>
      <c r="I1317" s="9" t="n"/>
      <c r="J1317" s="89">
        <f>IF(H1317="","",IF(I1317="Sí",ROUND(H1317*Configuracion!$B$11,0),0))</f>
        <v/>
      </c>
      <c r="K1317" s="89">
        <f>IF(H1317="","",H1317+J1317)</f>
        <v/>
      </c>
      <c r="L1317" s="13">
        <f>IF(B1317="","",YEAR(B1317))</f>
        <v/>
      </c>
      <c r="M1317" s="13">
        <f>IF(B1317="","",MONTH(B1317))</f>
        <v/>
      </c>
      <c r="N1317" s="9" t="n"/>
      <c r="O1317" s="9" t="n"/>
      <c r="P1317" s="9" t="n"/>
      <c r="Q1317" s="9" t="n"/>
    </row>
    <row r="1318">
      <c r="A1318" s="9" t="n"/>
      <c r="B1318" s="70" t="n"/>
      <c r="C1318" s="9" t="n"/>
      <c r="D1318" s="9" t="n"/>
      <c r="E1318" s="9" t="n"/>
      <c r="F1318" s="9" t="n"/>
      <c r="G1318" s="9" t="n"/>
      <c r="H1318" s="71" t="n"/>
      <c r="I1318" s="9" t="n"/>
      <c r="J1318" s="89">
        <f>IF(H1318="","",IF(I1318="Sí",ROUND(H1318*Configuracion!$B$11,0),0))</f>
        <v/>
      </c>
      <c r="K1318" s="89">
        <f>IF(H1318="","",H1318+J1318)</f>
        <v/>
      </c>
      <c r="L1318" s="13">
        <f>IF(B1318="","",YEAR(B1318))</f>
        <v/>
      </c>
      <c r="M1318" s="13">
        <f>IF(B1318="","",MONTH(B1318))</f>
        <v/>
      </c>
      <c r="N1318" s="9" t="n"/>
      <c r="O1318" s="9" t="n"/>
      <c r="P1318" s="9" t="n"/>
      <c r="Q1318" s="9" t="n"/>
    </row>
    <row r="1319">
      <c r="A1319" s="9" t="n"/>
      <c r="B1319" s="70" t="n"/>
      <c r="C1319" s="9" t="n"/>
      <c r="D1319" s="9" t="n"/>
      <c r="E1319" s="9" t="n"/>
      <c r="F1319" s="9" t="n"/>
      <c r="G1319" s="9" t="n"/>
      <c r="H1319" s="71" t="n"/>
      <c r="I1319" s="9" t="n"/>
      <c r="J1319" s="89">
        <f>IF(H1319="","",IF(I1319="Sí",ROUND(H1319*Configuracion!$B$11,0),0))</f>
        <v/>
      </c>
      <c r="K1319" s="89">
        <f>IF(H1319="","",H1319+J1319)</f>
        <v/>
      </c>
      <c r="L1319" s="13">
        <f>IF(B1319="","",YEAR(B1319))</f>
        <v/>
      </c>
      <c r="M1319" s="13">
        <f>IF(B1319="","",MONTH(B1319))</f>
        <v/>
      </c>
      <c r="N1319" s="9" t="n"/>
      <c r="O1319" s="9" t="n"/>
      <c r="P1319" s="9" t="n"/>
      <c r="Q1319" s="9" t="n"/>
    </row>
    <row r="1320">
      <c r="A1320" s="9" t="n"/>
      <c r="B1320" s="70" t="n"/>
      <c r="C1320" s="9" t="n"/>
      <c r="D1320" s="9" t="n"/>
      <c r="E1320" s="9" t="n"/>
      <c r="F1320" s="9" t="n"/>
      <c r="G1320" s="9" t="n"/>
      <c r="H1320" s="71" t="n"/>
      <c r="I1320" s="9" t="n"/>
      <c r="J1320" s="89">
        <f>IF(H1320="","",IF(I1320="Sí",ROUND(H1320*Configuracion!$B$11,0),0))</f>
        <v/>
      </c>
      <c r="K1320" s="89">
        <f>IF(H1320="","",H1320+J1320)</f>
        <v/>
      </c>
      <c r="L1320" s="13">
        <f>IF(B1320="","",YEAR(B1320))</f>
        <v/>
      </c>
      <c r="M1320" s="13">
        <f>IF(B1320="","",MONTH(B1320))</f>
        <v/>
      </c>
      <c r="N1320" s="9" t="n"/>
      <c r="O1320" s="9" t="n"/>
      <c r="P1320" s="9" t="n"/>
      <c r="Q1320" s="9" t="n"/>
    </row>
    <row r="1321">
      <c r="A1321" s="9" t="n"/>
      <c r="B1321" s="70" t="n"/>
      <c r="C1321" s="9" t="n"/>
      <c r="D1321" s="9" t="n"/>
      <c r="E1321" s="9" t="n"/>
      <c r="F1321" s="9" t="n"/>
      <c r="G1321" s="9" t="n"/>
      <c r="H1321" s="71" t="n"/>
      <c r="I1321" s="9" t="n"/>
      <c r="J1321" s="89">
        <f>IF(H1321="","",IF(I1321="Sí",ROUND(H1321*Configuracion!$B$11,0),0))</f>
        <v/>
      </c>
      <c r="K1321" s="89">
        <f>IF(H1321="","",H1321+J1321)</f>
        <v/>
      </c>
      <c r="L1321" s="13">
        <f>IF(B1321="","",YEAR(B1321))</f>
        <v/>
      </c>
      <c r="M1321" s="13">
        <f>IF(B1321="","",MONTH(B1321))</f>
        <v/>
      </c>
      <c r="N1321" s="9" t="n"/>
      <c r="O1321" s="9" t="n"/>
      <c r="P1321" s="9" t="n"/>
      <c r="Q1321" s="9" t="n"/>
    </row>
    <row r="1322">
      <c r="A1322" s="9" t="n"/>
      <c r="B1322" s="70" t="n"/>
      <c r="C1322" s="9" t="n"/>
      <c r="D1322" s="9" t="n"/>
      <c r="E1322" s="9" t="n"/>
      <c r="F1322" s="9" t="n"/>
      <c r="G1322" s="9" t="n"/>
      <c r="H1322" s="71" t="n"/>
      <c r="I1322" s="9" t="n"/>
      <c r="J1322" s="89">
        <f>IF(H1322="","",IF(I1322="Sí",ROUND(H1322*Configuracion!$B$11,0),0))</f>
        <v/>
      </c>
      <c r="K1322" s="89">
        <f>IF(H1322="","",H1322+J1322)</f>
        <v/>
      </c>
      <c r="L1322" s="13">
        <f>IF(B1322="","",YEAR(B1322))</f>
        <v/>
      </c>
      <c r="M1322" s="13">
        <f>IF(B1322="","",MONTH(B1322))</f>
        <v/>
      </c>
      <c r="N1322" s="9" t="n"/>
      <c r="O1322" s="9" t="n"/>
      <c r="P1322" s="9" t="n"/>
      <c r="Q1322" s="9" t="n"/>
    </row>
    <row r="1323">
      <c r="A1323" s="9" t="n"/>
      <c r="B1323" s="70" t="n"/>
      <c r="C1323" s="9" t="n"/>
      <c r="D1323" s="9" t="n"/>
      <c r="E1323" s="9" t="n"/>
      <c r="F1323" s="9" t="n"/>
      <c r="G1323" s="9" t="n"/>
      <c r="H1323" s="71" t="n"/>
      <c r="I1323" s="9" t="n"/>
      <c r="J1323" s="89">
        <f>IF(H1323="","",IF(I1323="Sí",ROUND(H1323*Configuracion!$B$11,0),0))</f>
        <v/>
      </c>
      <c r="K1323" s="89">
        <f>IF(H1323="","",H1323+J1323)</f>
        <v/>
      </c>
      <c r="L1323" s="13">
        <f>IF(B1323="","",YEAR(B1323))</f>
        <v/>
      </c>
      <c r="M1323" s="13">
        <f>IF(B1323="","",MONTH(B1323))</f>
        <v/>
      </c>
      <c r="N1323" s="9" t="n"/>
      <c r="O1323" s="9" t="n"/>
      <c r="P1323" s="9" t="n"/>
      <c r="Q1323" s="9" t="n"/>
    </row>
    <row r="1324">
      <c r="A1324" s="9" t="n"/>
      <c r="B1324" s="70" t="n"/>
      <c r="C1324" s="9" t="n"/>
      <c r="D1324" s="9" t="n"/>
      <c r="E1324" s="9" t="n"/>
      <c r="F1324" s="9" t="n"/>
      <c r="G1324" s="9" t="n"/>
      <c r="H1324" s="71" t="n"/>
      <c r="I1324" s="9" t="n"/>
      <c r="J1324" s="89">
        <f>IF(H1324="","",IF(I1324="Sí",ROUND(H1324*Configuracion!$B$11,0),0))</f>
        <v/>
      </c>
      <c r="K1324" s="89">
        <f>IF(H1324="","",H1324+J1324)</f>
        <v/>
      </c>
      <c r="L1324" s="13">
        <f>IF(B1324="","",YEAR(B1324))</f>
        <v/>
      </c>
      <c r="M1324" s="13">
        <f>IF(B1324="","",MONTH(B1324))</f>
        <v/>
      </c>
      <c r="N1324" s="9" t="n"/>
      <c r="O1324" s="9" t="n"/>
      <c r="P1324" s="9" t="n"/>
      <c r="Q1324" s="9" t="n"/>
    </row>
    <row r="1325">
      <c r="A1325" s="9" t="n"/>
      <c r="B1325" s="70" t="n"/>
      <c r="C1325" s="9" t="n"/>
      <c r="D1325" s="9" t="n"/>
      <c r="E1325" s="9" t="n"/>
      <c r="F1325" s="9" t="n"/>
      <c r="G1325" s="9" t="n"/>
      <c r="H1325" s="71" t="n"/>
      <c r="I1325" s="9" t="n"/>
      <c r="J1325" s="89">
        <f>IF(H1325="","",IF(I1325="Sí",ROUND(H1325*Configuracion!$B$11,0),0))</f>
        <v/>
      </c>
      <c r="K1325" s="89">
        <f>IF(H1325="","",H1325+J1325)</f>
        <v/>
      </c>
      <c r="L1325" s="13">
        <f>IF(B1325="","",YEAR(B1325))</f>
        <v/>
      </c>
      <c r="M1325" s="13">
        <f>IF(B1325="","",MONTH(B1325))</f>
        <v/>
      </c>
      <c r="N1325" s="9" t="n"/>
      <c r="O1325" s="9" t="n"/>
      <c r="P1325" s="9" t="n"/>
      <c r="Q1325" s="9" t="n"/>
    </row>
    <row r="1326">
      <c r="A1326" s="9" t="n"/>
      <c r="B1326" s="70" t="n"/>
      <c r="C1326" s="9" t="n"/>
      <c r="D1326" s="9" t="n"/>
      <c r="E1326" s="9" t="n"/>
      <c r="F1326" s="9" t="n"/>
      <c r="G1326" s="9" t="n"/>
      <c r="H1326" s="71" t="n"/>
      <c r="I1326" s="9" t="n"/>
      <c r="J1326" s="89">
        <f>IF(H1326="","",IF(I1326="Sí",ROUND(H1326*Configuracion!$B$11,0),0))</f>
        <v/>
      </c>
      <c r="K1326" s="89">
        <f>IF(H1326="","",H1326+J1326)</f>
        <v/>
      </c>
      <c r="L1326" s="13">
        <f>IF(B1326="","",YEAR(B1326))</f>
        <v/>
      </c>
      <c r="M1326" s="13">
        <f>IF(B1326="","",MONTH(B1326))</f>
        <v/>
      </c>
      <c r="N1326" s="9" t="n"/>
      <c r="O1326" s="9" t="n"/>
      <c r="P1326" s="9" t="n"/>
      <c r="Q1326" s="9" t="n"/>
    </row>
    <row r="1327">
      <c r="A1327" s="9" t="n"/>
      <c r="B1327" s="70" t="n"/>
      <c r="C1327" s="9" t="n"/>
      <c r="D1327" s="9" t="n"/>
      <c r="E1327" s="9" t="n"/>
      <c r="F1327" s="9" t="n"/>
      <c r="G1327" s="9" t="n"/>
      <c r="H1327" s="71" t="n"/>
      <c r="I1327" s="9" t="n"/>
      <c r="J1327" s="89">
        <f>IF(H1327="","",IF(I1327="Sí",ROUND(H1327*Configuracion!$B$11,0),0))</f>
        <v/>
      </c>
      <c r="K1327" s="89">
        <f>IF(H1327="","",H1327+J1327)</f>
        <v/>
      </c>
      <c r="L1327" s="13">
        <f>IF(B1327="","",YEAR(B1327))</f>
        <v/>
      </c>
      <c r="M1327" s="13">
        <f>IF(B1327="","",MONTH(B1327))</f>
        <v/>
      </c>
      <c r="N1327" s="9" t="n"/>
      <c r="O1327" s="9" t="n"/>
      <c r="P1327" s="9" t="n"/>
      <c r="Q1327" s="9" t="n"/>
    </row>
    <row r="1328">
      <c r="A1328" s="9" t="n"/>
      <c r="B1328" s="70" t="n"/>
      <c r="C1328" s="9" t="n"/>
      <c r="D1328" s="9" t="n"/>
      <c r="E1328" s="9" t="n"/>
      <c r="F1328" s="9" t="n"/>
      <c r="G1328" s="9" t="n"/>
      <c r="H1328" s="71" t="n"/>
      <c r="I1328" s="9" t="n"/>
      <c r="J1328" s="89">
        <f>IF(H1328="","",IF(I1328="Sí",ROUND(H1328*Configuracion!$B$11,0),0))</f>
        <v/>
      </c>
      <c r="K1328" s="89">
        <f>IF(H1328="","",H1328+J1328)</f>
        <v/>
      </c>
      <c r="L1328" s="13">
        <f>IF(B1328="","",YEAR(B1328))</f>
        <v/>
      </c>
      <c r="M1328" s="13">
        <f>IF(B1328="","",MONTH(B1328))</f>
        <v/>
      </c>
      <c r="N1328" s="9" t="n"/>
      <c r="O1328" s="9" t="n"/>
      <c r="P1328" s="9" t="n"/>
      <c r="Q1328" s="9" t="n"/>
    </row>
    <row r="1329">
      <c r="A1329" s="9" t="n"/>
      <c r="B1329" s="70" t="n"/>
      <c r="C1329" s="9" t="n"/>
      <c r="D1329" s="9" t="n"/>
      <c r="E1329" s="9" t="n"/>
      <c r="F1329" s="9" t="n"/>
      <c r="G1329" s="9" t="n"/>
      <c r="H1329" s="71" t="n"/>
      <c r="I1329" s="9" t="n"/>
      <c r="J1329" s="89">
        <f>IF(H1329="","",IF(I1329="Sí",ROUND(H1329*Configuracion!$B$11,0),0))</f>
        <v/>
      </c>
      <c r="K1329" s="89">
        <f>IF(H1329="","",H1329+J1329)</f>
        <v/>
      </c>
      <c r="L1329" s="13">
        <f>IF(B1329="","",YEAR(B1329))</f>
        <v/>
      </c>
      <c r="M1329" s="13">
        <f>IF(B1329="","",MONTH(B1329))</f>
        <v/>
      </c>
      <c r="N1329" s="9" t="n"/>
      <c r="O1329" s="9" t="n"/>
      <c r="P1329" s="9" t="n"/>
      <c r="Q1329" s="9" t="n"/>
    </row>
    <row r="1330">
      <c r="A1330" s="9" t="n"/>
      <c r="B1330" s="70" t="n"/>
      <c r="C1330" s="9" t="n"/>
      <c r="D1330" s="9" t="n"/>
      <c r="E1330" s="9" t="n"/>
      <c r="F1330" s="9" t="n"/>
      <c r="G1330" s="9" t="n"/>
      <c r="H1330" s="71" t="n"/>
      <c r="I1330" s="9" t="n"/>
      <c r="J1330" s="89">
        <f>IF(H1330="","",IF(I1330="Sí",ROUND(H1330*Configuracion!$B$11,0),0))</f>
        <v/>
      </c>
      <c r="K1330" s="89">
        <f>IF(H1330="","",H1330+J1330)</f>
        <v/>
      </c>
      <c r="L1330" s="13">
        <f>IF(B1330="","",YEAR(B1330))</f>
        <v/>
      </c>
      <c r="M1330" s="13">
        <f>IF(B1330="","",MONTH(B1330))</f>
        <v/>
      </c>
      <c r="N1330" s="9" t="n"/>
      <c r="O1330" s="9" t="n"/>
      <c r="P1330" s="9" t="n"/>
      <c r="Q1330" s="9" t="n"/>
    </row>
    <row r="1331">
      <c r="A1331" s="9" t="n"/>
      <c r="B1331" s="70" t="n"/>
      <c r="C1331" s="9" t="n"/>
      <c r="D1331" s="9" t="n"/>
      <c r="E1331" s="9" t="n"/>
      <c r="F1331" s="9" t="n"/>
      <c r="G1331" s="9" t="n"/>
      <c r="H1331" s="71" t="n"/>
      <c r="I1331" s="9" t="n"/>
      <c r="J1331" s="89">
        <f>IF(H1331="","",IF(I1331="Sí",ROUND(H1331*Configuracion!$B$11,0),0))</f>
        <v/>
      </c>
      <c r="K1331" s="89">
        <f>IF(H1331="","",H1331+J1331)</f>
        <v/>
      </c>
      <c r="L1331" s="13">
        <f>IF(B1331="","",YEAR(B1331))</f>
        <v/>
      </c>
      <c r="M1331" s="13">
        <f>IF(B1331="","",MONTH(B1331))</f>
        <v/>
      </c>
      <c r="N1331" s="9" t="n"/>
      <c r="O1331" s="9" t="n"/>
      <c r="P1331" s="9" t="n"/>
      <c r="Q1331" s="9" t="n"/>
    </row>
    <row r="1332">
      <c r="A1332" s="9" t="n"/>
      <c r="B1332" s="70" t="n"/>
      <c r="C1332" s="9" t="n"/>
      <c r="D1332" s="9" t="n"/>
      <c r="E1332" s="9" t="n"/>
      <c r="F1332" s="9" t="n"/>
      <c r="G1332" s="9" t="n"/>
      <c r="H1332" s="71" t="n"/>
      <c r="I1332" s="9" t="n"/>
      <c r="J1332" s="89">
        <f>IF(H1332="","",IF(I1332="Sí",ROUND(H1332*Configuracion!$B$11,0),0))</f>
        <v/>
      </c>
      <c r="K1332" s="89">
        <f>IF(H1332="","",H1332+J1332)</f>
        <v/>
      </c>
      <c r="L1332" s="13">
        <f>IF(B1332="","",YEAR(B1332))</f>
        <v/>
      </c>
      <c r="M1332" s="13">
        <f>IF(B1332="","",MONTH(B1332))</f>
        <v/>
      </c>
      <c r="N1332" s="9" t="n"/>
      <c r="O1332" s="9" t="n"/>
      <c r="P1332" s="9" t="n"/>
      <c r="Q1332" s="9" t="n"/>
    </row>
    <row r="1333">
      <c r="A1333" s="9" t="n"/>
      <c r="B1333" s="70" t="n"/>
      <c r="C1333" s="9" t="n"/>
      <c r="D1333" s="9" t="n"/>
      <c r="E1333" s="9" t="n"/>
      <c r="F1333" s="9" t="n"/>
      <c r="G1333" s="9" t="n"/>
      <c r="H1333" s="71" t="n"/>
      <c r="I1333" s="9" t="n"/>
      <c r="J1333" s="89">
        <f>IF(H1333="","",IF(I1333="Sí",ROUND(H1333*Configuracion!$B$11,0),0))</f>
        <v/>
      </c>
      <c r="K1333" s="89">
        <f>IF(H1333="","",H1333+J1333)</f>
        <v/>
      </c>
      <c r="L1333" s="13">
        <f>IF(B1333="","",YEAR(B1333))</f>
        <v/>
      </c>
      <c r="M1333" s="13">
        <f>IF(B1333="","",MONTH(B1333))</f>
        <v/>
      </c>
      <c r="N1333" s="9" t="n"/>
      <c r="O1333" s="9" t="n"/>
      <c r="P1333" s="9" t="n"/>
      <c r="Q1333" s="9" t="n"/>
    </row>
    <row r="1334">
      <c r="A1334" s="9" t="n"/>
      <c r="B1334" s="70" t="n"/>
      <c r="C1334" s="9" t="n"/>
      <c r="D1334" s="9" t="n"/>
      <c r="E1334" s="9" t="n"/>
      <c r="F1334" s="9" t="n"/>
      <c r="G1334" s="9" t="n"/>
      <c r="H1334" s="71" t="n"/>
      <c r="I1334" s="9" t="n"/>
      <c r="J1334" s="89">
        <f>IF(H1334="","",IF(I1334="Sí",ROUND(H1334*Configuracion!$B$11,0),0))</f>
        <v/>
      </c>
      <c r="K1334" s="89">
        <f>IF(H1334="","",H1334+J1334)</f>
        <v/>
      </c>
      <c r="L1334" s="13">
        <f>IF(B1334="","",YEAR(B1334))</f>
        <v/>
      </c>
      <c r="M1334" s="13">
        <f>IF(B1334="","",MONTH(B1334))</f>
        <v/>
      </c>
      <c r="N1334" s="9" t="n"/>
      <c r="O1334" s="9" t="n"/>
      <c r="P1334" s="9" t="n"/>
      <c r="Q1334" s="9" t="n"/>
    </row>
    <row r="1335">
      <c r="A1335" s="9" t="n"/>
      <c r="B1335" s="70" t="n"/>
      <c r="C1335" s="9" t="n"/>
      <c r="D1335" s="9" t="n"/>
      <c r="E1335" s="9" t="n"/>
      <c r="F1335" s="9" t="n"/>
      <c r="G1335" s="9" t="n"/>
      <c r="H1335" s="71" t="n"/>
      <c r="I1335" s="9" t="n"/>
      <c r="J1335" s="89">
        <f>IF(H1335="","",IF(I1335="Sí",ROUND(H1335*Configuracion!$B$11,0),0))</f>
        <v/>
      </c>
      <c r="K1335" s="89">
        <f>IF(H1335="","",H1335+J1335)</f>
        <v/>
      </c>
      <c r="L1335" s="13">
        <f>IF(B1335="","",YEAR(B1335))</f>
        <v/>
      </c>
      <c r="M1335" s="13">
        <f>IF(B1335="","",MONTH(B1335))</f>
        <v/>
      </c>
      <c r="N1335" s="9" t="n"/>
      <c r="O1335" s="9" t="n"/>
      <c r="P1335" s="9" t="n"/>
      <c r="Q1335" s="9" t="n"/>
    </row>
    <row r="1336">
      <c r="A1336" s="9" t="n"/>
      <c r="B1336" s="70" t="n"/>
      <c r="C1336" s="9" t="n"/>
      <c r="D1336" s="9" t="n"/>
      <c r="E1336" s="9" t="n"/>
      <c r="F1336" s="9" t="n"/>
      <c r="G1336" s="9" t="n"/>
      <c r="H1336" s="71" t="n"/>
      <c r="I1336" s="9" t="n"/>
      <c r="J1336" s="89">
        <f>IF(H1336="","",IF(I1336="Sí",ROUND(H1336*Configuracion!$B$11,0),0))</f>
        <v/>
      </c>
      <c r="K1336" s="89">
        <f>IF(H1336="","",H1336+J1336)</f>
        <v/>
      </c>
      <c r="L1336" s="13">
        <f>IF(B1336="","",YEAR(B1336))</f>
        <v/>
      </c>
      <c r="M1336" s="13">
        <f>IF(B1336="","",MONTH(B1336))</f>
        <v/>
      </c>
      <c r="N1336" s="9" t="n"/>
      <c r="O1336" s="9" t="n"/>
      <c r="P1336" s="9" t="n"/>
      <c r="Q1336" s="9" t="n"/>
    </row>
    <row r="1337">
      <c r="A1337" s="9" t="n"/>
      <c r="B1337" s="70" t="n"/>
      <c r="C1337" s="9" t="n"/>
      <c r="D1337" s="9" t="n"/>
      <c r="E1337" s="9" t="n"/>
      <c r="F1337" s="9" t="n"/>
      <c r="G1337" s="9" t="n"/>
      <c r="H1337" s="71" t="n"/>
      <c r="I1337" s="9" t="n"/>
      <c r="J1337" s="89">
        <f>IF(H1337="","",IF(I1337="Sí",ROUND(H1337*Configuracion!$B$11,0),0))</f>
        <v/>
      </c>
      <c r="K1337" s="89">
        <f>IF(H1337="","",H1337+J1337)</f>
        <v/>
      </c>
      <c r="L1337" s="13">
        <f>IF(B1337="","",YEAR(B1337))</f>
        <v/>
      </c>
      <c r="M1337" s="13">
        <f>IF(B1337="","",MONTH(B1337))</f>
        <v/>
      </c>
      <c r="N1337" s="9" t="n"/>
      <c r="O1337" s="9" t="n"/>
      <c r="P1337" s="9" t="n"/>
      <c r="Q1337" s="9" t="n"/>
    </row>
    <row r="1338">
      <c r="A1338" s="9" t="n"/>
      <c r="B1338" s="70" t="n"/>
      <c r="C1338" s="9" t="n"/>
      <c r="D1338" s="9" t="n"/>
      <c r="E1338" s="9" t="n"/>
      <c r="F1338" s="9" t="n"/>
      <c r="G1338" s="9" t="n"/>
      <c r="H1338" s="71" t="n"/>
      <c r="I1338" s="9" t="n"/>
      <c r="J1338" s="89">
        <f>IF(H1338="","",IF(I1338="Sí",ROUND(H1338*Configuracion!$B$11,0),0))</f>
        <v/>
      </c>
      <c r="K1338" s="89">
        <f>IF(H1338="","",H1338+J1338)</f>
        <v/>
      </c>
      <c r="L1338" s="13">
        <f>IF(B1338="","",YEAR(B1338))</f>
        <v/>
      </c>
      <c r="M1338" s="13">
        <f>IF(B1338="","",MONTH(B1338))</f>
        <v/>
      </c>
      <c r="N1338" s="9" t="n"/>
      <c r="O1338" s="9" t="n"/>
      <c r="P1338" s="9" t="n"/>
      <c r="Q1338" s="9" t="n"/>
    </row>
    <row r="1339">
      <c r="A1339" s="9" t="n"/>
      <c r="B1339" s="70" t="n"/>
      <c r="C1339" s="9" t="n"/>
      <c r="D1339" s="9" t="n"/>
      <c r="E1339" s="9" t="n"/>
      <c r="F1339" s="9" t="n"/>
      <c r="G1339" s="9" t="n"/>
      <c r="H1339" s="71" t="n"/>
      <c r="I1339" s="9" t="n"/>
      <c r="J1339" s="89">
        <f>IF(H1339="","",IF(I1339="Sí",ROUND(H1339*Configuracion!$B$11,0),0))</f>
        <v/>
      </c>
      <c r="K1339" s="89">
        <f>IF(H1339="","",H1339+J1339)</f>
        <v/>
      </c>
      <c r="L1339" s="13">
        <f>IF(B1339="","",YEAR(B1339))</f>
        <v/>
      </c>
      <c r="M1339" s="13">
        <f>IF(B1339="","",MONTH(B1339))</f>
        <v/>
      </c>
      <c r="N1339" s="9" t="n"/>
      <c r="O1339" s="9" t="n"/>
      <c r="P1339" s="9" t="n"/>
      <c r="Q1339" s="9" t="n"/>
    </row>
    <row r="1340">
      <c r="A1340" s="9" t="n"/>
      <c r="B1340" s="70" t="n"/>
      <c r="C1340" s="9" t="n"/>
      <c r="D1340" s="9" t="n"/>
      <c r="E1340" s="9" t="n"/>
      <c r="F1340" s="9" t="n"/>
      <c r="G1340" s="9" t="n"/>
      <c r="H1340" s="71" t="n"/>
      <c r="I1340" s="9" t="n"/>
      <c r="J1340" s="89">
        <f>IF(H1340="","",IF(I1340="Sí",ROUND(H1340*Configuracion!$B$11,0),0))</f>
        <v/>
      </c>
      <c r="K1340" s="89">
        <f>IF(H1340="","",H1340+J1340)</f>
        <v/>
      </c>
      <c r="L1340" s="13">
        <f>IF(B1340="","",YEAR(B1340))</f>
        <v/>
      </c>
      <c r="M1340" s="13">
        <f>IF(B1340="","",MONTH(B1340))</f>
        <v/>
      </c>
      <c r="N1340" s="9" t="n"/>
      <c r="O1340" s="9" t="n"/>
      <c r="P1340" s="9" t="n"/>
      <c r="Q1340" s="9" t="n"/>
    </row>
    <row r="1341">
      <c r="A1341" s="9" t="n"/>
      <c r="B1341" s="70" t="n"/>
      <c r="C1341" s="9" t="n"/>
      <c r="D1341" s="9" t="n"/>
      <c r="E1341" s="9" t="n"/>
      <c r="F1341" s="9" t="n"/>
      <c r="G1341" s="9" t="n"/>
      <c r="H1341" s="71" t="n"/>
      <c r="I1341" s="9" t="n"/>
      <c r="J1341" s="89">
        <f>IF(H1341="","",IF(I1341="Sí",ROUND(H1341*Configuracion!$B$11,0),0))</f>
        <v/>
      </c>
      <c r="K1341" s="89">
        <f>IF(H1341="","",H1341+J1341)</f>
        <v/>
      </c>
      <c r="L1341" s="13">
        <f>IF(B1341="","",YEAR(B1341))</f>
        <v/>
      </c>
      <c r="M1341" s="13">
        <f>IF(B1341="","",MONTH(B1341))</f>
        <v/>
      </c>
      <c r="N1341" s="9" t="n"/>
      <c r="O1341" s="9" t="n"/>
      <c r="P1341" s="9" t="n"/>
      <c r="Q1341" s="9" t="n"/>
    </row>
    <row r="1342">
      <c r="A1342" s="9" t="n"/>
      <c r="B1342" s="70" t="n"/>
      <c r="C1342" s="9" t="n"/>
      <c r="D1342" s="9" t="n"/>
      <c r="E1342" s="9" t="n"/>
      <c r="F1342" s="9" t="n"/>
      <c r="G1342" s="9" t="n"/>
      <c r="H1342" s="71" t="n"/>
      <c r="I1342" s="9" t="n"/>
      <c r="J1342" s="89">
        <f>IF(H1342="","",IF(I1342="Sí",ROUND(H1342*Configuracion!$B$11,0),0))</f>
        <v/>
      </c>
      <c r="K1342" s="89">
        <f>IF(H1342="","",H1342+J1342)</f>
        <v/>
      </c>
      <c r="L1342" s="13">
        <f>IF(B1342="","",YEAR(B1342))</f>
        <v/>
      </c>
      <c r="M1342" s="13">
        <f>IF(B1342="","",MONTH(B1342))</f>
        <v/>
      </c>
      <c r="N1342" s="9" t="n"/>
      <c r="O1342" s="9" t="n"/>
      <c r="P1342" s="9" t="n"/>
      <c r="Q1342" s="9" t="n"/>
    </row>
    <row r="1343">
      <c r="A1343" s="9" t="n"/>
      <c r="B1343" s="70" t="n"/>
      <c r="C1343" s="9" t="n"/>
      <c r="D1343" s="9" t="n"/>
      <c r="E1343" s="9" t="n"/>
      <c r="F1343" s="9" t="n"/>
      <c r="G1343" s="9" t="n"/>
      <c r="H1343" s="71" t="n"/>
      <c r="I1343" s="9" t="n"/>
      <c r="J1343" s="89">
        <f>IF(H1343="","",IF(I1343="Sí",ROUND(H1343*Configuracion!$B$11,0),0))</f>
        <v/>
      </c>
      <c r="K1343" s="89">
        <f>IF(H1343="","",H1343+J1343)</f>
        <v/>
      </c>
      <c r="L1343" s="13">
        <f>IF(B1343="","",YEAR(B1343))</f>
        <v/>
      </c>
      <c r="M1343" s="13">
        <f>IF(B1343="","",MONTH(B1343))</f>
        <v/>
      </c>
      <c r="N1343" s="9" t="n"/>
      <c r="O1343" s="9" t="n"/>
      <c r="P1343" s="9" t="n"/>
      <c r="Q1343" s="9" t="n"/>
    </row>
    <row r="1344">
      <c r="A1344" s="9" t="n"/>
      <c r="B1344" s="70" t="n"/>
      <c r="C1344" s="9" t="n"/>
      <c r="D1344" s="9" t="n"/>
      <c r="E1344" s="9" t="n"/>
      <c r="F1344" s="9" t="n"/>
      <c r="G1344" s="9" t="n"/>
      <c r="H1344" s="71" t="n"/>
      <c r="I1344" s="9" t="n"/>
      <c r="J1344" s="89">
        <f>IF(H1344="","",IF(I1344="Sí",ROUND(H1344*Configuracion!$B$11,0),0))</f>
        <v/>
      </c>
      <c r="K1344" s="89">
        <f>IF(H1344="","",H1344+J1344)</f>
        <v/>
      </c>
      <c r="L1344" s="13">
        <f>IF(B1344="","",YEAR(B1344))</f>
        <v/>
      </c>
      <c r="M1344" s="13">
        <f>IF(B1344="","",MONTH(B1344))</f>
        <v/>
      </c>
      <c r="N1344" s="9" t="n"/>
      <c r="O1344" s="9" t="n"/>
      <c r="P1344" s="9" t="n"/>
      <c r="Q1344" s="9" t="n"/>
    </row>
    <row r="1345">
      <c r="A1345" s="9" t="n"/>
      <c r="B1345" s="70" t="n"/>
      <c r="C1345" s="9" t="n"/>
      <c r="D1345" s="9" t="n"/>
      <c r="E1345" s="9" t="n"/>
      <c r="F1345" s="9" t="n"/>
      <c r="G1345" s="9" t="n"/>
      <c r="H1345" s="71" t="n"/>
      <c r="I1345" s="9" t="n"/>
      <c r="J1345" s="89">
        <f>IF(H1345="","",IF(I1345="Sí",ROUND(H1345*Configuracion!$B$11,0),0))</f>
        <v/>
      </c>
      <c r="K1345" s="89">
        <f>IF(H1345="","",H1345+J1345)</f>
        <v/>
      </c>
      <c r="L1345" s="13">
        <f>IF(B1345="","",YEAR(B1345))</f>
        <v/>
      </c>
      <c r="M1345" s="13">
        <f>IF(B1345="","",MONTH(B1345))</f>
        <v/>
      </c>
      <c r="N1345" s="9" t="n"/>
      <c r="O1345" s="9" t="n"/>
      <c r="P1345" s="9" t="n"/>
      <c r="Q1345" s="9" t="n"/>
    </row>
    <row r="1346">
      <c r="A1346" s="9" t="n"/>
      <c r="B1346" s="70" t="n"/>
      <c r="C1346" s="9" t="n"/>
      <c r="D1346" s="9" t="n"/>
      <c r="E1346" s="9" t="n"/>
      <c r="F1346" s="9" t="n"/>
      <c r="G1346" s="9" t="n"/>
      <c r="H1346" s="71" t="n"/>
      <c r="I1346" s="9" t="n"/>
      <c r="J1346" s="89">
        <f>IF(H1346="","",IF(I1346="Sí",ROUND(H1346*Configuracion!$B$11,0),0))</f>
        <v/>
      </c>
      <c r="K1346" s="89">
        <f>IF(H1346="","",H1346+J1346)</f>
        <v/>
      </c>
      <c r="L1346" s="13">
        <f>IF(B1346="","",YEAR(B1346))</f>
        <v/>
      </c>
      <c r="M1346" s="13">
        <f>IF(B1346="","",MONTH(B1346))</f>
        <v/>
      </c>
      <c r="N1346" s="9" t="n"/>
      <c r="O1346" s="9" t="n"/>
      <c r="P1346" s="9" t="n"/>
      <c r="Q1346" s="9" t="n"/>
    </row>
    <row r="1347">
      <c r="A1347" s="9" t="n"/>
      <c r="B1347" s="70" t="n"/>
      <c r="C1347" s="9" t="n"/>
      <c r="D1347" s="9" t="n"/>
      <c r="E1347" s="9" t="n"/>
      <c r="F1347" s="9" t="n"/>
      <c r="G1347" s="9" t="n"/>
      <c r="H1347" s="71" t="n"/>
      <c r="I1347" s="9" t="n"/>
      <c r="J1347" s="89">
        <f>IF(H1347="","",IF(I1347="Sí",ROUND(H1347*Configuracion!$B$11,0),0))</f>
        <v/>
      </c>
      <c r="K1347" s="89">
        <f>IF(H1347="","",H1347+J1347)</f>
        <v/>
      </c>
      <c r="L1347" s="13">
        <f>IF(B1347="","",YEAR(B1347))</f>
        <v/>
      </c>
      <c r="M1347" s="13">
        <f>IF(B1347="","",MONTH(B1347))</f>
        <v/>
      </c>
      <c r="N1347" s="9" t="n"/>
      <c r="O1347" s="9" t="n"/>
      <c r="P1347" s="9" t="n"/>
      <c r="Q1347" s="9" t="n"/>
    </row>
    <row r="1348">
      <c r="A1348" s="9" t="n"/>
      <c r="B1348" s="70" t="n"/>
      <c r="C1348" s="9" t="n"/>
      <c r="D1348" s="9" t="n"/>
      <c r="E1348" s="9" t="n"/>
      <c r="F1348" s="9" t="n"/>
      <c r="G1348" s="9" t="n"/>
      <c r="H1348" s="71" t="n"/>
      <c r="I1348" s="9" t="n"/>
      <c r="J1348" s="89">
        <f>IF(H1348="","",IF(I1348="Sí",ROUND(H1348*Configuracion!$B$11,0),0))</f>
        <v/>
      </c>
      <c r="K1348" s="89">
        <f>IF(H1348="","",H1348+J1348)</f>
        <v/>
      </c>
      <c r="L1348" s="13">
        <f>IF(B1348="","",YEAR(B1348))</f>
        <v/>
      </c>
      <c r="M1348" s="13">
        <f>IF(B1348="","",MONTH(B1348))</f>
        <v/>
      </c>
      <c r="N1348" s="9" t="n"/>
      <c r="O1348" s="9" t="n"/>
      <c r="P1348" s="9" t="n"/>
      <c r="Q1348" s="9" t="n"/>
    </row>
    <row r="1349">
      <c r="A1349" s="9" t="n"/>
      <c r="B1349" s="70" t="n"/>
      <c r="C1349" s="9" t="n"/>
      <c r="D1349" s="9" t="n"/>
      <c r="E1349" s="9" t="n"/>
      <c r="F1349" s="9" t="n"/>
      <c r="G1349" s="9" t="n"/>
      <c r="H1349" s="71" t="n"/>
      <c r="I1349" s="9" t="n"/>
      <c r="J1349" s="89">
        <f>IF(H1349="","",IF(I1349="Sí",ROUND(H1349*Configuracion!$B$11,0),0))</f>
        <v/>
      </c>
      <c r="K1349" s="89">
        <f>IF(H1349="","",H1349+J1349)</f>
        <v/>
      </c>
      <c r="L1349" s="13">
        <f>IF(B1349="","",YEAR(B1349))</f>
        <v/>
      </c>
      <c r="M1349" s="13">
        <f>IF(B1349="","",MONTH(B1349))</f>
        <v/>
      </c>
      <c r="N1349" s="9" t="n"/>
      <c r="O1349" s="9" t="n"/>
      <c r="P1349" s="9" t="n"/>
      <c r="Q1349" s="9" t="n"/>
    </row>
    <row r="1350">
      <c r="A1350" s="9" t="n"/>
      <c r="B1350" s="70" t="n"/>
      <c r="C1350" s="9" t="n"/>
      <c r="D1350" s="9" t="n"/>
      <c r="E1350" s="9" t="n"/>
      <c r="F1350" s="9" t="n"/>
      <c r="G1350" s="9" t="n"/>
      <c r="H1350" s="71" t="n"/>
      <c r="I1350" s="9" t="n"/>
      <c r="J1350" s="89">
        <f>IF(H1350="","",IF(I1350="Sí",ROUND(H1350*Configuracion!$B$11,0),0))</f>
        <v/>
      </c>
      <c r="K1350" s="89">
        <f>IF(H1350="","",H1350+J1350)</f>
        <v/>
      </c>
      <c r="L1350" s="13">
        <f>IF(B1350="","",YEAR(B1350))</f>
        <v/>
      </c>
      <c r="M1350" s="13">
        <f>IF(B1350="","",MONTH(B1350))</f>
        <v/>
      </c>
      <c r="N1350" s="9" t="n"/>
      <c r="O1350" s="9" t="n"/>
      <c r="P1350" s="9" t="n"/>
      <c r="Q1350" s="9" t="n"/>
    </row>
    <row r="1351">
      <c r="A1351" s="9" t="n"/>
      <c r="B1351" s="70" t="n"/>
      <c r="C1351" s="9" t="n"/>
      <c r="D1351" s="9" t="n"/>
      <c r="E1351" s="9" t="n"/>
      <c r="F1351" s="9" t="n"/>
      <c r="G1351" s="9" t="n"/>
      <c r="H1351" s="71" t="n"/>
      <c r="I1351" s="9" t="n"/>
      <c r="J1351" s="89">
        <f>IF(H1351="","",IF(I1351="Sí",ROUND(H1351*Configuracion!$B$11,0),0))</f>
        <v/>
      </c>
      <c r="K1351" s="89">
        <f>IF(H1351="","",H1351+J1351)</f>
        <v/>
      </c>
      <c r="L1351" s="13">
        <f>IF(B1351="","",YEAR(B1351))</f>
        <v/>
      </c>
      <c r="M1351" s="13">
        <f>IF(B1351="","",MONTH(B1351))</f>
        <v/>
      </c>
      <c r="N1351" s="9" t="n"/>
      <c r="O1351" s="9" t="n"/>
      <c r="P1351" s="9" t="n"/>
      <c r="Q1351" s="9" t="n"/>
    </row>
    <row r="1352">
      <c r="A1352" s="9" t="n"/>
      <c r="B1352" s="70" t="n"/>
      <c r="C1352" s="9" t="n"/>
      <c r="D1352" s="9" t="n"/>
      <c r="E1352" s="9" t="n"/>
      <c r="F1352" s="9" t="n"/>
      <c r="G1352" s="9" t="n"/>
      <c r="H1352" s="71" t="n"/>
      <c r="I1352" s="9" t="n"/>
      <c r="J1352" s="89">
        <f>IF(H1352="","",IF(I1352="Sí",ROUND(H1352*Configuracion!$B$11,0),0))</f>
        <v/>
      </c>
      <c r="K1352" s="89">
        <f>IF(H1352="","",H1352+J1352)</f>
        <v/>
      </c>
      <c r="L1352" s="13">
        <f>IF(B1352="","",YEAR(B1352))</f>
        <v/>
      </c>
      <c r="M1352" s="13">
        <f>IF(B1352="","",MONTH(B1352))</f>
        <v/>
      </c>
      <c r="N1352" s="9" t="n"/>
      <c r="O1352" s="9" t="n"/>
      <c r="P1352" s="9" t="n"/>
      <c r="Q1352" s="9" t="n"/>
    </row>
    <row r="1353">
      <c r="A1353" s="9" t="n"/>
      <c r="B1353" s="70" t="n"/>
      <c r="C1353" s="9" t="n"/>
      <c r="D1353" s="9" t="n"/>
      <c r="E1353" s="9" t="n"/>
      <c r="F1353" s="9" t="n"/>
      <c r="G1353" s="9" t="n"/>
      <c r="H1353" s="71" t="n"/>
      <c r="I1353" s="9" t="n"/>
      <c r="J1353" s="89">
        <f>IF(H1353="","",IF(I1353="Sí",ROUND(H1353*Configuracion!$B$11,0),0))</f>
        <v/>
      </c>
      <c r="K1353" s="89">
        <f>IF(H1353="","",H1353+J1353)</f>
        <v/>
      </c>
      <c r="L1353" s="13">
        <f>IF(B1353="","",YEAR(B1353))</f>
        <v/>
      </c>
      <c r="M1353" s="13">
        <f>IF(B1353="","",MONTH(B1353))</f>
        <v/>
      </c>
      <c r="N1353" s="9" t="n"/>
      <c r="O1353" s="9" t="n"/>
      <c r="P1353" s="9" t="n"/>
      <c r="Q1353" s="9" t="n"/>
    </row>
    <row r="1354">
      <c r="A1354" s="9" t="n"/>
      <c r="B1354" s="70" t="n"/>
      <c r="C1354" s="9" t="n"/>
      <c r="D1354" s="9" t="n"/>
      <c r="E1354" s="9" t="n"/>
      <c r="F1354" s="9" t="n"/>
      <c r="G1354" s="9" t="n"/>
      <c r="H1354" s="71" t="n"/>
      <c r="I1354" s="9" t="n"/>
      <c r="J1354" s="89">
        <f>IF(H1354="","",IF(I1354="Sí",ROUND(H1354*Configuracion!$B$11,0),0))</f>
        <v/>
      </c>
      <c r="K1354" s="89">
        <f>IF(H1354="","",H1354+J1354)</f>
        <v/>
      </c>
      <c r="L1354" s="13">
        <f>IF(B1354="","",YEAR(B1354))</f>
        <v/>
      </c>
      <c r="M1354" s="13">
        <f>IF(B1354="","",MONTH(B1354))</f>
        <v/>
      </c>
      <c r="N1354" s="9" t="n"/>
      <c r="O1354" s="9" t="n"/>
      <c r="P1354" s="9" t="n"/>
      <c r="Q1354" s="9" t="n"/>
    </row>
    <row r="1355">
      <c r="A1355" s="9" t="n"/>
      <c r="B1355" s="70" t="n"/>
      <c r="C1355" s="9" t="n"/>
      <c r="D1355" s="9" t="n"/>
      <c r="E1355" s="9" t="n"/>
      <c r="F1355" s="9" t="n"/>
      <c r="G1355" s="9" t="n"/>
      <c r="H1355" s="71" t="n"/>
      <c r="I1355" s="9" t="n"/>
      <c r="J1355" s="89">
        <f>IF(H1355="","",IF(I1355="Sí",ROUND(H1355*Configuracion!$B$11,0),0))</f>
        <v/>
      </c>
      <c r="K1355" s="89">
        <f>IF(H1355="","",H1355+J1355)</f>
        <v/>
      </c>
      <c r="L1355" s="13">
        <f>IF(B1355="","",YEAR(B1355))</f>
        <v/>
      </c>
      <c r="M1355" s="13">
        <f>IF(B1355="","",MONTH(B1355))</f>
        <v/>
      </c>
      <c r="N1355" s="9" t="n"/>
      <c r="O1355" s="9" t="n"/>
      <c r="P1355" s="9" t="n"/>
      <c r="Q1355" s="9" t="n"/>
    </row>
    <row r="1356">
      <c r="A1356" s="9" t="n"/>
      <c r="B1356" s="70" t="n"/>
      <c r="C1356" s="9" t="n"/>
      <c r="D1356" s="9" t="n"/>
      <c r="E1356" s="9" t="n"/>
      <c r="F1356" s="9" t="n"/>
      <c r="G1356" s="9" t="n"/>
      <c r="H1356" s="71" t="n"/>
      <c r="I1356" s="9" t="n"/>
      <c r="J1356" s="89">
        <f>IF(H1356="","",IF(I1356="Sí",ROUND(H1356*Configuracion!$B$11,0),0))</f>
        <v/>
      </c>
      <c r="K1356" s="89">
        <f>IF(H1356="","",H1356+J1356)</f>
        <v/>
      </c>
      <c r="L1356" s="13">
        <f>IF(B1356="","",YEAR(B1356))</f>
        <v/>
      </c>
      <c r="M1356" s="13">
        <f>IF(B1356="","",MONTH(B1356))</f>
        <v/>
      </c>
      <c r="N1356" s="9" t="n"/>
      <c r="O1356" s="9" t="n"/>
      <c r="P1356" s="9" t="n"/>
      <c r="Q1356" s="9" t="n"/>
    </row>
    <row r="1357">
      <c r="A1357" s="9" t="n"/>
      <c r="B1357" s="70" t="n"/>
      <c r="C1357" s="9" t="n"/>
      <c r="D1357" s="9" t="n"/>
      <c r="E1357" s="9" t="n"/>
      <c r="F1357" s="9" t="n"/>
      <c r="G1357" s="9" t="n"/>
      <c r="H1357" s="71" t="n"/>
      <c r="I1357" s="9" t="n"/>
      <c r="J1357" s="89">
        <f>IF(H1357="","",IF(I1357="Sí",ROUND(H1357*Configuracion!$B$11,0),0))</f>
        <v/>
      </c>
      <c r="K1357" s="89">
        <f>IF(H1357="","",H1357+J1357)</f>
        <v/>
      </c>
      <c r="L1357" s="13">
        <f>IF(B1357="","",YEAR(B1357))</f>
        <v/>
      </c>
      <c r="M1357" s="13">
        <f>IF(B1357="","",MONTH(B1357))</f>
        <v/>
      </c>
      <c r="N1357" s="9" t="n"/>
      <c r="O1357" s="9" t="n"/>
      <c r="P1357" s="9" t="n"/>
      <c r="Q1357" s="9" t="n"/>
    </row>
    <row r="1358">
      <c r="A1358" s="9" t="n"/>
      <c r="B1358" s="70" t="n"/>
      <c r="C1358" s="9" t="n"/>
      <c r="D1358" s="9" t="n"/>
      <c r="E1358" s="9" t="n"/>
      <c r="F1358" s="9" t="n"/>
      <c r="G1358" s="9" t="n"/>
      <c r="H1358" s="71" t="n"/>
      <c r="I1358" s="9" t="n"/>
      <c r="J1358" s="89">
        <f>IF(H1358="","",IF(I1358="Sí",ROUND(H1358*Configuracion!$B$11,0),0))</f>
        <v/>
      </c>
      <c r="K1358" s="89">
        <f>IF(H1358="","",H1358+J1358)</f>
        <v/>
      </c>
      <c r="L1358" s="13">
        <f>IF(B1358="","",YEAR(B1358))</f>
        <v/>
      </c>
      <c r="M1358" s="13">
        <f>IF(B1358="","",MONTH(B1358))</f>
        <v/>
      </c>
      <c r="N1358" s="9" t="n"/>
      <c r="O1358" s="9" t="n"/>
      <c r="P1358" s="9" t="n"/>
      <c r="Q1358" s="9" t="n"/>
    </row>
    <row r="1359">
      <c r="A1359" s="9" t="n"/>
      <c r="B1359" s="70" t="n"/>
      <c r="C1359" s="9" t="n"/>
      <c r="D1359" s="9" t="n"/>
      <c r="E1359" s="9" t="n"/>
      <c r="F1359" s="9" t="n"/>
      <c r="G1359" s="9" t="n"/>
      <c r="H1359" s="71" t="n"/>
      <c r="I1359" s="9" t="n"/>
      <c r="J1359" s="89">
        <f>IF(H1359="","",IF(I1359="Sí",ROUND(H1359*Configuracion!$B$11,0),0))</f>
        <v/>
      </c>
      <c r="K1359" s="89">
        <f>IF(H1359="","",H1359+J1359)</f>
        <v/>
      </c>
      <c r="L1359" s="13">
        <f>IF(B1359="","",YEAR(B1359))</f>
        <v/>
      </c>
      <c r="M1359" s="13">
        <f>IF(B1359="","",MONTH(B1359))</f>
        <v/>
      </c>
      <c r="N1359" s="9" t="n"/>
      <c r="O1359" s="9" t="n"/>
      <c r="P1359" s="9" t="n"/>
      <c r="Q1359" s="9" t="n"/>
    </row>
    <row r="1360">
      <c r="A1360" s="9" t="n"/>
      <c r="B1360" s="70" t="n"/>
      <c r="C1360" s="9" t="n"/>
      <c r="D1360" s="9" t="n"/>
      <c r="E1360" s="9" t="n"/>
      <c r="F1360" s="9" t="n"/>
      <c r="G1360" s="9" t="n"/>
      <c r="H1360" s="71" t="n"/>
      <c r="I1360" s="9" t="n"/>
      <c r="J1360" s="89">
        <f>IF(H1360="","",IF(I1360="Sí",ROUND(H1360*Configuracion!$B$11,0),0))</f>
        <v/>
      </c>
      <c r="K1360" s="89">
        <f>IF(H1360="","",H1360+J1360)</f>
        <v/>
      </c>
      <c r="L1360" s="13">
        <f>IF(B1360="","",YEAR(B1360))</f>
        <v/>
      </c>
      <c r="M1360" s="13">
        <f>IF(B1360="","",MONTH(B1360))</f>
        <v/>
      </c>
      <c r="N1360" s="9" t="n"/>
      <c r="O1360" s="9" t="n"/>
      <c r="P1360" s="9" t="n"/>
      <c r="Q1360" s="9" t="n"/>
    </row>
    <row r="1361">
      <c r="A1361" s="9" t="n"/>
      <c r="B1361" s="70" t="n"/>
      <c r="C1361" s="9" t="n"/>
      <c r="D1361" s="9" t="n"/>
      <c r="E1361" s="9" t="n"/>
      <c r="F1361" s="9" t="n"/>
      <c r="G1361" s="9" t="n"/>
      <c r="H1361" s="71" t="n"/>
      <c r="I1361" s="9" t="n"/>
      <c r="J1361" s="89">
        <f>IF(H1361="","",IF(I1361="Sí",ROUND(H1361*Configuracion!$B$11,0),0))</f>
        <v/>
      </c>
      <c r="K1361" s="89">
        <f>IF(H1361="","",H1361+J1361)</f>
        <v/>
      </c>
      <c r="L1361" s="13">
        <f>IF(B1361="","",YEAR(B1361))</f>
        <v/>
      </c>
      <c r="M1361" s="13">
        <f>IF(B1361="","",MONTH(B1361))</f>
        <v/>
      </c>
      <c r="N1361" s="9" t="n"/>
      <c r="O1361" s="9" t="n"/>
      <c r="P1361" s="9" t="n"/>
      <c r="Q1361" s="9" t="n"/>
    </row>
    <row r="1362">
      <c r="A1362" s="9" t="n"/>
      <c r="B1362" s="70" t="n"/>
      <c r="C1362" s="9" t="n"/>
      <c r="D1362" s="9" t="n"/>
      <c r="E1362" s="9" t="n"/>
      <c r="F1362" s="9" t="n"/>
      <c r="G1362" s="9" t="n"/>
      <c r="H1362" s="71" t="n"/>
      <c r="I1362" s="9" t="n"/>
      <c r="J1362" s="89">
        <f>IF(H1362="","",IF(I1362="Sí",ROUND(H1362*Configuracion!$B$11,0),0))</f>
        <v/>
      </c>
      <c r="K1362" s="89">
        <f>IF(H1362="","",H1362+J1362)</f>
        <v/>
      </c>
      <c r="L1362" s="13">
        <f>IF(B1362="","",YEAR(B1362))</f>
        <v/>
      </c>
      <c r="M1362" s="13">
        <f>IF(B1362="","",MONTH(B1362))</f>
        <v/>
      </c>
      <c r="N1362" s="9" t="n"/>
      <c r="O1362" s="9" t="n"/>
      <c r="P1362" s="9" t="n"/>
      <c r="Q1362" s="9" t="n"/>
    </row>
    <row r="1363">
      <c r="A1363" s="9" t="n"/>
      <c r="B1363" s="70" t="n"/>
      <c r="C1363" s="9" t="n"/>
      <c r="D1363" s="9" t="n"/>
      <c r="E1363" s="9" t="n"/>
      <c r="F1363" s="9" t="n"/>
      <c r="G1363" s="9" t="n"/>
      <c r="H1363" s="71" t="n"/>
      <c r="I1363" s="9" t="n"/>
      <c r="J1363" s="89">
        <f>IF(H1363="","",IF(I1363="Sí",ROUND(H1363*Configuracion!$B$11,0),0))</f>
        <v/>
      </c>
      <c r="K1363" s="89">
        <f>IF(H1363="","",H1363+J1363)</f>
        <v/>
      </c>
      <c r="L1363" s="13">
        <f>IF(B1363="","",YEAR(B1363))</f>
        <v/>
      </c>
      <c r="M1363" s="13">
        <f>IF(B1363="","",MONTH(B1363))</f>
        <v/>
      </c>
      <c r="N1363" s="9" t="n"/>
      <c r="O1363" s="9" t="n"/>
      <c r="P1363" s="9" t="n"/>
      <c r="Q1363" s="9" t="n"/>
    </row>
    <row r="1364">
      <c r="A1364" s="9" t="n"/>
      <c r="B1364" s="70" t="n"/>
      <c r="C1364" s="9" t="n"/>
      <c r="D1364" s="9" t="n"/>
      <c r="E1364" s="9" t="n"/>
      <c r="F1364" s="9" t="n"/>
      <c r="G1364" s="9" t="n"/>
      <c r="H1364" s="71" t="n"/>
      <c r="I1364" s="9" t="n"/>
      <c r="J1364" s="89">
        <f>IF(H1364="","",IF(I1364="Sí",ROUND(H1364*Configuracion!$B$11,0),0))</f>
        <v/>
      </c>
      <c r="K1364" s="89">
        <f>IF(H1364="","",H1364+J1364)</f>
        <v/>
      </c>
      <c r="L1364" s="13">
        <f>IF(B1364="","",YEAR(B1364))</f>
        <v/>
      </c>
      <c r="M1364" s="13">
        <f>IF(B1364="","",MONTH(B1364))</f>
        <v/>
      </c>
      <c r="N1364" s="9" t="n"/>
      <c r="O1364" s="9" t="n"/>
      <c r="P1364" s="9" t="n"/>
      <c r="Q1364" s="9" t="n"/>
    </row>
    <row r="1365">
      <c r="A1365" s="9" t="n"/>
      <c r="B1365" s="70" t="n"/>
      <c r="C1365" s="9" t="n"/>
      <c r="D1365" s="9" t="n"/>
      <c r="E1365" s="9" t="n"/>
      <c r="F1365" s="9" t="n"/>
      <c r="G1365" s="9" t="n"/>
      <c r="H1365" s="71" t="n"/>
      <c r="I1365" s="9" t="n"/>
      <c r="J1365" s="89">
        <f>IF(H1365="","",IF(I1365="Sí",ROUND(H1365*Configuracion!$B$11,0),0))</f>
        <v/>
      </c>
      <c r="K1365" s="89">
        <f>IF(H1365="","",H1365+J1365)</f>
        <v/>
      </c>
      <c r="L1365" s="13">
        <f>IF(B1365="","",YEAR(B1365))</f>
        <v/>
      </c>
      <c r="M1365" s="13">
        <f>IF(B1365="","",MONTH(B1365))</f>
        <v/>
      </c>
      <c r="N1365" s="9" t="n"/>
      <c r="O1365" s="9" t="n"/>
      <c r="P1365" s="9" t="n"/>
      <c r="Q1365" s="9" t="n"/>
    </row>
    <row r="1366">
      <c r="A1366" s="9" t="n"/>
      <c r="B1366" s="70" t="n"/>
      <c r="C1366" s="9" t="n"/>
      <c r="D1366" s="9" t="n"/>
      <c r="E1366" s="9" t="n"/>
      <c r="F1366" s="9" t="n"/>
      <c r="G1366" s="9" t="n"/>
      <c r="H1366" s="71" t="n"/>
      <c r="I1366" s="9" t="n"/>
      <c r="J1366" s="89">
        <f>IF(H1366="","",IF(I1366="Sí",ROUND(H1366*Configuracion!$B$11,0),0))</f>
        <v/>
      </c>
      <c r="K1366" s="89">
        <f>IF(H1366="","",H1366+J1366)</f>
        <v/>
      </c>
      <c r="L1366" s="13">
        <f>IF(B1366="","",YEAR(B1366))</f>
        <v/>
      </c>
      <c r="M1366" s="13">
        <f>IF(B1366="","",MONTH(B1366))</f>
        <v/>
      </c>
      <c r="N1366" s="9" t="n"/>
      <c r="O1366" s="9" t="n"/>
      <c r="P1366" s="9" t="n"/>
      <c r="Q1366" s="9" t="n"/>
    </row>
    <row r="1367">
      <c r="A1367" s="9" t="n"/>
      <c r="B1367" s="70" t="n"/>
      <c r="C1367" s="9" t="n"/>
      <c r="D1367" s="9" t="n"/>
      <c r="E1367" s="9" t="n"/>
      <c r="F1367" s="9" t="n"/>
      <c r="G1367" s="9" t="n"/>
      <c r="H1367" s="71" t="n"/>
      <c r="I1367" s="9" t="n"/>
      <c r="J1367" s="89">
        <f>IF(H1367="","",IF(I1367="Sí",ROUND(H1367*Configuracion!$B$11,0),0))</f>
        <v/>
      </c>
      <c r="K1367" s="89">
        <f>IF(H1367="","",H1367+J1367)</f>
        <v/>
      </c>
      <c r="L1367" s="13">
        <f>IF(B1367="","",YEAR(B1367))</f>
        <v/>
      </c>
      <c r="M1367" s="13">
        <f>IF(B1367="","",MONTH(B1367))</f>
        <v/>
      </c>
      <c r="N1367" s="9" t="n"/>
      <c r="O1367" s="9" t="n"/>
      <c r="P1367" s="9" t="n"/>
      <c r="Q1367" s="9" t="n"/>
    </row>
    <row r="1368">
      <c r="A1368" s="9" t="n"/>
      <c r="B1368" s="70" t="n"/>
      <c r="C1368" s="9" t="n"/>
      <c r="D1368" s="9" t="n"/>
      <c r="E1368" s="9" t="n"/>
      <c r="F1368" s="9" t="n"/>
      <c r="G1368" s="9" t="n"/>
      <c r="H1368" s="71" t="n"/>
      <c r="I1368" s="9" t="n"/>
      <c r="J1368" s="89">
        <f>IF(H1368="","",IF(I1368="Sí",ROUND(H1368*Configuracion!$B$11,0),0))</f>
        <v/>
      </c>
      <c r="K1368" s="89">
        <f>IF(H1368="","",H1368+J1368)</f>
        <v/>
      </c>
      <c r="L1368" s="13">
        <f>IF(B1368="","",YEAR(B1368))</f>
        <v/>
      </c>
      <c r="M1368" s="13">
        <f>IF(B1368="","",MONTH(B1368))</f>
        <v/>
      </c>
      <c r="N1368" s="9" t="n"/>
      <c r="O1368" s="9" t="n"/>
      <c r="P1368" s="9" t="n"/>
      <c r="Q1368" s="9" t="n"/>
    </row>
    <row r="1369">
      <c r="A1369" s="9" t="n"/>
      <c r="B1369" s="70" t="n"/>
      <c r="C1369" s="9" t="n"/>
      <c r="D1369" s="9" t="n"/>
      <c r="E1369" s="9" t="n"/>
      <c r="F1369" s="9" t="n"/>
      <c r="G1369" s="9" t="n"/>
      <c r="H1369" s="71" t="n"/>
      <c r="I1369" s="9" t="n"/>
      <c r="J1369" s="89">
        <f>IF(H1369="","",IF(I1369="Sí",ROUND(H1369*Configuracion!$B$11,0),0))</f>
        <v/>
      </c>
      <c r="K1369" s="89">
        <f>IF(H1369="","",H1369+J1369)</f>
        <v/>
      </c>
      <c r="L1369" s="13">
        <f>IF(B1369="","",YEAR(B1369))</f>
        <v/>
      </c>
      <c r="M1369" s="13">
        <f>IF(B1369="","",MONTH(B1369))</f>
        <v/>
      </c>
      <c r="N1369" s="9" t="n"/>
      <c r="O1369" s="9" t="n"/>
      <c r="P1369" s="9" t="n"/>
      <c r="Q1369" s="9" t="n"/>
    </row>
    <row r="1370">
      <c r="A1370" s="9" t="n"/>
      <c r="B1370" s="70" t="n"/>
      <c r="C1370" s="9" t="n"/>
      <c r="D1370" s="9" t="n"/>
      <c r="E1370" s="9" t="n"/>
      <c r="F1370" s="9" t="n"/>
      <c r="G1370" s="9" t="n"/>
      <c r="H1370" s="71" t="n"/>
      <c r="I1370" s="9" t="n"/>
      <c r="J1370" s="89">
        <f>IF(H1370="","",IF(I1370="Sí",ROUND(H1370*Configuracion!$B$11,0),0))</f>
        <v/>
      </c>
      <c r="K1370" s="89">
        <f>IF(H1370="","",H1370+J1370)</f>
        <v/>
      </c>
      <c r="L1370" s="13">
        <f>IF(B1370="","",YEAR(B1370))</f>
        <v/>
      </c>
      <c r="M1370" s="13">
        <f>IF(B1370="","",MONTH(B1370))</f>
        <v/>
      </c>
      <c r="N1370" s="9" t="n"/>
      <c r="O1370" s="9" t="n"/>
      <c r="P1370" s="9" t="n"/>
      <c r="Q1370" s="9" t="n"/>
    </row>
    <row r="1371">
      <c r="A1371" s="9" t="n"/>
      <c r="B1371" s="70" t="n"/>
      <c r="C1371" s="9" t="n"/>
      <c r="D1371" s="9" t="n"/>
      <c r="E1371" s="9" t="n"/>
      <c r="F1371" s="9" t="n"/>
      <c r="G1371" s="9" t="n"/>
      <c r="H1371" s="71" t="n"/>
      <c r="I1371" s="9" t="n"/>
      <c r="J1371" s="89">
        <f>IF(H1371="","",IF(I1371="Sí",ROUND(H1371*Configuracion!$B$11,0),0))</f>
        <v/>
      </c>
      <c r="K1371" s="89">
        <f>IF(H1371="","",H1371+J1371)</f>
        <v/>
      </c>
      <c r="L1371" s="13">
        <f>IF(B1371="","",YEAR(B1371))</f>
        <v/>
      </c>
      <c r="M1371" s="13">
        <f>IF(B1371="","",MONTH(B1371))</f>
        <v/>
      </c>
      <c r="N1371" s="9" t="n"/>
      <c r="O1371" s="9" t="n"/>
      <c r="P1371" s="9" t="n"/>
      <c r="Q1371" s="9" t="n"/>
    </row>
    <row r="1372">
      <c r="A1372" s="9" t="n"/>
      <c r="B1372" s="70" t="n"/>
      <c r="C1372" s="9" t="n"/>
      <c r="D1372" s="9" t="n"/>
      <c r="E1372" s="9" t="n"/>
      <c r="F1372" s="9" t="n"/>
      <c r="G1372" s="9" t="n"/>
      <c r="H1372" s="71" t="n"/>
      <c r="I1372" s="9" t="n"/>
      <c r="J1372" s="89">
        <f>IF(H1372="","",IF(I1372="Sí",ROUND(H1372*Configuracion!$B$11,0),0))</f>
        <v/>
      </c>
      <c r="K1372" s="89">
        <f>IF(H1372="","",H1372+J1372)</f>
        <v/>
      </c>
      <c r="L1372" s="13">
        <f>IF(B1372="","",YEAR(B1372))</f>
        <v/>
      </c>
      <c r="M1372" s="13">
        <f>IF(B1372="","",MONTH(B1372))</f>
        <v/>
      </c>
      <c r="N1372" s="9" t="n"/>
      <c r="O1372" s="9" t="n"/>
      <c r="P1372" s="9" t="n"/>
      <c r="Q1372" s="9" t="n"/>
    </row>
    <row r="1373">
      <c r="A1373" s="9" t="n"/>
      <c r="B1373" s="70" t="n"/>
      <c r="C1373" s="9" t="n"/>
      <c r="D1373" s="9" t="n"/>
      <c r="E1373" s="9" t="n"/>
      <c r="F1373" s="9" t="n"/>
      <c r="G1373" s="9" t="n"/>
      <c r="H1373" s="71" t="n"/>
      <c r="I1373" s="9" t="n"/>
      <c r="J1373" s="89">
        <f>IF(H1373="","",IF(I1373="Sí",ROUND(H1373*Configuracion!$B$11,0),0))</f>
        <v/>
      </c>
      <c r="K1373" s="89">
        <f>IF(H1373="","",H1373+J1373)</f>
        <v/>
      </c>
      <c r="L1373" s="13">
        <f>IF(B1373="","",YEAR(B1373))</f>
        <v/>
      </c>
      <c r="M1373" s="13">
        <f>IF(B1373="","",MONTH(B1373))</f>
        <v/>
      </c>
      <c r="N1373" s="9" t="n"/>
      <c r="O1373" s="9" t="n"/>
      <c r="P1373" s="9" t="n"/>
      <c r="Q1373" s="9" t="n"/>
    </row>
    <row r="1374">
      <c r="A1374" s="9" t="n"/>
      <c r="B1374" s="70" t="n"/>
      <c r="C1374" s="9" t="n"/>
      <c r="D1374" s="9" t="n"/>
      <c r="E1374" s="9" t="n"/>
      <c r="F1374" s="9" t="n"/>
      <c r="G1374" s="9" t="n"/>
      <c r="H1374" s="71" t="n"/>
      <c r="I1374" s="9" t="n"/>
      <c r="J1374" s="89">
        <f>IF(H1374="","",IF(I1374="Sí",ROUND(H1374*Configuracion!$B$11,0),0))</f>
        <v/>
      </c>
      <c r="K1374" s="89">
        <f>IF(H1374="","",H1374+J1374)</f>
        <v/>
      </c>
      <c r="L1374" s="13">
        <f>IF(B1374="","",YEAR(B1374))</f>
        <v/>
      </c>
      <c r="M1374" s="13">
        <f>IF(B1374="","",MONTH(B1374))</f>
        <v/>
      </c>
      <c r="N1374" s="9" t="n"/>
      <c r="O1374" s="9" t="n"/>
      <c r="P1374" s="9" t="n"/>
      <c r="Q1374" s="9" t="n"/>
    </row>
    <row r="1375">
      <c r="A1375" s="9" t="n"/>
      <c r="B1375" s="70" t="n"/>
      <c r="C1375" s="9" t="n"/>
      <c r="D1375" s="9" t="n"/>
      <c r="E1375" s="9" t="n"/>
      <c r="F1375" s="9" t="n"/>
      <c r="G1375" s="9" t="n"/>
      <c r="H1375" s="71" t="n"/>
      <c r="I1375" s="9" t="n"/>
      <c r="J1375" s="89">
        <f>IF(H1375="","",IF(I1375="Sí",ROUND(H1375*Configuracion!$B$11,0),0))</f>
        <v/>
      </c>
      <c r="K1375" s="89">
        <f>IF(H1375="","",H1375+J1375)</f>
        <v/>
      </c>
      <c r="L1375" s="13">
        <f>IF(B1375="","",YEAR(B1375))</f>
        <v/>
      </c>
      <c r="M1375" s="13">
        <f>IF(B1375="","",MONTH(B1375))</f>
        <v/>
      </c>
      <c r="N1375" s="9" t="n"/>
      <c r="O1375" s="9" t="n"/>
      <c r="P1375" s="9" t="n"/>
      <c r="Q1375" s="9" t="n"/>
    </row>
    <row r="1376">
      <c r="A1376" s="9" t="n"/>
      <c r="B1376" s="70" t="n"/>
      <c r="C1376" s="9" t="n"/>
      <c r="D1376" s="9" t="n"/>
      <c r="E1376" s="9" t="n"/>
      <c r="F1376" s="9" t="n"/>
      <c r="G1376" s="9" t="n"/>
      <c r="H1376" s="71" t="n"/>
      <c r="I1376" s="9" t="n"/>
      <c r="J1376" s="89">
        <f>IF(H1376="","",IF(I1376="Sí",ROUND(H1376*Configuracion!$B$11,0),0))</f>
        <v/>
      </c>
      <c r="K1376" s="89">
        <f>IF(H1376="","",H1376+J1376)</f>
        <v/>
      </c>
      <c r="L1376" s="13">
        <f>IF(B1376="","",YEAR(B1376))</f>
        <v/>
      </c>
      <c r="M1376" s="13">
        <f>IF(B1376="","",MONTH(B1376))</f>
        <v/>
      </c>
      <c r="N1376" s="9" t="n"/>
      <c r="O1376" s="9" t="n"/>
      <c r="P1376" s="9" t="n"/>
      <c r="Q1376" s="9" t="n"/>
    </row>
    <row r="1377">
      <c r="A1377" s="9" t="n"/>
      <c r="B1377" s="70" t="n"/>
      <c r="C1377" s="9" t="n"/>
      <c r="D1377" s="9" t="n"/>
      <c r="E1377" s="9" t="n"/>
      <c r="F1377" s="9" t="n"/>
      <c r="G1377" s="9" t="n"/>
      <c r="H1377" s="71" t="n"/>
      <c r="I1377" s="9" t="n"/>
      <c r="J1377" s="89">
        <f>IF(H1377="","",IF(I1377="Sí",ROUND(H1377*Configuracion!$B$11,0),0))</f>
        <v/>
      </c>
      <c r="K1377" s="89">
        <f>IF(H1377="","",H1377+J1377)</f>
        <v/>
      </c>
      <c r="L1377" s="13">
        <f>IF(B1377="","",YEAR(B1377))</f>
        <v/>
      </c>
      <c r="M1377" s="13">
        <f>IF(B1377="","",MONTH(B1377))</f>
        <v/>
      </c>
      <c r="N1377" s="9" t="n"/>
      <c r="O1377" s="9" t="n"/>
      <c r="P1377" s="9" t="n"/>
      <c r="Q1377" s="9" t="n"/>
    </row>
    <row r="1378">
      <c r="A1378" s="9" t="n"/>
      <c r="B1378" s="70" t="n"/>
      <c r="C1378" s="9" t="n"/>
      <c r="D1378" s="9" t="n"/>
      <c r="E1378" s="9" t="n"/>
      <c r="F1378" s="9" t="n"/>
      <c r="G1378" s="9" t="n"/>
      <c r="H1378" s="71" t="n"/>
      <c r="I1378" s="9" t="n"/>
      <c r="J1378" s="89">
        <f>IF(H1378="","",IF(I1378="Sí",ROUND(H1378*Configuracion!$B$11,0),0))</f>
        <v/>
      </c>
      <c r="K1378" s="89">
        <f>IF(H1378="","",H1378+J1378)</f>
        <v/>
      </c>
      <c r="L1378" s="13">
        <f>IF(B1378="","",YEAR(B1378))</f>
        <v/>
      </c>
      <c r="M1378" s="13">
        <f>IF(B1378="","",MONTH(B1378))</f>
        <v/>
      </c>
      <c r="N1378" s="9" t="n"/>
      <c r="O1378" s="9" t="n"/>
      <c r="P1378" s="9" t="n"/>
      <c r="Q1378" s="9" t="n"/>
    </row>
    <row r="1379">
      <c r="A1379" s="9" t="n"/>
      <c r="B1379" s="70" t="n"/>
      <c r="C1379" s="9" t="n"/>
      <c r="D1379" s="9" t="n"/>
      <c r="E1379" s="9" t="n"/>
      <c r="F1379" s="9" t="n"/>
      <c r="G1379" s="9" t="n"/>
      <c r="H1379" s="71" t="n"/>
      <c r="I1379" s="9" t="n"/>
      <c r="J1379" s="89">
        <f>IF(H1379="","",IF(I1379="Sí",ROUND(H1379*Configuracion!$B$11,0),0))</f>
        <v/>
      </c>
      <c r="K1379" s="89">
        <f>IF(H1379="","",H1379+J1379)</f>
        <v/>
      </c>
      <c r="L1379" s="13">
        <f>IF(B1379="","",YEAR(B1379))</f>
        <v/>
      </c>
      <c r="M1379" s="13">
        <f>IF(B1379="","",MONTH(B1379))</f>
        <v/>
      </c>
      <c r="N1379" s="9" t="n"/>
      <c r="O1379" s="9" t="n"/>
      <c r="P1379" s="9" t="n"/>
      <c r="Q1379" s="9" t="n"/>
    </row>
    <row r="1380">
      <c r="A1380" s="9" t="n"/>
      <c r="B1380" s="70" t="n"/>
      <c r="C1380" s="9" t="n"/>
      <c r="D1380" s="9" t="n"/>
      <c r="E1380" s="9" t="n"/>
      <c r="F1380" s="9" t="n"/>
      <c r="G1380" s="9" t="n"/>
      <c r="H1380" s="71" t="n"/>
      <c r="I1380" s="9" t="n"/>
      <c r="J1380" s="89">
        <f>IF(H1380="","",IF(I1380="Sí",ROUND(H1380*Configuracion!$B$11,0),0))</f>
        <v/>
      </c>
      <c r="K1380" s="89">
        <f>IF(H1380="","",H1380+J1380)</f>
        <v/>
      </c>
      <c r="L1380" s="13">
        <f>IF(B1380="","",YEAR(B1380))</f>
        <v/>
      </c>
      <c r="M1380" s="13">
        <f>IF(B1380="","",MONTH(B1380))</f>
        <v/>
      </c>
      <c r="N1380" s="9" t="n"/>
      <c r="O1380" s="9" t="n"/>
      <c r="P1380" s="9" t="n"/>
      <c r="Q1380" s="9" t="n"/>
    </row>
    <row r="1381">
      <c r="A1381" s="9" t="n"/>
      <c r="B1381" s="70" t="n"/>
      <c r="C1381" s="9" t="n"/>
      <c r="D1381" s="9" t="n"/>
      <c r="E1381" s="9" t="n"/>
      <c r="F1381" s="9" t="n"/>
      <c r="G1381" s="9" t="n"/>
      <c r="H1381" s="71" t="n"/>
      <c r="I1381" s="9" t="n"/>
      <c r="J1381" s="89">
        <f>IF(H1381="","",IF(I1381="Sí",ROUND(H1381*Configuracion!$B$11,0),0))</f>
        <v/>
      </c>
      <c r="K1381" s="89">
        <f>IF(H1381="","",H1381+J1381)</f>
        <v/>
      </c>
      <c r="L1381" s="13">
        <f>IF(B1381="","",YEAR(B1381))</f>
        <v/>
      </c>
      <c r="M1381" s="13">
        <f>IF(B1381="","",MONTH(B1381))</f>
        <v/>
      </c>
      <c r="N1381" s="9" t="n"/>
      <c r="O1381" s="9" t="n"/>
      <c r="P1381" s="9" t="n"/>
      <c r="Q1381" s="9" t="n"/>
    </row>
    <row r="1382">
      <c r="A1382" s="9" t="n"/>
      <c r="B1382" s="70" t="n"/>
      <c r="C1382" s="9" t="n"/>
      <c r="D1382" s="9" t="n"/>
      <c r="E1382" s="9" t="n"/>
      <c r="F1382" s="9" t="n"/>
      <c r="G1382" s="9" t="n"/>
      <c r="H1382" s="71" t="n"/>
      <c r="I1382" s="9" t="n"/>
      <c r="J1382" s="89">
        <f>IF(H1382="","",IF(I1382="Sí",ROUND(H1382*Configuracion!$B$11,0),0))</f>
        <v/>
      </c>
      <c r="K1382" s="89">
        <f>IF(H1382="","",H1382+J1382)</f>
        <v/>
      </c>
      <c r="L1382" s="13">
        <f>IF(B1382="","",YEAR(B1382))</f>
        <v/>
      </c>
      <c r="M1382" s="13">
        <f>IF(B1382="","",MONTH(B1382))</f>
        <v/>
      </c>
      <c r="N1382" s="9" t="n"/>
      <c r="O1382" s="9" t="n"/>
      <c r="P1382" s="9" t="n"/>
      <c r="Q1382" s="9" t="n"/>
    </row>
    <row r="1383">
      <c r="A1383" s="9" t="n"/>
      <c r="B1383" s="70" t="n"/>
      <c r="C1383" s="9" t="n"/>
      <c r="D1383" s="9" t="n"/>
      <c r="E1383" s="9" t="n"/>
      <c r="F1383" s="9" t="n"/>
      <c r="G1383" s="9" t="n"/>
      <c r="H1383" s="71" t="n"/>
      <c r="I1383" s="9" t="n"/>
      <c r="J1383" s="89">
        <f>IF(H1383="","",IF(I1383="Sí",ROUND(H1383*Configuracion!$B$11,0),0))</f>
        <v/>
      </c>
      <c r="K1383" s="89">
        <f>IF(H1383="","",H1383+J1383)</f>
        <v/>
      </c>
      <c r="L1383" s="13">
        <f>IF(B1383="","",YEAR(B1383))</f>
        <v/>
      </c>
      <c r="M1383" s="13">
        <f>IF(B1383="","",MONTH(B1383))</f>
        <v/>
      </c>
      <c r="N1383" s="9" t="n"/>
      <c r="O1383" s="9" t="n"/>
      <c r="P1383" s="9" t="n"/>
      <c r="Q1383" s="9" t="n"/>
    </row>
    <row r="1384">
      <c r="A1384" s="9" t="n"/>
      <c r="B1384" s="70" t="n"/>
      <c r="C1384" s="9" t="n"/>
      <c r="D1384" s="9" t="n"/>
      <c r="E1384" s="9" t="n"/>
      <c r="F1384" s="9" t="n"/>
      <c r="G1384" s="9" t="n"/>
      <c r="H1384" s="71" t="n"/>
      <c r="I1384" s="9" t="n"/>
      <c r="J1384" s="89">
        <f>IF(H1384="","",IF(I1384="Sí",ROUND(H1384*Configuracion!$B$11,0),0))</f>
        <v/>
      </c>
      <c r="K1384" s="89">
        <f>IF(H1384="","",H1384+J1384)</f>
        <v/>
      </c>
      <c r="L1384" s="13">
        <f>IF(B1384="","",YEAR(B1384))</f>
        <v/>
      </c>
      <c r="M1384" s="13">
        <f>IF(B1384="","",MONTH(B1384))</f>
        <v/>
      </c>
      <c r="N1384" s="9" t="n"/>
      <c r="O1384" s="9" t="n"/>
      <c r="P1384" s="9" t="n"/>
      <c r="Q1384" s="9" t="n"/>
    </row>
    <row r="1385">
      <c r="A1385" s="9" t="n"/>
      <c r="B1385" s="70" t="n"/>
      <c r="C1385" s="9" t="n"/>
      <c r="D1385" s="9" t="n"/>
      <c r="E1385" s="9" t="n"/>
      <c r="F1385" s="9" t="n"/>
      <c r="G1385" s="9" t="n"/>
      <c r="H1385" s="71" t="n"/>
      <c r="I1385" s="9" t="n"/>
      <c r="J1385" s="89">
        <f>IF(H1385="","",IF(I1385="Sí",ROUND(H1385*Configuracion!$B$11,0),0))</f>
        <v/>
      </c>
      <c r="K1385" s="89">
        <f>IF(H1385="","",H1385+J1385)</f>
        <v/>
      </c>
      <c r="L1385" s="13">
        <f>IF(B1385="","",YEAR(B1385))</f>
        <v/>
      </c>
      <c r="M1385" s="13">
        <f>IF(B1385="","",MONTH(B1385))</f>
        <v/>
      </c>
      <c r="N1385" s="9" t="n"/>
      <c r="O1385" s="9" t="n"/>
      <c r="P1385" s="9" t="n"/>
      <c r="Q1385" s="9" t="n"/>
    </row>
    <row r="1386">
      <c r="A1386" s="9" t="n"/>
      <c r="B1386" s="70" t="n"/>
      <c r="C1386" s="9" t="n"/>
      <c r="D1386" s="9" t="n"/>
      <c r="E1386" s="9" t="n"/>
      <c r="F1386" s="9" t="n"/>
      <c r="G1386" s="9" t="n"/>
      <c r="H1386" s="71" t="n"/>
      <c r="I1386" s="9" t="n"/>
      <c r="J1386" s="89">
        <f>IF(H1386="","",IF(I1386="Sí",ROUND(H1386*Configuracion!$B$11,0),0))</f>
        <v/>
      </c>
      <c r="K1386" s="89">
        <f>IF(H1386="","",H1386+J1386)</f>
        <v/>
      </c>
      <c r="L1386" s="13">
        <f>IF(B1386="","",YEAR(B1386))</f>
        <v/>
      </c>
      <c r="M1386" s="13">
        <f>IF(B1386="","",MONTH(B1386))</f>
        <v/>
      </c>
      <c r="N1386" s="9" t="n"/>
      <c r="O1386" s="9" t="n"/>
      <c r="P1386" s="9" t="n"/>
      <c r="Q1386" s="9" t="n"/>
    </row>
    <row r="1387">
      <c r="A1387" s="9" t="n"/>
      <c r="B1387" s="70" t="n"/>
      <c r="C1387" s="9" t="n"/>
      <c r="D1387" s="9" t="n"/>
      <c r="E1387" s="9" t="n"/>
      <c r="F1387" s="9" t="n"/>
      <c r="G1387" s="9" t="n"/>
      <c r="H1387" s="71" t="n"/>
      <c r="I1387" s="9" t="n"/>
      <c r="J1387" s="89">
        <f>IF(H1387="","",IF(I1387="Sí",ROUND(H1387*Configuracion!$B$11,0),0))</f>
        <v/>
      </c>
      <c r="K1387" s="89">
        <f>IF(H1387="","",H1387+J1387)</f>
        <v/>
      </c>
      <c r="L1387" s="13">
        <f>IF(B1387="","",YEAR(B1387))</f>
        <v/>
      </c>
      <c r="M1387" s="13">
        <f>IF(B1387="","",MONTH(B1387))</f>
        <v/>
      </c>
      <c r="N1387" s="9" t="n"/>
      <c r="O1387" s="9" t="n"/>
      <c r="P1387" s="9" t="n"/>
      <c r="Q1387" s="9" t="n"/>
    </row>
    <row r="1388">
      <c r="A1388" s="9" t="n"/>
      <c r="B1388" s="70" t="n"/>
      <c r="C1388" s="9" t="n"/>
      <c r="D1388" s="9" t="n"/>
      <c r="E1388" s="9" t="n"/>
      <c r="F1388" s="9" t="n"/>
      <c r="G1388" s="9" t="n"/>
      <c r="H1388" s="71" t="n"/>
      <c r="I1388" s="9" t="n"/>
      <c r="J1388" s="89">
        <f>IF(H1388="","",IF(I1388="Sí",ROUND(H1388*Configuracion!$B$11,0),0))</f>
        <v/>
      </c>
      <c r="K1388" s="89">
        <f>IF(H1388="","",H1388+J1388)</f>
        <v/>
      </c>
      <c r="L1388" s="13">
        <f>IF(B1388="","",YEAR(B1388))</f>
        <v/>
      </c>
      <c r="M1388" s="13">
        <f>IF(B1388="","",MONTH(B1388))</f>
        <v/>
      </c>
      <c r="N1388" s="9" t="n"/>
      <c r="O1388" s="9" t="n"/>
      <c r="P1388" s="9" t="n"/>
      <c r="Q1388" s="9" t="n"/>
    </row>
    <row r="1389">
      <c r="A1389" s="9" t="n"/>
      <c r="B1389" s="70" t="n"/>
      <c r="C1389" s="9" t="n"/>
      <c r="D1389" s="9" t="n"/>
      <c r="E1389" s="9" t="n"/>
      <c r="F1389" s="9" t="n"/>
      <c r="G1389" s="9" t="n"/>
      <c r="H1389" s="71" t="n"/>
      <c r="I1389" s="9" t="n"/>
      <c r="J1389" s="89">
        <f>IF(H1389="","",IF(I1389="Sí",ROUND(H1389*Configuracion!$B$11,0),0))</f>
        <v/>
      </c>
      <c r="K1389" s="89">
        <f>IF(H1389="","",H1389+J1389)</f>
        <v/>
      </c>
      <c r="L1389" s="13">
        <f>IF(B1389="","",YEAR(B1389))</f>
        <v/>
      </c>
      <c r="M1389" s="13">
        <f>IF(B1389="","",MONTH(B1389))</f>
        <v/>
      </c>
      <c r="N1389" s="9" t="n"/>
      <c r="O1389" s="9" t="n"/>
      <c r="P1389" s="9" t="n"/>
      <c r="Q1389" s="9" t="n"/>
    </row>
    <row r="1390">
      <c r="A1390" s="9" t="n"/>
      <c r="B1390" s="70" t="n"/>
      <c r="C1390" s="9" t="n"/>
      <c r="D1390" s="9" t="n"/>
      <c r="E1390" s="9" t="n"/>
      <c r="F1390" s="9" t="n"/>
      <c r="G1390" s="9" t="n"/>
      <c r="H1390" s="71" t="n"/>
      <c r="I1390" s="9" t="n"/>
      <c r="J1390" s="89">
        <f>IF(H1390="","",IF(I1390="Sí",ROUND(H1390*Configuracion!$B$11,0),0))</f>
        <v/>
      </c>
      <c r="K1390" s="89">
        <f>IF(H1390="","",H1390+J1390)</f>
        <v/>
      </c>
      <c r="L1390" s="13">
        <f>IF(B1390="","",YEAR(B1390))</f>
        <v/>
      </c>
      <c r="M1390" s="13">
        <f>IF(B1390="","",MONTH(B1390))</f>
        <v/>
      </c>
      <c r="N1390" s="9" t="n"/>
      <c r="O1390" s="9" t="n"/>
      <c r="P1390" s="9" t="n"/>
      <c r="Q1390" s="9" t="n"/>
    </row>
    <row r="1391">
      <c r="A1391" s="9" t="n"/>
      <c r="B1391" s="70" t="n"/>
      <c r="C1391" s="9" t="n"/>
      <c r="D1391" s="9" t="n"/>
      <c r="E1391" s="9" t="n"/>
      <c r="F1391" s="9" t="n"/>
      <c r="G1391" s="9" t="n"/>
      <c r="H1391" s="71" t="n"/>
      <c r="I1391" s="9" t="n"/>
      <c r="J1391" s="89">
        <f>IF(H1391="","",IF(I1391="Sí",ROUND(H1391*Configuracion!$B$11,0),0))</f>
        <v/>
      </c>
      <c r="K1391" s="89">
        <f>IF(H1391="","",H1391+J1391)</f>
        <v/>
      </c>
      <c r="L1391" s="13">
        <f>IF(B1391="","",YEAR(B1391))</f>
        <v/>
      </c>
      <c r="M1391" s="13">
        <f>IF(B1391="","",MONTH(B1391))</f>
        <v/>
      </c>
      <c r="N1391" s="9" t="n"/>
      <c r="O1391" s="9" t="n"/>
      <c r="P1391" s="9" t="n"/>
      <c r="Q1391" s="9" t="n"/>
    </row>
    <row r="1392">
      <c r="A1392" s="9" t="n"/>
      <c r="B1392" s="70" t="n"/>
      <c r="C1392" s="9" t="n"/>
      <c r="D1392" s="9" t="n"/>
      <c r="E1392" s="9" t="n"/>
      <c r="F1392" s="9" t="n"/>
      <c r="G1392" s="9" t="n"/>
      <c r="H1392" s="71" t="n"/>
      <c r="I1392" s="9" t="n"/>
      <c r="J1392" s="89">
        <f>IF(H1392="","",IF(I1392="Sí",ROUND(H1392*Configuracion!$B$11,0),0))</f>
        <v/>
      </c>
      <c r="K1392" s="89">
        <f>IF(H1392="","",H1392+J1392)</f>
        <v/>
      </c>
      <c r="L1392" s="13">
        <f>IF(B1392="","",YEAR(B1392))</f>
        <v/>
      </c>
      <c r="M1392" s="13">
        <f>IF(B1392="","",MONTH(B1392))</f>
        <v/>
      </c>
      <c r="N1392" s="9" t="n"/>
      <c r="O1392" s="9" t="n"/>
      <c r="P1392" s="9" t="n"/>
      <c r="Q1392" s="9" t="n"/>
    </row>
    <row r="1393">
      <c r="A1393" s="9" t="n"/>
      <c r="B1393" s="70" t="n"/>
      <c r="C1393" s="9" t="n"/>
      <c r="D1393" s="9" t="n"/>
      <c r="E1393" s="9" t="n"/>
      <c r="F1393" s="9" t="n"/>
      <c r="G1393" s="9" t="n"/>
      <c r="H1393" s="71" t="n"/>
      <c r="I1393" s="9" t="n"/>
      <c r="J1393" s="89">
        <f>IF(H1393="","",IF(I1393="Sí",ROUND(H1393*Configuracion!$B$11,0),0))</f>
        <v/>
      </c>
      <c r="K1393" s="89">
        <f>IF(H1393="","",H1393+J1393)</f>
        <v/>
      </c>
      <c r="L1393" s="13">
        <f>IF(B1393="","",YEAR(B1393))</f>
        <v/>
      </c>
      <c r="M1393" s="13">
        <f>IF(B1393="","",MONTH(B1393))</f>
        <v/>
      </c>
      <c r="N1393" s="9" t="n"/>
      <c r="O1393" s="9" t="n"/>
      <c r="P1393" s="9" t="n"/>
      <c r="Q1393" s="9" t="n"/>
    </row>
    <row r="1394">
      <c r="A1394" s="9" t="n"/>
      <c r="B1394" s="70" t="n"/>
      <c r="C1394" s="9" t="n"/>
      <c r="D1394" s="9" t="n"/>
      <c r="E1394" s="9" t="n"/>
      <c r="F1394" s="9" t="n"/>
      <c r="G1394" s="9" t="n"/>
      <c r="H1394" s="71" t="n"/>
      <c r="I1394" s="9" t="n"/>
      <c r="J1394" s="89">
        <f>IF(H1394="","",IF(I1394="Sí",ROUND(H1394*Configuracion!$B$11,0),0))</f>
        <v/>
      </c>
      <c r="K1394" s="89">
        <f>IF(H1394="","",H1394+J1394)</f>
        <v/>
      </c>
      <c r="L1394" s="13">
        <f>IF(B1394="","",YEAR(B1394))</f>
        <v/>
      </c>
      <c r="M1394" s="13">
        <f>IF(B1394="","",MONTH(B1394))</f>
        <v/>
      </c>
      <c r="N1394" s="9" t="n"/>
      <c r="O1394" s="9" t="n"/>
      <c r="P1394" s="9" t="n"/>
      <c r="Q1394" s="9" t="n"/>
    </row>
    <row r="1395">
      <c r="A1395" s="9" t="n"/>
      <c r="B1395" s="70" t="n"/>
      <c r="C1395" s="9" t="n"/>
      <c r="D1395" s="9" t="n"/>
      <c r="E1395" s="9" t="n"/>
      <c r="F1395" s="9" t="n"/>
      <c r="G1395" s="9" t="n"/>
      <c r="H1395" s="71" t="n"/>
      <c r="I1395" s="9" t="n"/>
      <c r="J1395" s="89">
        <f>IF(H1395="","",IF(I1395="Sí",ROUND(H1395*Configuracion!$B$11,0),0))</f>
        <v/>
      </c>
      <c r="K1395" s="89">
        <f>IF(H1395="","",H1395+J1395)</f>
        <v/>
      </c>
      <c r="L1395" s="13">
        <f>IF(B1395="","",YEAR(B1395))</f>
        <v/>
      </c>
      <c r="M1395" s="13">
        <f>IF(B1395="","",MONTH(B1395))</f>
        <v/>
      </c>
      <c r="N1395" s="9" t="n"/>
      <c r="O1395" s="9" t="n"/>
      <c r="P1395" s="9" t="n"/>
      <c r="Q1395" s="9" t="n"/>
    </row>
    <row r="1396">
      <c r="A1396" s="9" t="n"/>
      <c r="B1396" s="70" t="n"/>
      <c r="C1396" s="9" t="n"/>
      <c r="D1396" s="9" t="n"/>
      <c r="E1396" s="9" t="n"/>
      <c r="F1396" s="9" t="n"/>
      <c r="G1396" s="9" t="n"/>
      <c r="H1396" s="71" t="n"/>
      <c r="I1396" s="9" t="n"/>
      <c r="J1396" s="89">
        <f>IF(H1396="","",IF(I1396="Sí",ROUND(H1396*Configuracion!$B$11,0),0))</f>
        <v/>
      </c>
      <c r="K1396" s="89">
        <f>IF(H1396="","",H1396+J1396)</f>
        <v/>
      </c>
      <c r="L1396" s="13">
        <f>IF(B1396="","",YEAR(B1396))</f>
        <v/>
      </c>
      <c r="M1396" s="13">
        <f>IF(B1396="","",MONTH(B1396))</f>
        <v/>
      </c>
      <c r="N1396" s="9" t="n"/>
      <c r="O1396" s="9" t="n"/>
      <c r="P1396" s="9" t="n"/>
      <c r="Q1396" s="9" t="n"/>
    </row>
    <row r="1397">
      <c r="A1397" s="9" t="n"/>
      <c r="B1397" s="70" t="n"/>
      <c r="C1397" s="9" t="n"/>
      <c r="D1397" s="9" t="n"/>
      <c r="E1397" s="9" t="n"/>
      <c r="F1397" s="9" t="n"/>
      <c r="G1397" s="9" t="n"/>
      <c r="H1397" s="71" t="n"/>
      <c r="I1397" s="9" t="n"/>
      <c r="J1397" s="89">
        <f>IF(H1397="","",IF(I1397="Sí",ROUND(H1397*Configuracion!$B$11,0),0))</f>
        <v/>
      </c>
      <c r="K1397" s="89">
        <f>IF(H1397="","",H1397+J1397)</f>
        <v/>
      </c>
      <c r="L1397" s="13">
        <f>IF(B1397="","",YEAR(B1397))</f>
        <v/>
      </c>
      <c r="M1397" s="13">
        <f>IF(B1397="","",MONTH(B1397))</f>
        <v/>
      </c>
      <c r="N1397" s="9" t="n"/>
      <c r="O1397" s="9" t="n"/>
      <c r="P1397" s="9" t="n"/>
      <c r="Q1397" s="9" t="n"/>
    </row>
    <row r="1398">
      <c r="A1398" s="9" t="n"/>
      <c r="B1398" s="70" t="n"/>
      <c r="C1398" s="9" t="n"/>
      <c r="D1398" s="9" t="n"/>
      <c r="E1398" s="9" t="n"/>
      <c r="F1398" s="9" t="n"/>
      <c r="G1398" s="9" t="n"/>
      <c r="H1398" s="71" t="n"/>
      <c r="I1398" s="9" t="n"/>
      <c r="J1398" s="89">
        <f>IF(H1398="","",IF(I1398="Sí",ROUND(H1398*Configuracion!$B$11,0),0))</f>
        <v/>
      </c>
      <c r="K1398" s="89">
        <f>IF(H1398="","",H1398+J1398)</f>
        <v/>
      </c>
      <c r="L1398" s="13">
        <f>IF(B1398="","",YEAR(B1398))</f>
        <v/>
      </c>
      <c r="M1398" s="13">
        <f>IF(B1398="","",MONTH(B1398))</f>
        <v/>
      </c>
      <c r="N1398" s="9" t="n"/>
      <c r="O1398" s="9" t="n"/>
      <c r="P1398" s="9" t="n"/>
      <c r="Q1398" s="9" t="n"/>
    </row>
    <row r="1399">
      <c r="A1399" s="9" t="n"/>
      <c r="B1399" s="70" t="n"/>
      <c r="C1399" s="9" t="n"/>
      <c r="D1399" s="9" t="n"/>
      <c r="E1399" s="9" t="n"/>
      <c r="F1399" s="9" t="n"/>
      <c r="G1399" s="9" t="n"/>
      <c r="H1399" s="71" t="n"/>
      <c r="I1399" s="9" t="n"/>
      <c r="J1399" s="89">
        <f>IF(H1399="","",IF(I1399="Sí",ROUND(H1399*Configuracion!$B$11,0),0))</f>
        <v/>
      </c>
      <c r="K1399" s="89">
        <f>IF(H1399="","",H1399+J1399)</f>
        <v/>
      </c>
      <c r="L1399" s="13">
        <f>IF(B1399="","",YEAR(B1399))</f>
        <v/>
      </c>
      <c r="M1399" s="13">
        <f>IF(B1399="","",MONTH(B1399))</f>
        <v/>
      </c>
      <c r="N1399" s="9" t="n"/>
      <c r="O1399" s="9" t="n"/>
      <c r="P1399" s="9" t="n"/>
      <c r="Q1399" s="9" t="n"/>
    </row>
    <row r="1400">
      <c r="A1400" s="9" t="n"/>
      <c r="B1400" s="70" t="n"/>
      <c r="C1400" s="9" t="n"/>
      <c r="D1400" s="9" t="n"/>
      <c r="E1400" s="9" t="n"/>
      <c r="F1400" s="9" t="n"/>
      <c r="G1400" s="9" t="n"/>
      <c r="H1400" s="71" t="n"/>
      <c r="I1400" s="9" t="n"/>
      <c r="J1400" s="89">
        <f>IF(H1400="","",IF(I1400="Sí",ROUND(H1400*Configuracion!$B$11,0),0))</f>
        <v/>
      </c>
      <c r="K1400" s="89">
        <f>IF(H1400="","",H1400+J1400)</f>
        <v/>
      </c>
      <c r="L1400" s="13">
        <f>IF(B1400="","",YEAR(B1400))</f>
        <v/>
      </c>
      <c r="M1400" s="13">
        <f>IF(B1400="","",MONTH(B1400))</f>
        <v/>
      </c>
      <c r="N1400" s="9" t="n"/>
      <c r="O1400" s="9" t="n"/>
      <c r="P1400" s="9" t="n"/>
      <c r="Q1400" s="9" t="n"/>
    </row>
    <row r="1401">
      <c r="A1401" s="9" t="n"/>
      <c r="B1401" s="70" t="n"/>
      <c r="C1401" s="9" t="n"/>
      <c r="D1401" s="9" t="n"/>
      <c r="E1401" s="9" t="n"/>
      <c r="F1401" s="9" t="n"/>
      <c r="G1401" s="9" t="n"/>
      <c r="H1401" s="71" t="n"/>
      <c r="I1401" s="9" t="n"/>
      <c r="J1401" s="89">
        <f>IF(H1401="","",IF(I1401="Sí",ROUND(H1401*Configuracion!$B$11,0),0))</f>
        <v/>
      </c>
      <c r="K1401" s="89">
        <f>IF(H1401="","",H1401+J1401)</f>
        <v/>
      </c>
      <c r="L1401" s="13">
        <f>IF(B1401="","",YEAR(B1401))</f>
        <v/>
      </c>
      <c r="M1401" s="13">
        <f>IF(B1401="","",MONTH(B1401))</f>
        <v/>
      </c>
      <c r="N1401" s="9" t="n"/>
      <c r="O1401" s="9" t="n"/>
      <c r="P1401" s="9" t="n"/>
      <c r="Q1401" s="9" t="n"/>
    </row>
    <row r="1402">
      <c r="A1402" s="9" t="n"/>
      <c r="B1402" s="70" t="n"/>
      <c r="C1402" s="9" t="n"/>
      <c r="D1402" s="9" t="n"/>
      <c r="E1402" s="9" t="n"/>
      <c r="F1402" s="9" t="n"/>
      <c r="G1402" s="9" t="n"/>
      <c r="H1402" s="71" t="n"/>
      <c r="I1402" s="9" t="n"/>
      <c r="J1402" s="89">
        <f>IF(H1402="","",IF(I1402="Sí",ROUND(H1402*Configuracion!$B$11,0),0))</f>
        <v/>
      </c>
      <c r="K1402" s="89">
        <f>IF(H1402="","",H1402+J1402)</f>
        <v/>
      </c>
      <c r="L1402" s="13">
        <f>IF(B1402="","",YEAR(B1402))</f>
        <v/>
      </c>
      <c r="M1402" s="13">
        <f>IF(B1402="","",MONTH(B1402))</f>
        <v/>
      </c>
      <c r="N1402" s="9" t="n"/>
      <c r="O1402" s="9" t="n"/>
      <c r="P1402" s="9" t="n"/>
      <c r="Q1402" s="9" t="n"/>
    </row>
    <row r="1403">
      <c r="A1403" s="9" t="n"/>
      <c r="B1403" s="70" t="n"/>
      <c r="C1403" s="9" t="n"/>
      <c r="D1403" s="9" t="n"/>
      <c r="E1403" s="9" t="n"/>
      <c r="F1403" s="9" t="n"/>
      <c r="G1403" s="9" t="n"/>
      <c r="H1403" s="71" t="n"/>
      <c r="I1403" s="9" t="n"/>
      <c r="J1403" s="89">
        <f>IF(H1403="","",IF(I1403="Sí",ROUND(H1403*Configuracion!$B$11,0),0))</f>
        <v/>
      </c>
      <c r="K1403" s="89">
        <f>IF(H1403="","",H1403+J1403)</f>
        <v/>
      </c>
      <c r="L1403" s="13">
        <f>IF(B1403="","",YEAR(B1403))</f>
        <v/>
      </c>
      <c r="M1403" s="13">
        <f>IF(B1403="","",MONTH(B1403))</f>
        <v/>
      </c>
      <c r="N1403" s="9" t="n"/>
      <c r="O1403" s="9" t="n"/>
      <c r="P1403" s="9" t="n"/>
      <c r="Q1403" s="9" t="n"/>
    </row>
    <row r="1404">
      <c r="A1404" s="9" t="n"/>
      <c r="B1404" s="70" t="n"/>
      <c r="C1404" s="9" t="n"/>
      <c r="D1404" s="9" t="n"/>
      <c r="E1404" s="9" t="n"/>
      <c r="F1404" s="9" t="n"/>
      <c r="G1404" s="9" t="n"/>
      <c r="H1404" s="71" t="n"/>
      <c r="I1404" s="9" t="n"/>
      <c r="J1404" s="89">
        <f>IF(H1404="","",IF(I1404="Sí",ROUND(H1404*Configuracion!$B$11,0),0))</f>
        <v/>
      </c>
      <c r="K1404" s="89">
        <f>IF(H1404="","",H1404+J1404)</f>
        <v/>
      </c>
      <c r="L1404" s="13">
        <f>IF(B1404="","",YEAR(B1404))</f>
        <v/>
      </c>
      <c r="M1404" s="13">
        <f>IF(B1404="","",MONTH(B1404))</f>
        <v/>
      </c>
      <c r="N1404" s="9" t="n"/>
      <c r="O1404" s="9" t="n"/>
      <c r="P1404" s="9" t="n"/>
      <c r="Q1404" s="9" t="n"/>
    </row>
    <row r="1405">
      <c r="A1405" s="9" t="n"/>
      <c r="B1405" s="70" t="n"/>
      <c r="C1405" s="9" t="n"/>
      <c r="D1405" s="9" t="n"/>
      <c r="E1405" s="9" t="n"/>
      <c r="F1405" s="9" t="n"/>
      <c r="G1405" s="9" t="n"/>
      <c r="H1405" s="71" t="n"/>
      <c r="I1405" s="9" t="n"/>
      <c r="J1405" s="89">
        <f>IF(H1405="","",IF(I1405="Sí",ROUND(H1405*Configuracion!$B$11,0),0))</f>
        <v/>
      </c>
      <c r="K1405" s="89">
        <f>IF(H1405="","",H1405+J1405)</f>
        <v/>
      </c>
      <c r="L1405" s="13">
        <f>IF(B1405="","",YEAR(B1405))</f>
        <v/>
      </c>
      <c r="M1405" s="13">
        <f>IF(B1405="","",MONTH(B1405))</f>
        <v/>
      </c>
      <c r="N1405" s="9" t="n"/>
      <c r="O1405" s="9" t="n"/>
      <c r="P1405" s="9" t="n"/>
      <c r="Q1405" s="9" t="n"/>
    </row>
    <row r="1406">
      <c r="A1406" s="9" t="n"/>
      <c r="B1406" s="70" t="n"/>
      <c r="C1406" s="9" t="n"/>
      <c r="D1406" s="9" t="n"/>
      <c r="E1406" s="9" t="n"/>
      <c r="F1406" s="9" t="n"/>
      <c r="G1406" s="9" t="n"/>
      <c r="H1406" s="71" t="n"/>
      <c r="I1406" s="9" t="n"/>
      <c r="J1406" s="89">
        <f>IF(H1406="","",IF(I1406="Sí",ROUND(H1406*Configuracion!$B$11,0),0))</f>
        <v/>
      </c>
      <c r="K1406" s="89">
        <f>IF(H1406="","",H1406+J1406)</f>
        <v/>
      </c>
      <c r="L1406" s="13">
        <f>IF(B1406="","",YEAR(B1406))</f>
        <v/>
      </c>
      <c r="M1406" s="13">
        <f>IF(B1406="","",MONTH(B1406))</f>
        <v/>
      </c>
      <c r="N1406" s="9" t="n"/>
      <c r="O1406" s="9" t="n"/>
      <c r="P1406" s="9" t="n"/>
      <c r="Q1406" s="9" t="n"/>
    </row>
    <row r="1407">
      <c r="A1407" s="9" t="n"/>
      <c r="B1407" s="70" t="n"/>
      <c r="C1407" s="9" t="n"/>
      <c r="D1407" s="9" t="n"/>
      <c r="E1407" s="9" t="n"/>
      <c r="F1407" s="9" t="n"/>
      <c r="G1407" s="9" t="n"/>
      <c r="H1407" s="71" t="n"/>
      <c r="I1407" s="9" t="n"/>
      <c r="J1407" s="89">
        <f>IF(H1407="","",IF(I1407="Sí",ROUND(H1407*Configuracion!$B$11,0),0))</f>
        <v/>
      </c>
      <c r="K1407" s="89">
        <f>IF(H1407="","",H1407+J1407)</f>
        <v/>
      </c>
      <c r="L1407" s="13">
        <f>IF(B1407="","",YEAR(B1407))</f>
        <v/>
      </c>
      <c r="M1407" s="13">
        <f>IF(B1407="","",MONTH(B1407))</f>
        <v/>
      </c>
      <c r="N1407" s="9" t="n"/>
      <c r="O1407" s="9" t="n"/>
      <c r="P1407" s="9" t="n"/>
      <c r="Q1407" s="9" t="n"/>
    </row>
    <row r="1408">
      <c r="A1408" s="9" t="n"/>
      <c r="B1408" s="70" t="n"/>
      <c r="C1408" s="9" t="n"/>
      <c r="D1408" s="9" t="n"/>
      <c r="E1408" s="9" t="n"/>
      <c r="F1408" s="9" t="n"/>
      <c r="G1408" s="9" t="n"/>
      <c r="H1408" s="71" t="n"/>
      <c r="I1408" s="9" t="n"/>
      <c r="J1408" s="89">
        <f>IF(H1408="","",IF(I1408="Sí",ROUND(H1408*Configuracion!$B$11,0),0))</f>
        <v/>
      </c>
      <c r="K1408" s="89">
        <f>IF(H1408="","",H1408+J1408)</f>
        <v/>
      </c>
      <c r="L1408" s="13">
        <f>IF(B1408="","",YEAR(B1408))</f>
        <v/>
      </c>
      <c r="M1408" s="13">
        <f>IF(B1408="","",MONTH(B1408))</f>
        <v/>
      </c>
      <c r="N1408" s="9" t="n"/>
      <c r="O1408" s="9" t="n"/>
      <c r="P1408" s="9" t="n"/>
      <c r="Q1408" s="9" t="n"/>
    </row>
    <row r="1409">
      <c r="A1409" s="9" t="n"/>
      <c r="B1409" s="70" t="n"/>
      <c r="C1409" s="9" t="n"/>
      <c r="D1409" s="9" t="n"/>
      <c r="E1409" s="9" t="n"/>
      <c r="F1409" s="9" t="n"/>
      <c r="G1409" s="9" t="n"/>
      <c r="H1409" s="71" t="n"/>
      <c r="I1409" s="9" t="n"/>
      <c r="J1409" s="89">
        <f>IF(H1409="","",IF(I1409="Sí",ROUND(H1409*Configuracion!$B$11,0),0))</f>
        <v/>
      </c>
      <c r="K1409" s="89">
        <f>IF(H1409="","",H1409+J1409)</f>
        <v/>
      </c>
      <c r="L1409" s="13">
        <f>IF(B1409="","",YEAR(B1409))</f>
        <v/>
      </c>
      <c r="M1409" s="13">
        <f>IF(B1409="","",MONTH(B1409))</f>
        <v/>
      </c>
      <c r="N1409" s="9" t="n"/>
      <c r="O1409" s="9" t="n"/>
      <c r="P1409" s="9" t="n"/>
      <c r="Q1409" s="9" t="n"/>
    </row>
    <row r="1410">
      <c r="A1410" s="9" t="n"/>
      <c r="B1410" s="70" t="n"/>
      <c r="C1410" s="9" t="n"/>
      <c r="D1410" s="9" t="n"/>
      <c r="E1410" s="9" t="n"/>
      <c r="F1410" s="9" t="n"/>
      <c r="G1410" s="9" t="n"/>
      <c r="H1410" s="71" t="n"/>
      <c r="I1410" s="9" t="n"/>
      <c r="J1410" s="89">
        <f>IF(H1410="","",IF(I1410="Sí",ROUND(H1410*Configuracion!$B$11,0),0))</f>
        <v/>
      </c>
      <c r="K1410" s="89">
        <f>IF(H1410="","",H1410+J1410)</f>
        <v/>
      </c>
      <c r="L1410" s="13">
        <f>IF(B1410="","",YEAR(B1410))</f>
        <v/>
      </c>
      <c r="M1410" s="13">
        <f>IF(B1410="","",MONTH(B1410))</f>
        <v/>
      </c>
      <c r="N1410" s="9" t="n"/>
      <c r="O1410" s="9" t="n"/>
      <c r="P1410" s="9" t="n"/>
      <c r="Q1410" s="9" t="n"/>
    </row>
    <row r="1411">
      <c r="A1411" s="9" t="n"/>
      <c r="B1411" s="70" t="n"/>
      <c r="C1411" s="9" t="n"/>
      <c r="D1411" s="9" t="n"/>
      <c r="E1411" s="9" t="n"/>
      <c r="F1411" s="9" t="n"/>
      <c r="G1411" s="9" t="n"/>
      <c r="H1411" s="71" t="n"/>
      <c r="I1411" s="9" t="n"/>
      <c r="J1411" s="89">
        <f>IF(H1411="","",IF(I1411="Sí",ROUND(H1411*Configuracion!$B$11,0),0))</f>
        <v/>
      </c>
      <c r="K1411" s="89">
        <f>IF(H1411="","",H1411+J1411)</f>
        <v/>
      </c>
      <c r="L1411" s="13">
        <f>IF(B1411="","",YEAR(B1411))</f>
        <v/>
      </c>
      <c r="M1411" s="13">
        <f>IF(B1411="","",MONTH(B1411))</f>
        <v/>
      </c>
      <c r="N1411" s="9" t="n"/>
      <c r="O1411" s="9" t="n"/>
      <c r="P1411" s="9" t="n"/>
      <c r="Q1411" s="9" t="n"/>
    </row>
    <row r="1412">
      <c r="A1412" s="9" t="n"/>
      <c r="B1412" s="70" t="n"/>
      <c r="C1412" s="9" t="n"/>
      <c r="D1412" s="9" t="n"/>
      <c r="E1412" s="9" t="n"/>
      <c r="F1412" s="9" t="n"/>
      <c r="G1412" s="9" t="n"/>
      <c r="H1412" s="71" t="n"/>
      <c r="I1412" s="9" t="n"/>
      <c r="J1412" s="89">
        <f>IF(H1412="","",IF(I1412="Sí",ROUND(H1412*Configuracion!$B$11,0),0))</f>
        <v/>
      </c>
      <c r="K1412" s="89">
        <f>IF(H1412="","",H1412+J1412)</f>
        <v/>
      </c>
      <c r="L1412" s="13">
        <f>IF(B1412="","",YEAR(B1412))</f>
        <v/>
      </c>
      <c r="M1412" s="13">
        <f>IF(B1412="","",MONTH(B1412))</f>
        <v/>
      </c>
      <c r="N1412" s="9" t="n"/>
      <c r="O1412" s="9" t="n"/>
      <c r="P1412" s="9" t="n"/>
      <c r="Q1412" s="9" t="n"/>
    </row>
    <row r="1413">
      <c r="A1413" s="9" t="n"/>
      <c r="B1413" s="70" t="n"/>
      <c r="C1413" s="9" t="n"/>
      <c r="D1413" s="9" t="n"/>
      <c r="E1413" s="9" t="n"/>
      <c r="F1413" s="9" t="n"/>
      <c r="G1413" s="9" t="n"/>
      <c r="H1413" s="71" t="n"/>
      <c r="I1413" s="9" t="n"/>
      <c r="J1413" s="89">
        <f>IF(H1413="","",IF(I1413="Sí",ROUND(H1413*Configuracion!$B$11,0),0))</f>
        <v/>
      </c>
      <c r="K1413" s="89">
        <f>IF(H1413="","",H1413+J1413)</f>
        <v/>
      </c>
      <c r="L1413" s="13">
        <f>IF(B1413="","",YEAR(B1413))</f>
        <v/>
      </c>
      <c r="M1413" s="13">
        <f>IF(B1413="","",MONTH(B1413))</f>
        <v/>
      </c>
      <c r="N1413" s="9" t="n"/>
      <c r="O1413" s="9" t="n"/>
      <c r="P1413" s="9" t="n"/>
      <c r="Q1413" s="9" t="n"/>
    </row>
    <row r="1414">
      <c r="A1414" s="9" t="n"/>
      <c r="B1414" s="70" t="n"/>
      <c r="C1414" s="9" t="n"/>
      <c r="D1414" s="9" t="n"/>
      <c r="E1414" s="9" t="n"/>
      <c r="F1414" s="9" t="n"/>
      <c r="G1414" s="9" t="n"/>
      <c r="H1414" s="71" t="n"/>
      <c r="I1414" s="9" t="n"/>
      <c r="J1414" s="89">
        <f>IF(H1414="","",IF(I1414="Sí",ROUND(H1414*Configuracion!$B$11,0),0))</f>
        <v/>
      </c>
      <c r="K1414" s="89">
        <f>IF(H1414="","",H1414+J1414)</f>
        <v/>
      </c>
      <c r="L1414" s="13">
        <f>IF(B1414="","",YEAR(B1414))</f>
        <v/>
      </c>
      <c r="M1414" s="13">
        <f>IF(B1414="","",MONTH(B1414))</f>
        <v/>
      </c>
      <c r="N1414" s="9" t="n"/>
      <c r="O1414" s="9" t="n"/>
      <c r="P1414" s="9" t="n"/>
      <c r="Q1414" s="9" t="n"/>
    </row>
    <row r="1415">
      <c r="A1415" s="9" t="n"/>
      <c r="B1415" s="70" t="n"/>
      <c r="C1415" s="9" t="n"/>
      <c r="D1415" s="9" t="n"/>
      <c r="E1415" s="9" t="n"/>
      <c r="F1415" s="9" t="n"/>
      <c r="G1415" s="9" t="n"/>
      <c r="H1415" s="71" t="n"/>
      <c r="I1415" s="9" t="n"/>
      <c r="J1415" s="89">
        <f>IF(H1415="","",IF(I1415="Sí",ROUND(H1415*Configuracion!$B$11,0),0))</f>
        <v/>
      </c>
      <c r="K1415" s="89">
        <f>IF(H1415="","",H1415+J1415)</f>
        <v/>
      </c>
      <c r="L1415" s="13">
        <f>IF(B1415="","",YEAR(B1415))</f>
        <v/>
      </c>
      <c r="M1415" s="13">
        <f>IF(B1415="","",MONTH(B1415))</f>
        <v/>
      </c>
      <c r="N1415" s="9" t="n"/>
      <c r="O1415" s="9" t="n"/>
      <c r="P1415" s="9" t="n"/>
      <c r="Q1415" s="9" t="n"/>
    </row>
    <row r="1416">
      <c r="A1416" s="9" t="n"/>
      <c r="B1416" s="70" t="n"/>
      <c r="C1416" s="9" t="n"/>
      <c r="D1416" s="9" t="n"/>
      <c r="E1416" s="9" t="n"/>
      <c r="F1416" s="9" t="n"/>
      <c r="G1416" s="9" t="n"/>
      <c r="H1416" s="71" t="n"/>
      <c r="I1416" s="9" t="n"/>
      <c r="J1416" s="89">
        <f>IF(H1416="","",IF(I1416="Sí",ROUND(H1416*Configuracion!$B$11,0),0))</f>
        <v/>
      </c>
      <c r="K1416" s="89">
        <f>IF(H1416="","",H1416+J1416)</f>
        <v/>
      </c>
      <c r="L1416" s="13">
        <f>IF(B1416="","",YEAR(B1416))</f>
        <v/>
      </c>
      <c r="M1416" s="13">
        <f>IF(B1416="","",MONTH(B1416))</f>
        <v/>
      </c>
      <c r="N1416" s="9" t="n"/>
      <c r="O1416" s="9" t="n"/>
      <c r="P1416" s="9" t="n"/>
      <c r="Q1416" s="9" t="n"/>
    </row>
    <row r="1417">
      <c r="A1417" s="9" t="n"/>
      <c r="B1417" s="70" t="n"/>
      <c r="C1417" s="9" t="n"/>
      <c r="D1417" s="9" t="n"/>
      <c r="E1417" s="9" t="n"/>
      <c r="F1417" s="9" t="n"/>
      <c r="G1417" s="9" t="n"/>
      <c r="H1417" s="71" t="n"/>
      <c r="I1417" s="9" t="n"/>
      <c r="J1417" s="89">
        <f>IF(H1417="","",IF(I1417="Sí",ROUND(H1417*Configuracion!$B$11,0),0))</f>
        <v/>
      </c>
      <c r="K1417" s="89">
        <f>IF(H1417="","",H1417+J1417)</f>
        <v/>
      </c>
      <c r="L1417" s="13">
        <f>IF(B1417="","",YEAR(B1417))</f>
        <v/>
      </c>
      <c r="M1417" s="13">
        <f>IF(B1417="","",MONTH(B1417))</f>
        <v/>
      </c>
      <c r="N1417" s="9" t="n"/>
      <c r="O1417" s="9" t="n"/>
      <c r="P1417" s="9" t="n"/>
      <c r="Q1417" s="9" t="n"/>
    </row>
    <row r="1418">
      <c r="A1418" s="9" t="n"/>
      <c r="B1418" s="70" t="n"/>
      <c r="C1418" s="9" t="n"/>
      <c r="D1418" s="9" t="n"/>
      <c r="E1418" s="9" t="n"/>
      <c r="F1418" s="9" t="n"/>
      <c r="G1418" s="9" t="n"/>
      <c r="H1418" s="71" t="n"/>
      <c r="I1418" s="9" t="n"/>
      <c r="J1418" s="89">
        <f>IF(H1418="","",IF(I1418="Sí",ROUND(H1418*Configuracion!$B$11,0),0))</f>
        <v/>
      </c>
      <c r="K1418" s="89">
        <f>IF(H1418="","",H1418+J1418)</f>
        <v/>
      </c>
      <c r="L1418" s="13">
        <f>IF(B1418="","",YEAR(B1418))</f>
        <v/>
      </c>
      <c r="M1418" s="13">
        <f>IF(B1418="","",MONTH(B1418))</f>
        <v/>
      </c>
      <c r="N1418" s="9" t="n"/>
      <c r="O1418" s="9" t="n"/>
      <c r="P1418" s="9" t="n"/>
      <c r="Q1418" s="9" t="n"/>
    </row>
    <row r="1419">
      <c r="A1419" s="9" t="n"/>
      <c r="B1419" s="70" t="n"/>
      <c r="C1419" s="9" t="n"/>
      <c r="D1419" s="9" t="n"/>
      <c r="E1419" s="9" t="n"/>
      <c r="F1419" s="9" t="n"/>
      <c r="G1419" s="9" t="n"/>
      <c r="H1419" s="71" t="n"/>
      <c r="I1419" s="9" t="n"/>
      <c r="J1419" s="89">
        <f>IF(H1419="","",IF(I1419="Sí",ROUND(H1419*Configuracion!$B$11,0),0))</f>
        <v/>
      </c>
      <c r="K1419" s="89">
        <f>IF(H1419="","",H1419+J1419)</f>
        <v/>
      </c>
      <c r="L1419" s="13">
        <f>IF(B1419="","",YEAR(B1419))</f>
        <v/>
      </c>
      <c r="M1419" s="13">
        <f>IF(B1419="","",MONTH(B1419))</f>
        <v/>
      </c>
      <c r="N1419" s="9" t="n"/>
      <c r="O1419" s="9" t="n"/>
      <c r="P1419" s="9" t="n"/>
      <c r="Q1419" s="9" t="n"/>
    </row>
    <row r="1420">
      <c r="A1420" s="9" t="n"/>
      <c r="B1420" s="70" t="n"/>
      <c r="C1420" s="9" t="n"/>
      <c r="D1420" s="9" t="n"/>
      <c r="E1420" s="9" t="n"/>
      <c r="F1420" s="9" t="n"/>
      <c r="G1420" s="9" t="n"/>
      <c r="H1420" s="71" t="n"/>
      <c r="I1420" s="9" t="n"/>
      <c r="J1420" s="89">
        <f>IF(H1420="","",IF(I1420="Sí",ROUND(H1420*Configuracion!$B$11,0),0))</f>
        <v/>
      </c>
      <c r="K1420" s="89">
        <f>IF(H1420="","",H1420+J1420)</f>
        <v/>
      </c>
      <c r="L1420" s="13">
        <f>IF(B1420="","",YEAR(B1420))</f>
        <v/>
      </c>
      <c r="M1420" s="13">
        <f>IF(B1420="","",MONTH(B1420))</f>
        <v/>
      </c>
      <c r="N1420" s="9" t="n"/>
      <c r="O1420" s="9" t="n"/>
      <c r="P1420" s="9" t="n"/>
      <c r="Q1420" s="9" t="n"/>
    </row>
    <row r="1421">
      <c r="A1421" s="9" t="n"/>
      <c r="B1421" s="70" t="n"/>
      <c r="C1421" s="9" t="n"/>
      <c r="D1421" s="9" t="n"/>
      <c r="E1421" s="9" t="n"/>
      <c r="F1421" s="9" t="n"/>
      <c r="G1421" s="9" t="n"/>
      <c r="H1421" s="71" t="n"/>
      <c r="I1421" s="9" t="n"/>
      <c r="J1421" s="89">
        <f>IF(H1421="","",IF(I1421="Sí",ROUND(H1421*Configuracion!$B$11,0),0))</f>
        <v/>
      </c>
      <c r="K1421" s="89">
        <f>IF(H1421="","",H1421+J1421)</f>
        <v/>
      </c>
      <c r="L1421" s="13">
        <f>IF(B1421="","",YEAR(B1421))</f>
        <v/>
      </c>
      <c r="M1421" s="13">
        <f>IF(B1421="","",MONTH(B1421))</f>
        <v/>
      </c>
      <c r="N1421" s="9" t="n"/>
      <c r="O1421" s="9" t="n"/>
      <c r="P1421" s="9" t="n"/>
      <c r="Q1421" s="9" t="n"/>
    </row>
    <row r="1422">
      <c r="A1422" s="9" t="n"/>
      <c r="B1422" s="70" t="n"/>
      <c r="C1422" s="9" t="n"/>
      <c r="D1422" s="9" t="n"/>
      <c r="E1422" s="9" t="n"/>
      <c r="F1422" s="9" t="n"/>
      <c r="G1422" s="9" t="n"/>
      <c r="H1422" s="71" t="n"/>
      <c r="I1422" s="9" t="n"/>
      <c r="J1422" s="89">
        <f>IF(H1422="","",IF(I1422="Sí",ROUND(H1422*Configuracion!$B$11,0),0))</f>
        <v/>
      </c>
      <c r="K1422" s="89">
        <f>IF(H1422="","",H1422+J1422)</f>
        <v/>
      </c>
      <c r="L1422" s="13">
        <f>IF(B1422="","",YEAR(B1422))</f>
        <v/>
      </c>
      <c r="M1422" s="13">
        <f>IF(B1422="","",MONTH(B1422))</f>
        <v/>
      </c>
      <c r="N1422" s="9" t="n"/>
      <c r="O1422" s="9" t="n"/>
      <c r="P1422" s="9" t="n"/>
      <c r="Q1422" s="9" t="n"/>
    </row>
    <row r="1423">
      <c r="A1423" s="9" t="n"/>
      <c r="B1423" s="70" t="n"/>
      <c r="C1423" s="9" t="n"/>
      <c r="D1423" s="9" t="n"/>
      <c r="E1423" s="9" t="n"/>
      <c r="F1423" s="9" t="n"/>
      <c r="G1423" s="9" t="n"/>
      <c r="H1423" s="71" t="n"/>
      <c r="I1423" s="9" t="n"/>
      <c r="J1423" s="89">
        <f>IF(H1423="","",IF(I1423="Sí",ROUND(H1423*Configuracion!$B$11,0),0))</f>
        <v/>
      </c>
      <c r="K1423" s="89">
        <f>IF(H1423="","",H1423+J1423)</f>
        <v/>
      </c>
      <c r="L1423" s="13">
        <f>IF(B1423="","",YEAR(B1423))</f>
        <v/>
      </c>
      <c r="M1423" s="13">
        <f>IF(B1423="","",MONTH(B1423))</f>
        <v/>
      </c>
      <c r="N1423" s="9" t="n"/>
      <c r="O1423" s="9" t="n"/>
      <c r="P1423" s="9" t="n"/>
      <c r="Q1423" s="9" t="n"/>
    </row>
    <row r="1424">
      <c r="A1424" s="9" t="n"/>
      <c r="B1424" s="70" t="n"/>
      <c r="C1424" s="9" t="n"/>
      <c r="D1424" s="9" t="n"/>
      <c r="E1424" s="9" t="n"/>
      <c r="F1424" s="9" t="n"/>
      <c r="G1424" s="9" t="n"/>
      <c r="H1424" s="71" t="n"/>
      <c r="I1424" s="9" t="n"/>
      <c r="J1424" s="89">
        <f>IF(H1424="","",IF(I1424="Sí",ROUND(H1424*Configuracion!$B$11,0),0))</f>
        <v/>
      </c>
      <c r="K1424" s="89">
        <f>IF(H1424="","",H1424+J1424)</f>
        <v/>
      </c>
      <c r="L1424" s="13">
        <f>IF(B1424="","",YEAR(B1424))</f>
        <v/>
      </c>
      <c r="M1424" s="13">
        <f>IF(B1424="","",MONTH(B1424))</f>
        <v/>
      </c>
      <c r="N1424" s="9" t="n"/>
      <c r="O1424" s="9" t="n"/>
      <c r="P1424" s="9" t="n"/>
      <c r="Q1424" s="9" t="n"/>
    </row>
    <row r="1425">
      <c r="A1425" s="9" t="n"/>
      <c r="B1425" s="70" t="n"/>
      <c r="C1425" s="9" t="n"/>
      <c r="D1425" s="9" t="n"/>
      <c r="E1425" s="9" t="n"/>
      <c r="F1425" s="9" t="n"/>
      <c r="G1425" s="9" t="n"/>
      <c r="H1425" s="71" t="n"/>
      <c r="I1425" s="9" t="n"/>
      <c r="J1425" s="89">
        <f>IF(H1425="","",IF(I1425="Sí",ROUND(H1425*Configuracion!$B$11,0),0))</f>
        <v/>
      </c>
      <c r="K1425" s="89">
        <f>IF(H1425="","",H1425+J1425)</f>
        <v/>
      </c>
      <c r="L1425" s="13">
        <f>IF(B1425="","",YEAR(B1425))</f>
        <v/>
      </c>
      <c r="M1425" s="13">
        <f>IF(B1425="","",MONTH(B1425))</f>
        <v/>
      </c>
      <c r="N1425" s="9" t="n"/>
      <c r="O1425" s="9" t="n"/>
      <c r="P1425" s="9" t="n"/>
      <c r="Q1425" s="9" t="n"/>
    </row>
    <row r="1426">
      <c r="A1426" s="9" t="n"/>
      <c r="B1426" s="70" t="n"/>
      <c r="C1426" s="9" t="n"/>
      <c r="D1426" s="9" t="n"/>
      <c r="E1426" s="9" t="n"/>
      <c r="F1426" s="9" t="n"/>
      <c r="G1426" s="9" t="n"/>
      <c r="H1426" s="71" t="n"/>
      <c r="I1426" s="9" t="n"/>
      <c r="J1426" s="89">
        <f>IF(H1426="","",IF(I1426="Sí",ROUND(H1426*Configuracion!$B$11,0),0))</f>
        <v/>
      </c>
      <c r="K1426" s="89">
        <f>IF(H1426="","",H1426+J1426)</f>
        <v/>
      </c>
      <c r="L1426" s="13">
        <f>IF(B1426="","",YEAR(B1426))</f>
        <v/>
      </c>
      <c r="M1426" s="13">
        <f>IF(B1426="","",MONTH(B1426))</f>
        <v/>
      </c>
      <c r="N1426" s="9" t="n"/>
      <c r="O1426" s="9" t="n"/>
      <c r="P1426" s="9" t="n"/>
      <c r="Q1426" s="9" t="n"/>
    </row>
    <row r="1427">
      <c r="A1427" s="9" t="n"/>
      <c r="B1427" s="70" t="n"/>
      <c r="C1427" s="9" t="n"/>
      <c r="D1427" s="9" t="n"/>
      <c r="E1427" s="9" t="n"/>
      <c r="F1427" s="9" t="n"/>
      <c r="G1427" s="9" t="n"/>
      <c r="H1427" s="71" t="n"/>
      <c r="I1427" s="9" t="n"/>
      <c r="J1427" s="89">
        <f>IF(H1427="","",IF(I1427="Sí",ROUND(H1427*Configuracion!$B$11,0),0))</f>
        <v/>
      </c>
      <c r="K1427" s="89">
        <f>IF(H1427="","",H1427+J1427)</f>
        <v/>
      </c>
      <c r="L1427" s="13">
        <f>IF(B1427="","",YEAR(B1427))</f>
        <v/>
      </c>
      <c r="M1427" s="13">
        <f>IF(B1427="","",MONTH(B1427))</f>
        <v/>
      </c>
      <c r="N1427" s="9" t="n"/>
      <c r="O1427" s="9" t="n"/>
      <c r="P1427" s="9" t="n"/>
      <c r="Q1427" s="9" t="n"/>
    </row>
    <row r="1428">
      <c r="A1428" s="9" t="n"/>
      <c r="B1428" s="70" t="n"/>
      <c r="C1428" s="9" t="n"/>
      <c r="D1428" s="9" t="n"/>
      <c r="E1428" s="9" t="n"/>
      <c r="F1428" s="9" t="n"/>
      <c r="G1428" s="9" t="n"/>
      <c r="H1428" s="71" t="n"/>
      <c r="I1428" s="9" t="n"/>
      <c r="J1428" s="89">
        <f>IF(H1428="","",IF(I1428="Sí",ROUND(H1428*Configuracion!$B$11,0),0))</f>
        <v/>
      </c>
      <c r="K1428" s="89">
        <f>IF(H1428="","",H1428+J1428)</f>
        <v/>
      </c>
      <c r="L1428" s="13">
        <f>IF(B1428="","",YEAR(B1428))</f>
        <v/>
      </c>
      <c r="M1428" s="13">
        <f>IF(B1428="","",MONTH(B1428))</f>
        <v/>
      </c>
      <c r="N1428" s="9" t="n"/>
      <c r="O1428" s="9" t="n"/>
      <c r="P1428" s="9" t="n"/>
      <c r="Q1428" s="9" t="n"/>
    </row>
    <row r="1429">
      <c r="A1429" s="9" t="n"/>
      <c r="B1429" s="70" t="n"/>
      <c r="C1429" s="9" t="n"/>
      <c r="D1429" s="9" t="n"/>
      <c r="E1429" s="9" t="n"/>
      <c r="F1429" s="9" t="n"/>
      <c r="G1429" s="9" t="n"/>
      <c r="H1429" s="71" t="n"/>
      <c r="I1429" s="9" t="n"/>
      <c r="J1429" s="89">
        <f>IF(H1429="","",IF(I1429="Sí",ROUND(H1429*Configuracion!$B$11,0),0))</f>
        <v/>
      </c>
      <c r="K1429" s="89">
        <f>IF(H1429="","",H1429+J1429)</f>
        <v/>
      </c>
      <c r="L1429" s="13">
        <f>IF(B1429="","",YEAR(B1429))</f>
        <v/>
      </c>
      <c r="M1429" s="13">
        <f>IF(B1429="","",MONTH(B1429))</f>
        <v/>
      </c>
      <c r="N1429" s="9" t="n"/>
      <c r="O1429" s="9" t="n"/>
      <c r="P1429" s="9" t="n"/>
      <c r="Q1429" s="9" t="n"/>
    </row>
    <row r="1430">
      <c r="A1430" s="9" t="n"/>
      <c r="B1430" s="70" t="n"/>
      <c r="C1430" s="9" t="n"/>
      <c r="D1430" s="9" t="n"/>
      <c r="E1430" s="9" t="n"/>
      <c r="F1430" s="9" t="n"/>
      <c r="G1430" s="9" t="n"/>
      <c r="H1430" s="71" t="n"/>
      <c r="I1430" s="9" t="n"/>
      <c r="J1430" s="89">
        <f>IF(H1430="","",IF(I1430="Sí",ROUND(H1430*Configuracion!$B$11,0),0))</f>
        <v/>
      </c>
      <c r="K1430" s="89">
        <f>IF(H1430="","",H1430+J1430)</f>
        <v/>
      </c>
      <c r="L1430" s="13">
        <f>IF(B1430="","",YEAR(B1430))</f>
        <v/>
      </c>
      <c r="M1430" s="13">
        <f>IF(B1430="","",MONTH(B1430))</f>
        <v/>
      </c>
      <c r="N1430" s="9" t="n"/>
      <c r="O1430" s="9" t="n"/>
      <c r="P1430" s="9" t="n"/>
      <c r="Q1430" s="9" t="n"/>
    </row>
    <row r="1431">
      <c r="A1431" s="9" t="n"/>
      <c r="B1431" s="70" t="n"/>
      <c r="C1431" s="9" t="n"/>
      <c r="D1431" s="9" t="n"/>
      <c r="E1431" s="9" t="n"/>
      <c r="F1431" s="9" t="n"/>
      <c r="G1431" s="9" t="n"/>
      <c r="H1431" s="71" t="n"/>
      <c r="I1431" s="9" t="n"/>
      <c r="J1431" s="89">
        <f>IF(H1431="","",IF(I1431="Sí",ROUND(H1431*Configuracion!$B$11,0),0))</f>
        <v/>
      </c>
      <c r="K1431" s="89">
        <f>IF(H1431="","",H1431+J1431)</f>
        <v/>
      </c>
      <c r="L1431" s="13">
        <f>IF(B1431="","",YEAR(B1431))</f>
        <v/>
      </c>
      <c r="M1431" s="13">
        <f>IF(B1431="","",MONTH(B1431))</f>
        <v/>
      </c>
      <c r="N1431" s="9" t="n"/>
      <c r="O1431" s="9" t="n"/>
      <c r="P1431" s="9" t="n"/>
      <c r="Q1431" s="9" t="n"/>
    </row>
    <row r="1432">
      <c r="A1432" s="9" t="n"/>
      <c r="B1432" s="70" t="n"/>
      <c r="C1432" s="9" t="n"/>
      <c r="D1432" s="9" t="n"/>
      <c r="E1432" s="9" t="n"/>
      <c r="F1432" s="9" t="n"/>
      <c r="G1432" s="9" t="n"/>
      <c r="H1432" s="71" t="n"/>
      <c r="I1432" s="9" t="n"/>
      <c r="J1432" s="89">
        <f>IF(H1432="","",IF(I1432="Sí",ROUND(H1432*Configuracion!$B$11,0),0))</f>
        <v/>
      </c>
      <c r="K1432" s="89">
        <f>IF(H1432="","",H1432+J1432)</f>
        <v/>
      </c>
      <c r="L1432" s="13">
        <f>IF(B1432="","",YEAR(B1432))</f>
        <v/>
      </c>
      <c r="M1432" s="13">
        <f>IF(B1432="","",MONTH(B1432))</f>
        <v/>
      </c>
      <c r="N1432" s="9" t="n"/>
      <c r="O1432" s="9" t="n"/>
      <c r="P1432" s="9" t="n"/>
      <c r="Q1432" s="9" t="n"/>
    </row>
    <row r="1433">
      <c r="A1433" s="9" t="n"/>
      <c r="B1433" s="70" t="n"/>
      <c r="C1433" s="9" t="n"/>
      <c r="D1433" s="9" t="n"/>
      <c r="E1433" s="9" t="n"/>
      <c r="F1433" s="9" t="n"/>
      <c r="G1433" s="9" t="n"/>
      <c r="H1433" s="71" t="n"/>
      <c r="I1433" s="9" t="n"/>
      <c r="J1433" s="89">
        <f>IF(H1433="","",IF(I1433="Sí",ROUND(H1433*Configuracion!$B$11,0),0))</f>
        <v/>
      </c>
      <c r="K1433" s="89">
        <f>IF(H1433="","",H1433+J1433)</f>
        <v/>
      </c>
      <c r="L1433" s="13">
        <f>IF(B1433="","",YEAR(B1433))</f>
        <v/>
      </c>
      <c r="M1433" s="13">
        <f>IF(B1433="","",MONTH(B1433))</f>
        <v/>
      </c>
      <c r="N1433" s="9" t="n"/>
      <c r="O1433" s="9" t="n"/>
      <c r="P1433" s="9" t="n"/>
      <c r="Q1433" s="9" t="n"/>
    </row>
    <row r="1434">
      <c r="A1434" s="9" t="n"/>
      <c r="B1434" s="70" t="n"/>
      <c r="C1434" s="9" t="n"/>
      <c r="D1434" s="9" t="n"/>
      <c r="E1434" s="9" t="n"/>
      <c r="F1434" s="9" t="n"/>
      <c r="G1434" s="9" t="n"/>
      <c r="H1434" s="71" t="n"/>
      <c r="I1434" s="9" t="n"/>
      <c r="J1434" s="89">
        <f>IF(H1434="","",IF(I1434="Sí",ROUND(H1434*Configuracion!$B$11,0),0))</f>
        <v/>
      </c>
      <c r="K1434" s="89">
        <f>IF(H1434="","",H1434+J1434)</f>
        <v/>
      </c>
      <c r="L1434" s="13">
        <f>IF(B1434="","",YEAR(B1434))</f>
        <v/>
      </c>
      <c r="M1434" s="13">
        <f>IF(B1434="","",MONTH(B1434))</f>
        <v/>
      </c>
      <c r="N1434" s="9" t="n"/>
      <c r="O1434" s="9" t="n"/>
      <c r="P1434" s="9" t="n"/>
      <c r="Q1434" s="9" t="n"/>
    </row>
    <row r="1435">
      <c r="A1435" s="9" t="n"/>
      <c r="B1435" s="70" t="n"/>
      <c r="C1435" s="9" t="n"/>
      <c r="D1435" s="9" t="n"/>
      <c r="E1435" s="9" t="n"/>
      <c r="F1435" s="9" t="n"/>
      <c r="G1435" s="9" t="n"/>
      <c r="H1435" s="71" t="n"/>
      <c r="I1435" s="9" t="n"/>
      <c r="J1435" s="89">
        <f>IF(H1435="","",IF(I1435="Sí",ROUND(H1435*Configuracion!$B$11,0),0))</f>
        <v/>
      </c>
      <c r="K1435" s="89">
        <f>IF(H1435="","",H1435+J1435)</f>
        <v/>
      </c>
      <c r="L1435" s="13">
        <f>IF(B1435="","",YEAR(B1435))</f>
        <v/>
      </c>
      <c r="M1435" s="13">
        <f>IF(B1435="","",MONTH(B1435))</f>
        <v/>
      </c>
      <c r="N1435" s="9" t="n"/>
      <c r="O1435" s="9" t="n"/>
      <c r="P1435" s="9" t="n"/>
      <c r="Q1435" s="9" t="n"/>
    </row>
    <row r="1436">
      <c r="A1436" s="9" t="n"/>
      <c r="B1436" s="70" t="n"/>
      <c r="C1436" s="9" t="n"/>
      <c r="D1436" s="9" t="n"/>
      <c r="E1436" s="9" t="n"/>
      <c r="F1436" s="9" t="n"/>
      <c r="G1436" s="9" t="n"/>
      <c r="H1436" s="71" t="n"/>
      <c r="I1436" s="9" t="n"/>
      <c r="J1436" s="89">
        <f>IF(H1436="","",IF(I1436="Sí",ROUND(H1436*Configuracion!$B$11,0),0))</f>
        <v/>
      </c>
      <c r="K1436" s="89">
        <f>IF(H1436="","",H1436+J1436)</f>
        <v/>
      </c>
      <c r="L1436" s="13">
        <f>IF(B1436="","",YEAR(B1436))</f>
        <v/>
      </c>
      <c r="M1436" s="13">
        <f>IF(B1436="","",MONTH(B1436))</f>
        <v/>
      </c>
      <c r="N1436" s="9" t="n"/>
      <c r="O1436" s="9" t="n"/>
      <c r="P1436" s="9" t="n"/>
      <c r="Q1436" s="9" t="n"/>
    </row>
    <row r="1437">
      <c r="A1437" s="9" t="n"/>
      <c r="B1437" s="70" t="n"/>
      <c r="C1437" s="9" t="n"/>
      <c r="D1437" s="9" t="n"/>
      <c r="E1437" s="9" t="n"/>
      <c r="F1437" s="9" t="n"/>
      <c r="G1437" s="9" t="n"/>
      <c r="H1437" s="71" t="n"/>
      <c r="I1437" s="9" t="n"/>
      <c r="J1437" s="89">
        <f>IF(H1437="","",IF(I1437="Sí",ROUND(H1437*Configuracion!$B$11,0),0))</f>
        <v/>
      </c>
      <c r="K1437" s="89">
        <f>IF(H1437="","",H1437+J1437)</f>
        <v/>
      </c>
      <c r="L1437" s="13">
        <f>IF(B1437="","",YEAR(B1437))</f>
        <v/>
      </c>
      <c r="M1437" s="13">
        <f>IF(B1437="","",MONTH(B1437))</f>
        <v/>
      </c>
      <c r="N1437" s="9" t="n"/>
      <c r="O1437" s="9" t="n"/>
      <c r="P1437" s="9" t="n"/>
      <c r="Q1437" s="9" t="n"/>
    </row>
    <row r="1438">
      <c r="A1438" s="9" t="n"/>
      <c r="B1438" s="70" t="n"/>
      <c r="C1438" s="9" t="n"/>
      <c r="D1438" s="9" t="n"/>
      <c r="E1438" s="9" t="n"/>
      <c r="F1438" s="9" t="n"/>
      <c r="G1438" s="9" t="n"/>
      <c r="H1438" s="71" t="n"/>
      <c r="I1438" s="9" t="n"/>
      <c r="J1438" s="89">
        <f>IF(H1438="","",IF(I1438="Sí",ROUND(H1438*Configuracion!$B$11,0),0))</f>
        <v/>
      </c>
      <c r="K1438" s="89">
        <f>IF(H1438="","",H1438+J1438)</f>
        <v/>
      </c>
      <c r="L1438" s="13">
        <f>IF(B1438="","",YEAR(B1438))</f>
        <v/>
      </c>
      <c r="M1438" s="13">
        <f>IF(B1438="","",MONTH(B1438))</f>
        <v/>
      </c>
      <c r="N1438" s="9" t="n"/>
      <c r="O1438" s="9" t="n"/>
      <c r="P1438" s="9" t="n"/>
      <c r="Q1438" s="9" t="n"/>
    </row>
    <row r="1439">
      <c r="A1439" s="9" t="n"/>
      <c r="B1439" s="70" t="n"/>
      <c r="C1439" s="9" t="n"/>
      <c r="D1439" s="9" t="n"/>
      <c r="E1439" s="9" t="n"/>
      <c r="F1439" s="9" t="n"/>
      <c r="G1439" s="9" t="n"/>
      <c r="H1439" s="71" t="n"/>
      <c r="I1439" s="9" t="n"/>
      <c r="J1439" s="89">
        <f>IF(H1439="","",IF(I1439="Sí",ROUND(H1439*Configuracion!$B$11,0),0))</f>
        <v/>
      </c>
      <c r="K1439" s="89">
        <f>IF(H1439="","",H1439+J1439)</f>
        <v/>
      </c>
      <c r="L1439" s="13">
        <f>IF(B1439="","",YEAR(B1439))</f>
        <v/>
      </c>
      <c r="M1439" s="13">
        <f>IF(B1439="","",MONTH(B1439))</f>
        <v/>
      </c>
      <c r="N1439" s="9" t="n"/>
      <c r="O1439" s="9" t="n"/>
      <c r="P1439" s="9" t="n"/>
      <c r="Q1439" s="9" t="n"/>
    </row>
    <row r="1440">
      <c r="A1440" s="9" t="n"/>
      <c r="B1440" s="70" t="n"/>
      <c r="C1440" s="9" t="n"/>
      <c r="D1440" s="9" t="n"/>
      <c r="E1440" s="9" t="n"/>
      <c r="F1440" s="9" t="n"/>
      <c r="G1440" s="9" t="n"/>
      <c r="H1440" s="71" t="n"/>
      <c r="I1440" s="9" t="n"/>
      <c r="J1440" s="89">
        <f>IF(H1440="","",IF(I1440="Sí",ROUND(H1440*Configuracion!$B$11,0),0))</f>
        <v/>
      </c>
      <c r="K1440" s="89">
        <f>IF(H1440="","",H1440+J1440)</f>
        <v/>
      </c>
      <c r="L1440" s="13">
        <f>IF(B1440="","",YEAR(B1440))</f>
        <v/>
      </c>
      <c r="M1440" s="13">
        <f>IF(B1440="","",MONTH(B1440))</f>
        <v/>
      </c>
      <c r="N1440" s="9" t="n"/>
      <c r="O1440" s="9" t="n"/>
      <c r="P1440" s="9" t="n"/>
      <c r="Q1440" s="9" t="n"/>
    </row>
    <row r="1441">
      <c r="A1441" s="9" t="n"/>
      <c r="B1441" s="70" t="n"/>
      <c r="C1441" s="9" t="n"/>
      <c r="D1441" s="9" t="n"/>
      <c r="E1441" s="9" t="n"/>
      <c r="F1441" s="9" t="n"/>
      <c r="G1441" s="9" t="n"/>
      <c r="H1441" s="71" t="n"/>
      <c r="I1441" s="9" t="n"/>
      <c r="J1441" s="89">
        <f>IF(H1441="","",IF(I1441="Sí",ROUND(H1441*Configuracion!$B$11,0),0))</f>
        <v/>
      </c>
      <c r="K1441" s="89">
        <f>IF(H1441="","",H1441+J1441)</f>
        <v/>
      </c>
      <c r="L1441" s="13">
        <f>IF(B1441="","",YEAR(B1441))</f>
        <v/>
      </c>
      <c r="M1441" s="13">
        <f>IF(B1441="","",MONTH(B1441))</f>
        <v/>
      </c>
      <c r="N1441" s="9" t="n"/>
      <c r="O1441" s="9" t="n"/>
      <c r="P1441" s="9" t="n"/>
      <c r="Q1441" s="9" t="n"/>
    </row>
    <row r="1442">
      <c r="A1442" s="9" t="n"/>
      <c r="B1442" s="70" t="n"/>
      <c r="C1442" s="9" t="n"/>
      <c r="D1442" s="9" t="n"/>
      <c r="E1442" s="9" t="n"/>
      <c r="F1442" s="9" t="n"/>
      <c r="G1442" s="9" t="n"/>
      <c r="H1442" s="71" t="n"/>
      <c r="I1442" s="9" t="n"/>
      <c r="J1442" s="89">
        <f>IF(H1442="","",IF(I1442="Sí",ROUND(H1442*Configuracion!$B$11,0),0))</f>
        <v/>
      </c>
      <c r="K1442" s="89">
        <f>IF(H1442="","",H1442+J1442)</f>
        <v/>
      </c>
      <c r="L1442" s="13">
        <f>IF(B1442="","",YEAR(B1442))</f>
        <v/>
      </c>
      <c r="M1442" s="13">
        <f>IF(B1442="","",MONTH(B1442))</f>
        <v/>
      </c>
      <c r="N1442" s="9" t="n"/>
      <c r="O1442" s="9" t="n"/>
      <c r="P1442" s="9" t="n"/>
      <c r="Q1442" s="9" t="n"/>
    </row>
    <row r="1443">
      <c r="A1443" s="9" t="n"/>
      <c r="B1443" s="70" t="n"/>
      <c r="C1443" s="9" t="n"/>
      <c r="D1443" s="9" t="n"/>
      <c r="E1443" s="9" t="n"/>
      <c r="F1443" s="9" t="n"/>
      <c r="G1443" s="9" t="n"/>
      <c r="H1443" s="71" t="n"/>
      <c r="I1443" s="9" t="n"/>
      <c r="J1443" s="89">
        <f>IF(H1443="","",IF(I1443="Sí",ROUND(H1443*Configuracion!$B$11,0),0))</f>
        <v/>
      </c>
      <c r="K1443" s="89">
        <f>IF(H1443="","",H1443+J1443)</f>
        <v/>
      </c>
      <c r="L1443" s="13">
        <f>IF(B1443="","",YEAR(B1443))</f>
        <v/>
      </c>
      <c r="M1443" s="13">
        <f>IF(B1443="","",MONTH(B1443))</f>
        <v/>
      </c>
      <c r="N1443" s="9" t="n"/>
      <c r="O1443" s="9" t="n"/>
      <c r="P1443" s="9" t="n"/>
      <c r="Q1443" s="9" t="n"/>
    </row>
    <row r="1444">
      <c r="A1444" s="9" t="n"/>
      <c r="B1444" s="70" t="n"/>
      <c r="C1444" s="9" t="n"/>
      <c r="D1444" s="9" t="n"/>
      <c r="E1444" s="9" t="n"/>
      <c r="F1444" s="9" t="n"/>
      <c r="G1444" s="9" t="n"/>
      <c r="H1444" s="71" t="n"/>
      <c r="I1444" s="9" t="n"/>
      <c r="J1444" s="89">
        <f>IF(H1444="","",IF(I1444="Sí",ROUND(H1444*Configuracion!$B$11,0),0))</f>
        <v/>
      </c>
      <c r="K1444" s="89">
        <f>IF(H1444="","",H1444+J1444)</f>
        <v/>
      </c>
      <c r="L1444" s="13">
        <f>IF(B1444="","",YEAR(B1444))</f>
        <v/>
      </c>
      <c r="M1444" s="13">
        <f>IF(B1444="","",MONTH(B1444))</f>
        <v/>
      </c>
      <c r="N1444" s="9" t="n"/>
      <c r="O1444" s="9" t="n"/>
      <c r="P1444" s="9" t="n"/>
      <c r="Q1444" s="9" t="n"/>
    </row>
    <row r="1445">
      <c r="A1445" s="9" t="n"/>
      <c r="B1445" s="70" t="n"/>
      <c r="C1445" s="9" t="n"/>
      <c r="D1445" s="9" t="n"/>
      <c r="E1445" s="9" t="n"/>
      <c r="F1445" s="9" t="n"/>
      <c r="G1445" s="9" t="n"/>
      <c r="H1445" s="71" t="n"/>
      <c r="I1445" s="9" t="n"/>
      <c r="J1445" s="89">
        <f>IF(H1445="","",IF(I1445="Sí",ROUND(H1445*Configuracion!$B$11,0),0))</f>
        <v/>
      </c>
      <c r="K1445" s="89">
        <f>IF(H1445="","",H1445+J1445)</f>
        <v/>
      </c>
      <c r="L1445" s="13">
        <f>IF(B1445="","",YEAR(B1445))</f>
        <v/>
      </c>
      <c r="M1445" s="13">
        <f>IF(B1445="","",MONTH(B1445))</f>
        <v/>
      </c>
      <c r="N1445" s="9" t="n"/>
      <c r="O1445" s="9" t="n"/>
      <c r="P1445" s="9" t="n"/>
      <c r="Q1445" s="9" t="n"/>
    </row>
    <row r="1446">
      <c r="A1446" s="9" t="n"/>
      <c r="B1446" s="70" t="n"/>
      <c r="C1446" s="9" t="n"/>
      <c r="D1446" s="9" t="n"/>
      <c r="E1446" s="9" t="n"/>
      <c r="F1446" s="9" t="n"/>
      <c r="G1446" s="9" t="n"/>
      <c r="H1446" s="71" t="n"/>
      <c r="I1446" s="9" t="n"/>
      <c r="J1446" s="89">
        <f>IF(H1446="","",IF(I1446="Sí",ROUND(H1446*Configuracion!$B$11,0),0))</f>
        <v/>
      </c>
      <c r="K1446" s="89">
        <f>IF(H1446="","",H1446+J1446)</f>
        <v/>
      </c>
      <c r="L1446" s="13">
        <f>IF(B1446="","",YEAR(B1446))</f>
        <v/>
      </c>
      <c r="M1446" s="13">
        <f>IF(B1446="","",MONTH(B1446))</f>
        <v/>
      </c>
      <c r="N1446" s="9" t="n"/>
      <c r="O1446" s="9" t="n"/>
      <c r="P1446" s="9" t="n"/>
      <c r="Q1446" s="9" t="n"/>
    </row>
    <row r="1447">
      <c r="A1447" s="9" t="n"/>
      <c r="B1447" s="70" t="n"/>
      <c r="C1447" s="9" t="n"/>
      <c r="D1447" s="9" t="n"/>
      <c r="E1447" s="9" t="n"/>
      <c r="F1447" s="9" t="n"/>
      <c r="G1447" s="9" t="n"/>
      <c r="H1447" s="71" t="n"/>
      <c r="I1447" s="9" t="n"/>
      <c r="J1447" s="89">
        <f>IF(H1447="","",IF(I1447="Sí",ROUND(H1447*Configuracion!$B$11,0),0))</f>
        <v/>
      </c>
      <c r="K1447" s="89">
        <f>IF(H1447="","",H1447+J1447)</f>
        <v/>
      </c>
      <c r="L1447" s="13">
        <f>IF(B1447="","",YEAR(B1447))</f>
        <v/>
      </c>
      <c r="M1447" s="13">
        <f>IF(B1447="","",MONTH(B1447))</f>
        <v/>
      </c>
      <c r="N1447" s="9" t="n"/>
      <c r="O1447" s="9" t="n"/>
      <c r="P1447" s="9" t="n"/>
      <c r="Q1447" s="9" t="n"/>
    </row>
    <row r="1448">
      <c r="A1448" s="9" t="n"/>
      <c r="B1448" s="70" t="n"/>
      <c r="C1448" s="9" t="n"/>
      <c r="D1448" s="9" t="n"/>
      <c r="E1448" s="9" t="n"/>
      <c r="F1448" s="9" t="n"/>
      <c r="G1448" s="9" t="n"/>
      <c r="H1448" s="71" t="n"/>
      <c r="I1448" s="9" t="n"/>
      <c r="J1448" s="89">
        <f>IF(H1448="","",IF(I1448="Sí",ROUND(H1448*Configuracion!$B$11,0),0))</f>
        <v/>
      </c>
      <c r="K1448" s="89">
        <f>IF(H1448="","",H1448+J1448)</f>
        <v/>
      </c>
      <c r="L1448" s="13">
        <f>IF(B1448="","",YEAR(B1448))</f>
        <v/>
      </c>
      <c r="M1448" s="13">
        <f>IF(B1448="","",MONTH(B1448))</f>
        <v/>
      </c>
      <c r="N1448" s="9" t="n"/>
      <c r="O1448" s="9" t="n"/>
      <c r="P1448" s="9" t="n"/>
      <c r="Q1448" s="9" t="n"/>
    </row>
    <row r="1449">
      <c r="A1449" s="9" t="n"/>
      <c r="B1449" s="70" t="n"/>
      <c r="C1449" s="9" t="n"/>
      <c r="D1449" s="9" t="n"/>
      <c r="E1449" s="9" t="n"/>
      <c r="F1449" s="9" t="n"/>
      <c r="G1449" s="9" t="n"/>
      <c r="H1449" s="71" t="n"/>
      <c r="I1449" s="9" t="n"/>
      <c r="J1449" s="89">
        <f>IF(H1449="","",IF(I1449="Sí",ROUND(H1449*Configuracion!$B$11,0),0))</f>
        <v/>
      </c>
      <c r="K1449" s="89">
        <f>IF(H1449="","",H1449+J1449)</f>
        <v/>
      </c>
      <c r="L1449" s="13">
        <f>IF(B1449="","",YEAR(B1449))</f>
        <v/>
      </c>
      <c r="M1449" s="13">
        <f>IF(B1449="","",MONTH(B1449))</f>
        <v/>
      </c>
      <c r="N1449" s="9" t="n"/>
      <c r="O1449" s="9" t="n"/>
      <c r="P1449" s="9" t="n"/>
      <c r="Q1449" s="9" t="n"/>
    </row>
    <row r="1450">
      <c r="A1450" s="9" t="n"/>
      <c r="B1450" s="70" t="n"/>
      <c r="C1450" s="9" t="n"/>
      <c r="D1450" s="9" t="n"/>
      <c r="E1450" s="9" t="n"/>
      <c r="F1450" s="9" t="n"/>
      <c r="G1450" s="9" t="n"/>
      <c r="H1450" s="71" t="n"/>
      <c r="I1450" s="9" t="n"/>
      <c r="J1450" s="89">
        <f>IF(H1450="","",IF(I1450="Sí",ROUND(H1450*Configuracion!$B$11,0),0))</f>
        <v/>
      </c>
      <c r="K1450" s="89">
        <f>IF(H1450="","",H1450+J1450)</f>
        <v/>
      </c>
      <c r="L1450" s="13">
        <f>IF(B1450="","",YEAR(B1450))</f>
        <v/>
      </c>
      <c r="M1450" s="13">
        <f>IF(B1450="","",MONTH(B1450))</f>
        <v/>
      </c>
      <c r="N1450" s="9" t="n"/>
      <c r="O1450" s="9" t="n"/>
      <c r="P1450" s="9" t="n"/>
      <c r="Q1450" s="9" t="n"/>
    </row>
    <row r="1451">
      <c r="A1451" s="9" t="n"/>
      <c r="B1451" s="70" t="n"/>
      <c r="C1451" s="9" t="n"/>
      <c r="D1451" s="9" t="n"/>
      <c r="E1451" s="9" t="n"/>
      <c r="F1451" s="9" t="n"/>
      <c r="G1451" s="9" t="n"/>
      <c r="H1451" s="71" t="n"/>
      <c r="I1451" s="9" t="n"/>
      <c r="J1451" s="89">
        <f>IF(H1451="","",IF(I1451="Sí",ROUND(H1451*Configuracion!$B$11,0),0))</f>
        <v/>
      </c>
      <c r="K1451" s="89">
        <f>IF(H1451="","",H1451+J1451)</f>
        <v/>
      </c>
      <c r="L1451" s="13">
        <f>IF(B1451="","",YEAR(B1451))</f>
        <v/>
      </c>
      <c r="M1451" s="13">
        <f>IF(B1451="","",MONTH(B1451))</f>
        <v/>
      </c>
      <c r="N1451" s="9" t="n"/>
      <c r="O1451" s="9" t="n"/>
      <c r="P1451" s="9" t="n"/>
      <c r="Q1451" s="9" t="n"/>
    </row>
    <row r="1452">
      <c r="A1452" s="9" t="n"/>
      <c r="B1452" s="70" t="n"/>
      <c r="C1452" s="9" t="n"/>
      <c r="D1452" s="9" t="n"/>
      <c r="E1452" s="9" t="n"/>
      <c r="F1452" s="9" t="n"/>
      <c r="G1452" s="9" t="n"/>
      <c r="H1452" s="71" t="n"/>
      <c r="I1452" s="9" t="n"/>
      <c r="J1452" s="89">
        <f>IF(H1452="","",IF(I1452="Sí",ROUND(H1452*Configuracion!$B$11,0),0))</f>
        <v/>
      </c>
      <c r="K1452" s="89">
        <f>IF(H1452="","",H1452+J1452)</f>
        <v/>
      </c>
      <c r="L1452" s="13">
        <f>IF(B1452="","",YEAR(B1452))</f>
        <v/>
      </c>
      <c r="M1452" s="13">
        <f>IF(B1452="","",MONTH(B1452))</f>
        <v/>
      </c>
      <c r="N1452" s="9" t="n"/>
      <c r="O1452" s="9" t="n"/>
      <c r="P1452" s="9" t="n"/>
      <c r="Q1452" s="9" t="n"/>
    </row>
    <row r="1453">
      <c r="A1453" s="9" t="n"/>
      <c r="B1453" s="70" t="n"/>
      <c r="C1453" s="9" t="n"/>
      <c r="D1453" s="9" t="n"/>
      <c r="E1453" s="9" t="n"/>
      <c r="F1453" s="9" t="n"/>
      <c r="G1453" s="9" t="n"/>
      <c r="H1453" s="71" t="n"/>
      <c r="I1453" s="9" t="n"/>
      <c r="J1453" s="89">
        <f>IF(H1453="","",IF(I1453="Sí",ROUND(H1453*Configuracion!$B$11,0),0))</f>
        <v/>
      </c>
      <c r="K1453" s="89">
        <f>IF(H1453="","",H1453+J1453)</f>
        <v/>
      </c>
      <c r="L1453" s="13">
        <f>IF(B1453="","",YEAR(B1453))</f>
        <v/>
      </c>
      <c r="M1453" s="13">
        <f>IF(B1453="","",MONTH(B1453))</f>
        <v/>
      </c>
      <c r="N1453" s="9" t="n"/>
      <c r="O1453" s="9" t="n"/>
      <c r="P1453" s="9" t="n"/>
      <c r="Q1453" s="9" t="n"/>
    </row>
    <row r="1454">
      <c r="A1454" s="9" t="n"/>
      <c r="B1454" s="70" t="n"/>
      <c r="C1454" s="9" t="n"/>
      <c r="D1454" s="9" t="n"/>
      <c r="E1454" s="9" t="n"/>
      <c r="F1454" s="9" t="n"/>
      <c r="G1454" s="9" t="n"/>
      <c r="H1454" s="71" t="n"/>
      <c r="I1454" s="9" t="n"/>
      <c r="J1454" s="89">
        <f>IF(H1454="","",IF(I1454="Sí",ROUND(H1454*Configuracion!$B$11,0),0))</f>
        <v/>
      </c>
      <c r="K1454" s="89">
        <f>IF(H1454="","",H1454+J1454)</f>
        <v/>
      </c>
      <c r="L1454" s="13">
        <f>IF(B1454="","",YEAR(B1454))</f>
        <v/>
      </c>
      <c r="M1454" s="13">
        <f>IF(B1454="","",MONTH(B1454))</f>
        <v/>
      </c>
      <c r="N1454" s="9" t="n"/>
      <c r="O1454" s="9" t="n"/>
      <c r="P1454" s="9" t="n"/>
      <c r="Q1454" s="9" t="n"/>
    </row>
    <row r="1455">
      <c r="A1455" s="9" t="n"/>
      <c r="B1455" s="70" t="n"/>
      <c r="C1455" s="9" t="n"/>
      <c r="D1455" s="9" t="n"/>
      <c r="E1455" s="9" t="n"/>
      <c r="F1455" s="9" t="n"/>
      <c r="G1455" s="9" t="n"/>
      <c r="H1455" s="71" t="n"/>
      <c r="I1455" s="9" t="n"/>
      <c r="J1455" s="89">
        <f>IF(H1455="","",IF(I1455="Sí",ROUND(H1455*Configuracion!$B$11,0),0))</f>
        <v/>
      </c>
      <c r="K1455" s="89">
        <f>IF(H1455="","",H1455+J1455)</f>
        <v/>
      </c>
      <c r="L1455" s="13">
        <f>IF(B1455="","",YEAR(B1455))</f>
        <v/>
      </c>
      <c r="M1455" s="13">
        <f>IF(B1455="","",MONTH(B1455))</f>
        <v/>
      </c>
      <c r="N1455" s="9" t="n"/>
      <c r="O1455" s="9" t="n"/>
      <c r="P1455" s="9" t="n"/>
      <c r="Q1455" s="9" t="n"/>
    </row>
    <row r="1456">
      <c r="A1456" s="9" t="n"/>
      <c r="B1456" s="70" t="n"/>
      <c r="C1456" s="9" t="n"/>
      <c r="D1456" s="9" t="n"/>
      <c r="E1456" s="9" t="n"/>
      <c r="F1456" s="9" t="n"/>
      <c r="G1456" s="9" t="n"/>
      <c r="H1456" s="71" t="n"/>
      <c r="I1456" s="9" t="n"/>
      <c r="J1456" s="89">
        <f>IF(H1456="","",IF(I1456="Sí",ROUND(H1456*Configuracion!$B$11,0),0))</f>
        <v/>
      </c>
      <c r="K1456" s="89">
        <f>IF(H1456="","",H1456+J1456)</f>
        <v/>
      </c>
      <c r="L1456" s="13">
        <f>IF(B1456="","",YEAR(B1456))</f>
        <v/>
      </c>
      <c r="M1456" s="13">
        <f>IF(B1456="","",MONTH(B1456))</f>
        <v/>
      </c>
      <c r="N1456" s="9" t="n"/>
      <c r="O1456" s="9" t="n"/>
      <c r="P1456" s="9" t="n"/>
      <c r="Q1456" s="9" t="n"/>
    </row>
    <row r="1457">
      <c r="A1457" s="9" t="n"/>
      <c r="B1457" s="70" t="n"/>
      <c r="C1457" s="9" t="n"/>
      <c r="D1457" s="9" t="n"/>
      <c r="E1457" s="9" t="n"/>
      <c r="F1457" s="9" t="n"/>
      <c r="G1457" s="9" t="n"/>
      <c r="H1457" s="71" t="n"/>
      <c r="I1457" s="9" t="n"/>
      <c r="J1457" s="89">
        <f>IF(H1457="","",IF(I1457="Sí",ROUND(H1457*Configuracion!$B$11,0),0))</f>
        <v/>
      </c>
      <c r="K1457" s="89">
        <f>IF(H1457="","",H1457+J1457)</f>
        <v/>
      </c>
      <c r="L1457" s="13">
        <f>IF(B1457="","",YEAR(B1457))</f>
        <v/>
      </c>
      <c r="M1457" s="13">
        <f>IF(B1457="","",MONTH(B1457))</f>
        <v/>
      </c>
      <c r="N1457" s="9" t="n"/>
      <c r="O1457" s="9" t="n"/>
      <c r="P1457" s="9" t="n"/>
      <c r="Q1457" s="9" t="n"/>
    </row>
    <row r="1458">
      <c r="A1458" s="9" t="n"/>
      <c r="B1458" s="70" t="n"/>
      <c r="C1458" s="9" t="n"/>
      <c r="D1458" s="9" t="n"/>
      <c r="E1458" s="9" t="n"/>
      <c r="F1458" s="9" t="n"/>
      <c r="G1458" s="9" t="n"/>
      <c r="H1458" s="71" t="n"/>
      <c r="I1458" s="9" t="n"/>
      <c r="J1458" s="89">
        <f>IF(H1458="","",IF(I1458="Sí",ROUND(H1458*Configuracion!$B$11,0),0))</f>
        <v/>
      </c>
      <c r="K1458" s="89">
        <f>IF(H1458="","",H1458+J1458)</f>
        <v/>
      </c>
      <c r="L1458" s="13">
        <f>IF(B1458="","",YEAR(B1458))</f>
        <v/>
      </c>
      <c r="M1458" s="13">
        <f>IF(B1458="","",MONTH(B1458))</f>
        <v/>
      </c>
      <c r="N1458" s="9" t="n"/>
      <c r="O1458" s="9" t="n"/>
      <c r="P1458" s="9" t="n"/>
      <c r="Q1458" s="9" t="n"/>
    </row>
    <row r="1459">
      <c r="A1459" s="9" t="n"/>
      <c r="B1459" s="70" t="n"/>
      <c r="C1459" s="9" t="n"/>
      <c r="D1459" s="9" t="n"/>
      <c r="E1459" s="9" t="n"/>
      <c r="F1459" s="9" t="n"/>
      <c r="G1459" s="9" t="n"/>
      <c r="H1459" s="71" t="n"/>
      <c r="I1459" s="9" t="n"/>
      <c r="J1459" s="89">
        <f>IF(H1459="","",IF(I1459="Sí",ROUND(H1459*Configuracion!$B$11,0),0))</f>
        <v/>
      </c>
      <c r="K1459" s="89">
        <f>IF(H1459="","",H1459+J1459)</f>
        <v/>
      </c>
      <c r="L1459" s="13">
        <f>IF(B1459="","",YEAR(B1459))</f>
        <v/>
      </c>
      <c r="M1459" s="13">
        <f>IF(B1459="","",MONTH(B1459))</f>
        <v/>
      </c>
      <c r="N1459" s="9" t="n"/>
      <c r="O1459" s="9" t="n"/>
      <c r="P1459" s="9" t="n"/>
      <c r="Q1459" s="9" t="n"/>
    </row>
    <row r="1460">
      <c r="A1460" s="9" t="n"/>
      <c r="B1460" s="70" t="n"/>
      <c r="C1460" s="9" t="n"/>
      <c r="D1460" s="9" t="n"/>
      <c r="E1460" s="9" t="n"/>
      <c r="F1460" s="9" t="n"/>
      <c r="G1460" s="9" t="n"/>
      <c r="H1460" s="71" t="n"/>
      <c r="I1460" s="9" t="n"/>
      <c r="J1460" s="89">
        <f>IF(H1460="","",IF(I1460="Sí",ROUND(H1460*Configuracion!$B$11,0),0))</f>
        <v/>
      </c>
      <c r="K1460" s="89">
        <f>IF(H1460="","",H1460+J1460)</f>
        <v/>
      </c>
      <c r="L1460" s="13">
        <f>IF(B1460="","",YEAR(B1460))</f>
        <v/>
      </c>
      <c r="M1460" s="13">
        <f>IF(B1460="","",MONTH(B1460))</f>
        <v/>
      </c>
      <c r="N1460" s="9" t="n"/>
      <c r="O1460" s="9" t="n"/>
      <c r="P1460" s="9" t="n"/>
      <c r="Q1460" s="9" t="n"/>
    </row>
    <row r="1461">
      <c r="A1461" s="9" t="n"/>
      <c r="B1461" s="70" t="n"/>
      <c r="C1461" s="9" t="n"/>
      <c r="D1461" s="9" t="n"/>
      <c r="E1461" s="9" t="n"/>
      <c r="F1461" s="9" t="n"/>
      <c r="G1461" s="9" t="n"/>
      <c r="H1461" s="71" t="n"/>
      <c r="I1461" s="9" t="n"/>
      <c r="J1461" s="89">
        <f>IF(H1461="","",IF(I1461="Sí",ROUND(H1461*Configuracion!$B$11,0),0))</f>
        <v/>
      </c>
      <c r="K1461" s="89">
        <f>IF(H1461="","",H1461+J1461)</f>
        <v/>
      </c>
      <c r="L1461" s="13">
        <f>IF(B1461="","",YEAR(B1461))</f>
        <v/>
      </c>
      <c r="M1461" s="13">
        <f>IF(B1461="","",MONTH(B1461))</f>
        <v/>
      </c>
      <c r="N1461" s="9" t="n"/>
      <c r="O1461" s="9" t="n"/>
      <c r="P1461" s="9" t="n"/>
      <c r="Q1461" s="9" t="n"/>
    </row>
    <row r="1462">
      <c r="A1462" s="9" t="n"/>
      <c r="B1462" s="70" t="n"/>
      <c r="C1462" s="9" t="n"/>
      <c r="D1462" s="9" t="n"/>
      <c r="E1462" s="9" t="n"/>
      <c r="F1462" s="9" t="n"/>
      <c r="G1462" s="9" t="n"/>
      <c r="H1462" s="71" t="n"/>
      <c r="I1462" s="9" t="n"/>
      <c r="J1462" s="89">
        <f>IF(H1462="","",IF(I1462="Sí",ROUND(H1462*Configuracion!$B$11,0),0))</f>
        <v/>
      </c>
      <c r="K1462" s="89">
        <f>IF(H1462="","",H1462+J1462)</f>
        <v/>
      </c>
      <c r="L1462" s="13">
        <f>IF(B1462="","",YEAR(B1462))</f>
        <v/>
      </c>
      <c r="M1462" s="13">
        <f>IF(B1462="","",MONTH(B1462))</f>
        <v/>
      </c>
      <c r="N1462" s="9" t="n"/>
      <c r="O1462" s="9" t="n"/>
      <c r="P1462" s="9" t="n"/>
      <c r="Q1462" s="9" t="n"/>
    </row>
    <row r="1463">
      <c r="A1463" s="9" t="n"/>
      <c r="B1463" s="70" t="n"/>
      <c r="C1463" s="9" t="n"/>
      <c r="D1463" s="9" t="n"/>
      <c r="E1463" s="9" t="n"/>
      <c r="F1463" s="9" t="n"/>
      <c r="G1463" s="9" t="n"/>
      <c r="H1463" s="71" t="n"/>
      <c r="I1463" s="9" t="n"/>
      <c r="J1463" s="89">
        <f>IF(H1463="","",IF(I1463="Sí",ROUND(H1463*Configuracion!$B$11,0),0))</f>
        <v/>
      </c>
      <c r="K1463" s="89">
        <f>IF(H1463="","",H1463+J1463)</f>
        <v/>
      </c>
      <c r="L1463" s="13">
        <f>IF(B1463="","",YEAR(B1463))</f>
        <v/>
      </c>
      <c r="M1463" s="13">
        <f>IF(B1463="","",MONTH(B1463))</f>
        <v/>
      </c>
      <c r="N1463" s="9" t="n"/>
      <c r="O1463" s="9" t="n"/>
      <c r="P1463" s="9" t="n"/>
      <c r="Q1463" s="9" t="n"/>
    </row>
    <row r="1464">
      <c r="A1464" s="9" t="n"/>
      <c r="B1464" s="70" t="n"/>
      <c r="C1464" s="9" t="n"/>
      <c r="D1464" s="9" t="n"/>
      <c r="E1464" s="9" t="n"/>
      <c r="F1464" s="9" t="n"/>
      <c r="G1464" s="9" t="n"/>
      <c r="H1464" s="71" t="n"/>
      <c r="I1464" s="9" t="n"/>
      <c r="J1464" s="89">
        <f>IF(H1464="","",IF(I1464="Sí",ROUND(H1464*Configuracion!$B$11,0),0))</f>
        <v/>
      </c>
      <c r="K1464" s="89">
        <f>IF(H1464="","",H1464+J1464)</f>
        <v/>
      </c>
      <c r="L1464" s="13">
        <f>IF(B1464="","",YEAR(B1464))</f>
        <v/>
      </c>
      <c r="M1464" s="13">
        <f>IF(B1464="","",MONTH(B1464))</f>
        <v/>
      </c>
      <c r="N1464" s="9" t="n"/>
      <c r="O1464" s="9" t="n"/>
      <c r="P1464" s="9" t="n"/>
      <c r="Q1464" s="9" t="n"/>
    </row>
    <row r="1465">
      <c r="A1465" s="9" t="n"/>
      <c r="B1465" s="70" t="n"/>
      <c r="C1465" s="9" t="n"/>
      <c r="D1465" s="9" t="n"/>
      <c r="E1465" s="9" t="n"/>
      <c r="F1465" s="9" t="n"/>
      <c r="G1465" s="9" t="n"/>
      <c r="H1465" s="71" t="n"/>
      <c r="I1465" s="9" t="n"/>
      <c r="J1465" s="89">
        <f>IF(H1465="","",IF(I1465="Sí",ROUND(H1465*Configuracion!$B$11,0),0))</f>
        <v/>
      </c>
      <c r="K1465" s="89">
        <f>IF(H1465="","",H1465+J1465)</f>
        <v/>
      </c>
      <c r="L1465" s="13">
        <f>IF(B1465="","",YEAR(B1465))</f>
        <v/>
      </c>
      <c r="M1465" s="13">
        <f>IF(B1465="","",MONTH(B1465))</f>
        <v/>
      </c>
      <c r="N1465" s="9" t="n"/>
      <c r="O1465" s="9" t="n"/>
      <c r="P1465" s="9" t="n"/>
      <c r="Q1465" s="9" t="n"/>
    </row>
    <row r="1466">
      <c r="A1466" s="9" t="n"/>
      <c r="B1466" s="70" t="n"/>
      <c r="C1466" s="9" t="n"/>
      <c r="D1466" s="9" t="n"/>
      <c r="E1466" s="9" t="n"/>
      <c r="F1466" s="9" t="n"/>
      <c r="G1466" s="9" t="n"/>
      <c r="H1466" s="71" t="n"/>
      <c r="I1466" s="9" t="n"/>
      <c r="J1466" s="89">
        <f>IF(H1466="","",IF(I1466="Sí",ROUND(H1466*Configuracion!$B$11,0),0))</f>
        <v/>
      </c>
      <c r="K1466" s="89">
        <f>IF(H1466="","",H1466+J1466)</f>
        <v/>
      </c>
      <c r="L1466" s="13">
        <f>IF(B1466="","",YEAR(B1466))</f>
        <v/>
      </c>
      <c r="M1466" s="13">
        <f>IF(B1466="","",MONTH(B1466))</f>
        <v/>
      </c>
      <c r="N1466" s="9" t="n"/>
      <c r="O1466" s="9" t="n"/>
      <c r="P1466" s="9" t="n"/>
      <c r="Q1466" s="9" t="n"/>
    </row>
    <row r="1467">
      <c r="A1467" s="9" t="n"/>
      <c r="B1467" s="70" t="n"/>
      <c r="C1467" s="9" t="n"/>
      <c r="D1467" s="9" t="n"/>
      <c r="E1467" s="9" t="n"/>
      <c r="F1467" s="9" t="n"/>
      <c r="G1467" s="9" t="n"/>
      <c r="H1467" s="71" t="n"/>
      <c r="I1467" s="9" t="n"/>
      <c r="J1467" s="89">
        <f>IF(H1467="","",IF(I1467="Sí",ROUND(H1467*Configuracion!$B$11,0),0))</f>
        <v/>
      </c>
      <c r="K1467" s="89">
        <f>IF(H1467="","",H1467+J1467)</f>
        <v/>
      </c>
      <c r="L1467" s="13">
        <f>IF(B1467="","",YEAR(B1467))</f>
        <v/>
      </c>
      <c r="M1467" s="13">
        <f>IF(B1467="","",MONTH(B1467))</f>
        <v/>
      </c>
      <c r="N1467" s="9" t="n"/>
      <c r="O1467" s="9" t="n"/>
      <c r="P1467" s="9" t="n"/>
      <c r="Q1467" s="9" t="n"/>
    </row>
    <row r="1468">
      <c r="A1468" s="9" t="n"/>
      <c r="B1468" s="70" t="n"/>
      <c r="C1468" s="9" t="n"/>
      <c r="D1468" s="9" t="n"/>
      <c r="E1468" s="9" t="n"/>
      <c r="F1468" s="9" t="n"/>
      <c r="G1468" s="9" t="n"/>
      <c r="H1468" s="71" t="n"/>
      <c r="I1468" s="9" t="n"/>
      <c r="J1468" s="89">
        <f>IF(H1468="","",IF(I1468="Sí",ROUND(H1468*Configuracion!$B$11,0),0))</f>
        <v/>
      </c>
      <c r="K1468" s="89">
        <f>IF(H1468="","",H1468+J1468)</f>
        <v/>
      </c>
      <c r="L1468" s="13">
        <f>IF(B1468="","",YEAR(B1468))</f>
        <v/>
      </c>
      <c r="M1468" s="13">
        <f>IF(B1468="","",MONTH(B1468))</f>
        <v/>
      </c>
      <c r="N1468" s="9" t="n"/>
      <c r="O1468" s="9" t="n"/>
      <c r="P1468" s="9" t="n"/>
      <c r="Q1468" s="9" t="n"/>
    </row>
    <row r="1469">
      <c r="A1469" s="9" t="n"/>
      <c r="B1469" s="70" t="n"/>
      <c r="C1469" s="9" t="n"/>
      <c r="D1469" s="9" t="n"/>
      <c r="E1469" s="9" t="n"/>
      <c r="F1469" s="9" t="n"/>
      <c r="G1469" s="9" t="n"/>
      <c r="H1469" s="71" t="n"/>
      <c r="I1469" s="9" t="n"/>
      <c r="J1469" s="89">
        <f>IF(H1469="","",IF(I1469="Sí",ROUND(H1469*Configuracion!$B$11,0),0))</f>
        <v/>
      </c>
      <c r="K1469" s="89">
        <f>IF(H1469="","",H1469+J1469)</f>
        <v/>
      </c>
      <c r="L1469" s="13">
        <f>IF(B1469="","",YEAR(B1469))</f>
        <v/>
      </c>
      <c r="M1469" s="13">
        <f>IF(B1469="","",MONTH(B1469))</f>
        <v/>
      </c>
      <c r="N1469" s="9" t="n"/>
      <c r="O1469" s="9" t="n"/>
      <c r="P1469" s="9" t="n"/>
      <c r="Q1469" s="9" t="n"/>
    </row>
    <row r="1470">
      <c r="A1470" s="9" t="n"/>
      <c r="B1470" s="70" t="n"/>
      <c r="C1470" s="9" t="n"/>
      <c r="D1470" s="9" t="n"/>
      <c r="E1470" s="9" t="n"/>
      <c r="F1470" s="9" t="n"/>
      <c r="G1470" s="9" t="n"/>
      <c r="H1470" s="71" t="n"/>
      <c r="I1470" s="9" t="n"/>
      <c r="J1470" s="89">
        <f>IF(H1470="","",IF(I1470="Sí",ROUND(H1470*Configuracion!$B$11,0),0))</f>
        <v/>
      </c>
      <c r="K1470" s="89">
        <f>IF(H1470="","",H1470+J1470)</f>
        <v/>
      </c>
      <c r="L1470" s="13">
        <f>IF(B1470="","",YEAR(B1470))</f>
        <v/>
      </c>
      <c r="M1470" s="13">
        <f>IF(B1470="","",MONTH(B1470))</f>
        <v/>
      </c>
      <c r="N1470" s="9" t="n"/>
      <c r="O1470" s="9" t="n"/>
      <c r="P1470" s="9" t="n"/>
      <c r="Q1470" s="9" t="n"/>
    </row>
    <row r="1471">
      <c r="A1471" s="9" t="n"/>
      <c r="B1471" s="70" t="n"/>
      <c r="C1471" s="9" t="n"/>
      <c r="D1471" s="9" t="n"/>
      <c r="E1471" s="9" t="n"/>
      <c r="F1471" s="9" t="n"/>
      <c r="G1471" s="9" t="n"/>
      <c r="H1471" s="71" t="n"/>
      <c r="I1471" s="9" t="n"/>
      <c r="J1471" s="89">
        <f>IF(H1471="","",IF(I1471="Sí",ROUND(H1471*Configuracion!$B$11,0),0))</f>
        <v/>
      </c>
      <c r="K1471" s="89">
        <f>IF(H1471="","",H1471+J1471)</f>
        <v/>
      </c>
      <c r="L1471" s="13">
        <f>IF(B1471="","",YEAR(B1471))</f>
        <v/>
      </c>
      <c r="M1471" s="13">
        <f>IF(B1471="","",MONTH(B1471))</f>
        <v/>
      </c>
      <c r="N1471" s="9" t="n"/>
      <c r="O1471" s="9" t="n"/>
      <c r="P1471" s="9" t="n"/>
      <c r="Q1471" s="9" t="n"/>
    </row>
    <row r="1472">
      <c r="A1472" s="9" t="n"/>
      <c r="B1472" s="70" t="n"/>
      <c r="C1472" s="9" t="n"/>
      <c r="D1472" s="9" t="n"/>
      <c r="E1472" s="9" t="n"/>
      <c r="F1472" s="9" t="n"/>
      <c r="G1472" s="9" t="n"/>
      <c r="H1472" s="71" t="n"/>
      <c r="I1472" s="9" t="n"/>
      <c r="J1472" s="89">
        <f>IF(H1472="","",IF(I1472="Sí",ROUND(H1472*Configuracion!$B$11,0),0))</f>
        <v/>
      </c>
      <c r="K1472" s="89">
        <f>IF(H1472="","",H1472+J1472)</f>
        <v/>
      </c>
      <c r="L1472" s="13">
        <f>IF(B1472="","",YEAR(B1472))</f>
        <v/>
      </c>
      <c r="M1472" s="13">
        <f>IF(B1472="","",MONTH(B1472))</f>
        <v/>
      </c>
      <c r="N1472" s="9" t="n"/>
      <c r="O1472" s="9" t="n"/>
      <c r="P1472" s="9" t="n"/>
      <c r="Q1472" s="9" t="n"/>
    </row>
    <row r="1473">
      <c r="A1473" s="9" t="n"/>
      <c r="B1473" s="70" t="n"/>
      <c r="C1473" s="9" t="n"/>
      <c r="D1473" s="9" t="n"/>
      <c r="E1473" s="9" t="n"/>
      <c r="F1473" s="9" t="n"/>
      <c r="G1473" s="9" t="n"/>
      <c r="H1473" s="71" t="n"/>
      <c r="I1473" s="9" t="n"/>
      <c r="J1473" s="89">
        <f>IF(H1473="","",IF(I1473="Sí",ROUND(H1473*Configuracion!$B$11,0),0))</f>
        <v/>
      </c>
      <c r="K1473" s="89">
        <f>IF(H1473="","",H1473+J1473)</f>
        <v/>
      </c>
      <c r="L1473" s="13">
        <f>IF(B1473="","",YEAR(B1473))</f>
        <v/>
      </c>
      <c r="M1473" s="13">
        <f>IF(B1473="","",MONTH(B1473))</f>
        <v/>
      </c>
      <c r="N1473" s="9" t="n"/>
      <c r="O1473" s="9" t="n"/>
      <c r="P1473" s="9" t="n"/>
      <c r="Q1473" s="9" t="n"/>
    </row>
    <row r="1474">
      <c r="A1474" s="9" t="n"/>
      <c r="B1474" s="70" t="n"/>
      <c r="C1474" s="9" t="n"/>
      <c r="D1474" s="9" t="n"/>
      <c r="E1474" s="9" t="n"/>
      <c r="F1474" s="9" t="n"/>
      <c r="G1474" s="9" t="n"/>
      <c r="H1474" s="71" t="n"/>
      <c r="I1474" s="9" t="n"/>
      <c r="J1474" s="89">
        <f>IF(H1474="","",IF(I1474="Sí",ROUND(H1474*Configuracion!$B$11,0),0))</f>
        <v/>
      </c>
      <c r="K1474" s="89">
        <f>IF(H1474="","",H1474+J1474)</f>
        <v/>
      </c>
      <c r="L1474" s="13">
        <f>IF(B1474="","",YEAR(B1474))</f>
        <v/>
      </c>
      <c r="M1474" s="13">
        <f>IF(B1474="","",MONTH(B1474))</f>
        <v/>
      </c>
      <c r="N1474" s="9" t="n"/>
      <c r="O1474" s="9" t="n"/>
      <c r="P1474" s="9" t="n"/>
      <c r="Q1474" s="9" t="n"/>
    </row>
    <row r="1475">
      <c r="A1475" s="9" t="n"/>
      <c r="B1475" s="70" t="n"/>
      <c r="C1475" s="9" t="n"/>
      <c r="D1475" s="9" t="n"/>
      <c r="E1475" s="9" t="n"/>
      <c r="F1475" s="9" t="n"/>
      <c r="G1475" s="9" t="n"/>
      <c r="H1475" s="71" t="n"/>
      <c r="I1475" s="9" t="n"/>
      <c r="J1475" s="89">
        <f>IF(H1475="","",IF(I1475="Sí",ROUND(H1475*Configuracion!$B$11,0),0))</f>
        <v/>
      </c>
      <c r="K1475" s="89">
        <f>IF(H1475="","",H1475+J1475)</f>
        <v/>
      </c>
      <c r="L1475" s="13">
        <f>IF(B1475="","",YEAR(B1475))</f>
        <v/>
      </c>
      <c r="M1475" s="13">
        <f>IF(B1475="","",MONTH(B1475))</f>
        <v/>
      </c>
      <c r="N1475" s="9" t="n"/>
      <c r="O1475" s="9" t="n"/>
      <c r="P1475" s="9" t="n"/>
      <c r="Q1475" s="9" t="n"/>
    </row>
    <row r="1476">
      <c r="A1476" s="9" t="n"/>
      <c r="B1476" s="70" t="n"/>
      <c r="C1476" s="9" t="n"/>
      <c r="D1476" s="9" t="n"/>
      <c r="E1476" s="9" t="n"/>
      <c r="F1476" s="9" t="n"/>
      <c r="G1476" s="9" t="n"/>
      <c r="H1476" s="71" t="n"/>
      <c r="I1476" s="9" t="n"/>
      <c r="J1476" s="89">
        <f>IF(H1476="","",IF(I1476="Sí",ROUND(H1476*Configuracion!$B$11,0),0))</f>
        <v/>
      </c>
      <c r="K1476" s="89">
        <f>IF(H1476="","",H1476+J1476)</f>
        <v/>
      </c>
      <c r="L1476" s="13">
        <f>IF(B1476="","",YEAR(B1476))</f>
        <v/>
      </c>
      <c r="M1476" s="13">
        <f>IF(B1476="","",MONTH(B1476))</f>
        <v/>
      </c>
      <c r="N1476" s="9" t="n"/>
      <c r="O1476" s="9" t="n"/>
      <c r="P1476" s="9" t="n"/>
      <c r="Q1476" s="9" t="n"/>
    </row>
    <row r="1477">
      <c r="A1477" s="9" t="n"/>
      <c r="B1477" s="70" t="n"/>
      <c r="C1477" s="9" t="n"/>
      <c r="D1477" s="9" t="n"/>
      <c r="E1477" s="9" t="n"/>
      <c r="F1477" s="9" t="n"/>
      <c r="G1477" s="9" t="n"/>
      <c r="H1477" s="71" t="n"/>
      <c r="I1477" s="9" t="n"/>
      <c r="J1477" s="89">
        <f>IF(H1477="","",IF(I1477="Sí",ROUND(H1477*Configuracion!$B$11,0),0))</f>
        <v/>
      </c>
      <c r="K1477" s="89">
        <f>IF(H1477="","",H1477+J1477)</f>
        <v/>
      </c>
      <c r="L1477" s="13">
        <f>IF(B1477="","",YEAR(B1477))</f>
        <v/>
      </c>
      <c r="M1477" s="13">
        <f>IF(B1477="","",MONTH(B1477))</f>
        <v/>
      </c>
      <c r="N1477" s="9" t="n"/>
      <c r="O1477" s="9" t="n"/>
      <c r="P1477" s="9" t="n"/>
      <c r="Q1477" s="9" t="n"/>
    </row>
    <row r="1478">
      <c r="A1478" s="9" t="n"/>
      <c r="B1478" s="70" t="n"/>
      <c r="C1478" s="9" t="n"/>
      <c r="D1478" s="9" t="n"/>
      <c r="E1478" s="9" t="n"/>
      <c r="F1478" s="9" t="n"/>
      <c r="G1478" s="9" t="n"/>
      <c r="H1478" s="71" t="n"/>
      <c r="I1478" s="9" t="n"/>
      <c r="J1478" s="89">
        <f>IF(H1478="","",IF(I1478="Sí",ROUND(H1478*Configuracion!$B$11,0),0))</f>
        <v/>
      </c>
      <c r="K1478" s="89">
        <f>IF(H1478="","",H1478+J1478)</f>
        <v/>
      </c>
      <c r="L1478" s="13">
        <f>IF(B1478="","",YEAR(B1478))</f>
        <v/>
      </c>
      <c r="M1478" s="13">
        <f>IF(B1478="","",MONTH(B1478))</f>
        <v/>
      </c>
      <c r="N1478" s="9" t="n"/>
      <c r="O1478" s="9" t="n"/>
      <c r="P1478" s="9" t="n"/>
      <c r="Q1478" s="9" t="n"/>
    </row>
    <row r="1479">
      <c r="A1479" s="9" t="n"/>
      <c r="B1479" s="70" t="n"/>
      <c r="C1479" s="9" t="n"/>
      <c r="D1479" s="9" t="n"/>
      <c r="E1479" s="9" t="n"/>
      <c r="F1479" s="9" t="n"/>
      <c r="G1479" s="9" t="n"/>
      <c r="H1479" s="71" t="n"/>
      <c r="I1479" s="9" t="n"/>
      <c r="J1479" s="89">
        <f>IF(H1479="","",IF(I1479="Sí",ROUND(H1479*Configuracion!$B$11,0),0))</f>
        <v/>
      </c>
      <c r="K1479" s="89">
        <f>IF(H1479="","",H1479+J1479)</f>
        <v/>
      </c>
      <c r="L1479" s="13">
        <f>IF(B1479="","",YEAR(B1479))</f>
        <v/>
      </c>
      <c r="M1479" s="13">
        <f>IF(B1479="","",MONTH(B1479))</f>
        <v/>
      </c>
      <c r="N1479" s="9" t="n"/>
      <c r="O1479" s="9" t="n"/>
      <c r="P1479" s="9" t="n"/>
      <c r="Q1479" s="9" t="n"/>
    </row>
    <row r="1480">
      <c r="A1480" s="9" t="n"/>
      <c r="B1480" s="70" t="n"/>
      <c r="C1480" s="9" t="n"/>
      <c r="D1480" s="9" t="n"/>
      <c r="E1480" s="9" t="n"/>
      <c r="F1480" s="9" t="n"/>
      <c r="G1480" s="9" t="n"/>
      <c r="H1480" s="71" t="n"/>
      <c r="I1480" s="9" t="n"/>
      <c r="J1480" s="89">
        <f>IF(H1480="","",IF(I1480="Sí",ROUND(H1480*Configuracion!$B$11,0),0))</f>
        <v/>
      </c>
      <c r="K1480" s="89">
        <f>IF(H1480="","",H1480+J1480)</f>
        <v/>
      </c>
      <c r="L1480" s="13">
        <f>IF(B1480="","",YEAR(B1480))</f>
        <v/>
      </c>
      <c r="M1480" s="13">
        <f>IF(B1480="","",MONTH(B1480))</f>
        <v/>
      </c>
      <c r="N1480" s="9" t="n"/>
      <c r="O1480" s="9" t="n"/>
      <c r="P1480" s="9" t="n"/>
      <c r="Q1480" s="9" t="n"/>
    </row>
    <row r="1481">
      <c r="A1481" s="9" t="n"/>
      <c r="B1481" s="70" t="n"/>
      <c r="C1481" s="9" t="n"/>
      <c r="D1481" s="9" t="n"/>
      <c r="E1481" s="9" t="n"/>
      <c r="F1481" s="9" t="n"/>
      <c r="G1481" s="9" t="n"/>
      <c r="H1481" s="71" t="n"/>
      <c r="I1481" s="9" t="n"/>
      <c r="J1481" s="89">
        <f>IF(H1481="","",IF(I1481="Sí",ROUND(H1481*Configuracion!$B$11,0),0))</f>
        <v/>
      </c>
      <c r="K1481" s="89">
        <f>IF(H1481="","",H1481+J1481)</f>
        <v/>
      </c>
      <c r="L1481" s="13">
        <f>IF(B1481="","",YEAR(B1481))</f>
        <v/>
      </c>
      <c r="M1481" s="13">
        <f>IF(B1481="","",MONTH(B1481))</f>
        <v/>
      </c>
      <c r="N1481" s="9" t="n"/>
      <c r="O1481" s="9" t="n"/>
      <c r="P1481" s="9" t="n"/>
      <c r="Q1481" s="9" t="n"/>
    </row>
    <row r="1482">
      <c r="A1482" s="9" t="n"/>
      <c r="B1482" s="70" t="n"/>
      <c r="C1482" s="9" t="n"/>
      <c r="D1482" s="9" t="n"/>
      <c r="E1482" s="9" t="n"/>
      <c r="F1482" s="9" t="n"/>
      <c r="G1482" s="9" t="n"/>
      <c r="H1482" s="71" t="n"/>
      <c r="I1482" s="9" t="n"/>
      <c r="J1482" s="89">
        <f>IF(H1482="","",IF(I1482="Sí",ROUND(H1482*Configuracion!$B$11,0),0))</f>
        <v/>
      </c>
      <c r="K1482" s="89">
        <f>IF(H1482="","",H1482+J1482)</f>
        <v/>
      </c>
      <c r="L1482" s="13">
        <f>IF(B1482="","",YEAR(B1482))</f>
        <v/>
      </c>
      <c r="M1482" s="13">
        <f>IF(B1482="","",MONTH(B1482))</f>
        <v/>
      </c>
      <c r="N1482" s="9" t="n"/>
      <c r="O1482" s="9" t="n"/>
      <c r="P1482" s="9" t="n"/>
      <c r="Q1482" s="9" t="n"/>
    </row>
    <row r="1483">
      <c r="A1483" s="9" t="n"/>
      <c r="B1483" s="70" t="n"/>
      <c r="C1483" s="9" t="n"/>
      <c r="D1483" s="9" t="n"/>
      <c r="E1483" s="9" t="n"/>
      <c r="F1483" s="9" t="n"/>
      <c r="G1483" s="9" t="n"/>
      <c r="H1483" s="71" t="n"/>
      <c r="I1483" s="9" t="n"/>
      <c r="J1483" s="89">
        <f>IF(H1483="","",IF(I1483="Sí",ROUND(H1483*Configuracion!$B$11,0),0))</f>
        <v/>
      </c>
      <c r="K1483" s="89">
        <f>IF(H1483="","",H1483+J1483)</f>
        <v/>
      </c>
      <c r="L1483" s="13">
        <f>IF(B1483="","",YEAR(B1483))</f>
        <v/>
      </c>
      <c r="M1483" s="13">
        <f>IF(B1483="","",MONTH(B1483))</f>
        <v/>
      </c>
      <c r="N1483" s="9" t="n"/>
      <c r="O1483" s="9" t="n"/>
      <c r="P1483" s="9" t="n"/>
      <c r="Q1483" s="9" t="n"/>
    </row>
    <row r="1484">
      <c r="A1484" s="9" t="n"/>
      <c r="B1484" s="70" t="n"/>
      <c r="C1484" s="9" t="n"/>
      <c r="D1484" s="9" t="n"/>
      <c r="E1484" s="9" t="n"/>
      <c r="F1484" s="9" t="n"/>
      <c r="G1484" s="9" t="n"/>
      <c r="H1484" s="71" t="n"/>
      <c r="I1484" s="9" t="n"/>
      <c r="J1484" s="89">
        <f>IF(H1484="","",IF(I1484="Sí",ROUND(H1484*Configuracion!$B$11,0),0))</f>
        <v/>
      </c>
      <c r="K1484" s="89">
        <f>IF(H1484="","",H1484+J1484)</f>
        <v/>
      </c>
      <c r="L1484" s="13">
        <f>IF(B1484="","",YEAR(B1484))</f>
        <v/>
      </c>
      <c r="M1484" s="13">
        <f>IF(B1484="","",MONTH(B1484))</f>
        <v/>
      </c>
      <c r="N1484" s="9" t="n"/>
      <c r="O1484" s="9" t="n"/>
      <c r="P1484" s="9" t="n"/>
      <c r="Q1484" s="9" t="n"/>
    </row>
    <row r="1485">
      <c r="A1485" s="9" t="n"/>
      <c r="B1485" s="70" t="n"/>
      <c r="C1485" s="9" t="n"/>
      <c r="D1485" s="9" t="n"/>
      <c r="E1485" s="9" t="n"/>
      <c r="F1485" s="9" t="n"/>
      <c r="G1485" s="9" t="n"/>
      <c r="H1485" s="71" t="n"/>
      <c r="I1485" s="9" t="n"/>
      <c r="J1485" s="89">
        <f>IF(H1485="","",IF(I1485="Sí",ROUND(H1485*Configuracion!$B$11,0),0))</f>
        <v/>
      </c>
      <c r="K1485" s="89">
        <f>IF(H1485="","",H1485+J1485)</f>
        <v/>
      </c>
      <c r="L1485" s="13">
        <f>IF(B1485="","",YEAR(B1485))</f>
        <v/>
      </c>
      <c r="M1485" s="13">
        <f>IF(B1485="","",MONTH(B1485))</f>
        <v/>
      </c>
      <c r="N1485" s="9" t="n"/>
      <c r="O1485" s="9" t="n"/>
      <c r="P1485" s="9" t="n"/>
      <c r="Q1485" s="9" t="n"/>
    </row>
    <row r="1486">
      <c r="A1486" s="9" t="n"/>
      <c r="B1486" s="70" t="n"/>
      <c r="C1486" s="9" t="n"/>
      <c r="D1486" s="9" t="n"/>
      <c r="E1486" s="9" t="n"/>
      <c r="F1486" s="9" t="n"/>
      <c r="G1486" s="9" t="n"/>
      <c r="H1486" s="71" t="n"/>
      <c r="I1486" s="9" t="n"/>
      <c r="J1486" s="89">
        <f>IF(H1486="","",IF(I1486="Sí",ROUND(H1486*Configuracion!$B$11,0),0))</f>
        <v/>
      </c>
      <c r="K1486" s="89">
        <f>IF(H1486="","",H1486+J1486)</f>
        <v/>
      </c>
      <c r="L1486" s="13">
        <f>IF(B1486="","",YEAR(B1486))</f>
        <v/>
      </c>
      <c r="M1486" s="13">
        <f>IF(B1486="","",MONTH(B1486))</f>
        <v/>
      </c>
      <c r="N1486" s="9" t="n"/>
      <c r="O1486" s="9" t="n"/>
      <c r="P1486" s="9" t="n"/>
      <c r="Q1486" s="9" t="n"/>
    </row>
    <row r="1487">
      <c r="A1487" s="9" t="n"/>
      <c r="B1487" s="70" t="n"/>
      <c r="C1487" s="9" t="n"/>
      <c r="D1487" s="9" t="n"/>
      <c r="E1487" s="9" t="n"/>
      <c r="F1487" s="9" t="n"/>
      <c r="G1487" s="9" t="n"/>
      <c r="H1487" s="71" t="n"/>
      <c r="I1487" s="9" t="n"/>
      <c r="J1487" s="89">
        <f>IF(H1487="","",IF(I1487="Sí",ROUND(H1487*Configuracion!$B$11,0),0))</f>
        <v/>
      </c>
      <c r="K1487" s="89">
        <f>IF(H1487="","",H1487+J1487)</f>
        <v/>
      </c>
      <c r="L1487" s="13">
        <f>IF(B1487="","",YEAR(B1487))</f>
        <v/>
      </c>
      <c r="M1487" s="13">
        <f>IF(B1487="","",MONTH(B1487))</f>
        <v/>
      </c>
      <c r="N1487" s="9" t="n"/>
      <c r="O1487" s="9" t="n"/>
      <c r="P1487" s="9" t="n"/>
      <c r="Q1487" s="9" t="n"/>
    </row>
    <row r="1488">
      <c r="A1488" s="9" t="n"/>
      <c r="B1488" s="70" t="n"/>
      <c r="C1488" s="9" t="n"/>
      <c r="D1488" s="9" t="n"/>
      <c r="E1488" s="9" t="n"/>
      <c r="F1488" s="9" t="n"/>
      <c r="G1488" s="9" t="n"/>
      <c r="H1488" s="71" t="n"/>
      <c r="I1488" s="9" t="n"/>
      <c r="J1488" s="89">
        <f>IF(H1488="","",IF(I1488="Sí",ROUND(H1488*Configuracion!$B$11,0),0))</f>
        <v/>
      </c>
      <c r="K1488" s="89">
        <f>IF(H1488="","",H1488+J1488)</f>
        <v/>
      </c>
      <c r="L1488" s="13">
        <f>IF(B1488="","",YEAR(B1488))</f>
        <v/>
      </c>
      <c r="M1488" s="13">
        <f>IF(B1488="","",MONTH(B1488))</f>
        <v/>
      </c>
      <c r="N1488" s="9" t="n"/>
      <c r="O1488" s="9" t="n"/>
      <c r="P1488" s="9" t="n"/>
      <c r="Q1488" s="9" t="n"/>
    </row>
    <row r="1489">
      <c r="A1489" s="9" t="n"/>
      <c r="B1489" s="70" t="n"/>
      <c r="C1489" s="9" t="n"/>
      <c r="D1489" s="9" t="n"/>
      <c r="E1489" s="9" t="n"/>
      <c r="F1489" s="9" t="n"/>
      <c r="G1489" s="9" t="n"/>
      <c r="H1489" s="71" t="n"/>
      <c r="I1489" s="9" t="n"/>
      <c r="J1489" s="89">
        <f>IF(H1489="","",IF(I1489="Sí",ROUND(H1489*Configuracion!$B$11,0),0))</f>
        <v/>
      </c>
      <c r="K1489" s="89">
        <f>IF(H1489="","",H1489+J1489)</f>
        <v/>
      </c>
      <c r="L1489" s="13">
        <f>IF(B1489="","",YEAR(B1489))</f>
        <v/>
      </c>
      <c r="M1489" s="13">
        <f>IF(B1489="","",MONTH(B1489))</f>
        <v/>
      </c>
      <c r="N1489" s="9" t="n"/>
      <c r="O1489" s="9" t="n"/>
      <c r="P1489" s="9" t="n"/>
      <c r="Q1489" s="9" t="n"/>
    </row>
    <row r="1490">
      <c r="A1490" s="9" t="n"/>
      <c r="B1490" s="70" t="n"/>
      <c r="C1490" s="9" t="n"/>
      <c r="D1490" s="9" t="n"/>
      <c r="E1490" s="9" t="n"/>
      <c r="F1490" s="9" t="n"/>
      <c r="G1490" s="9" t="n"/>
      <c r="H1490" s="71" t="n"/>
      <c r="I1490" s="9" t="n"/>
      <c r="J1490" s="89">
        <f>IF(H1490="","",IF(I1490="Sí",ROUND(H1490*Configuracion!$B$11,0),0))</f>
        <v/>
      </c>
      <c r="K1490" s="89">
        <f>IF(H1490="","",H1490+J1490)</f>
        <v/>
      </c>
      <c r="L1490" s="13">
        <f>IF(B1490="","",YEAR(B1490))</f>
        <v/>
      </c>
      <c r="M1490" s="13">
        <f>IF(B1490="","",MONTH(B1490))</f>
        <v/>
      </c>
      <c r="N1490" s="9" t="n"/>
      <c r="O1490" s="9" t="n"/>
      <c r="P1490" s="9" t="n"/>
      <c r="Q1490" s="9" t="n"/>
    </row>
    <row r="1491">
      <c r="A1491" s="9" t="n"/>
      <c r="B1491" s="70" t="n"/>
      <c r="C1491" s="9" t="n"/>
      <c r="D1491" s="9" t="n"/>
      <c r="E1491" s="9" t="n"/>
      <c r="F1491" s="9" t="n"/>
      <c r="G1491" s="9" t="n"/>
      <c r="H1491" s="71" t="n"/>
      <c r="I1491" s="9" t="n"/>
      <c r="J1491" s="89">
        <f>IF(H1491="","",IF(I1491="Sí",ROUND(H1491*Configuracion!$B$11,0),0))</f>
        <v/>
      </c>
      <c r="K1491" s="89">
        <f>IF(H1491="","",H1491+J1491)</f>
        <v/>
      </c>
      <c r="L1491" s="13">
        <f>IF(B1491="","",YEAR(B1491))</f>
        <v/>
      </c>
      <c r="M1491" s="13">
        <f>IF(B1491="","",MONTH(B1491))</f>
        <v/>
      </c>
      <c r="N1491" s="9" t="n"/>
      <c r="O1491" s="9" t="n"/>
      <c r="P1491" s="9" t="n"/>
      <c r="Q1491" s="9" t="n"/>
    </row>
    <row r="1492">
      <c r="A1492" s="9" t="n"/>
      <c r="B1492" s="70" t="n"/>
      <c r="C1492" s="9" t="n"/>
      <c r="D1492" s="9" t="n"/>
      <c r="E1492" s="9" t="n"/>
      <c r="F1492" s="9" t="n"/>
      <c r="G1492" s="9" t="n"/>
      <c r="H1492" s="71" t="n"/>
      <c r="I1492" s="9" t="n"/>
      <c r="J1492" s="89">
        <f>IF(H1492="","",IF(I1492="Sí",ROUND(H1492*Configuracion!$B$11,0),0))</f>
        <v/>
      </c>
      <c r="K1492" s="89">
        <f>IF(H1492="","",H1492+J1492)</f>
        <v/>
      </c>
      <c r="L1492" s="13">
        <f>IF(B1492="","",YEAR(B1492))</f>
        <v/>
      </c>
      <c r="M1492" s="13">
        <f>IF(B1492="","",MONTH(B1492))</f>
        <v/>
      </c>
      <c r="N1492" s="9" t="n"/>
      <c r="O1492" s="9" t="n"/>
      <c r="P1492" s="9" t="n"/>
      <c r="Q1492" s="9" t="n"/>
    </row>
    <row r="1493">
      <c r="A1493" s="9" t="n"/>
      <c r="B1493" s="70" t="n"/>
      <c r="C1493" s="9" t="n"/>
      <c r="D1493" s="9" t="n"/>
      <c r="E1493" s="9" t="n"/>
      <c r="F1493" s="9" t="n"/>
      <c r="G1493" s="9" t="n"/>
      <c r="H1493" s="71" t="n"/>
      <c r="I1493" s="9" t="n"/>
      <c r="J1493" s="89">
        <f>IF(H1493="","",IF(I1493="Sí",ROUND(H1493*Configuracion!$B$11,0),0))</f>
        <v/>
      </c>
      <c r="K1493" s="89">
        <f>IF(H1493="","",H1493+J1493)</f>
        <v/>
      </c>
      <c r="L1493" s="13">
        <f>IF(B1493="","",YEAR(B1493))</f>
        <v/>
      </c>
      <c r="M1493" s="13">
        <f>IF(B1493="","",MONTH(B1493))</f>
        <v/>
      </c>
      <c r="N1493" s="9" t="n"/>
      <c r="O1493" s="9" t="n"/>
      <c r="P1493" s="9" t="n"/>
      <c r="Q1493" s="9" t="n"/>
    </row>
    <row r="1494">
      <c r="A1494" s="9" t="n"/>
      <c r="B1494" s="70" t="n"/>
      <c r="C1494" s="9" t="n"/>
      <c r="D1494" s="9" t="n"/>
      <c r="E1494" s="9" t="n"/>
      <c r="F1494" s="9" t="n"/>
      <c r="G1494" s="9" t="n"/>
      <c r="H1494" s="71" t="n"/>
      <c r="I1494" s="9" t="n"/>
      <c r="J1494" s="89">
        <f>IF(H1494="","",IF(I1494="Sí",ROUND(H1494*Configuracion!$B$11,0),0))</f>
        <v/>
      </c>
      <c r="K1494" s="89">
        <f>IF(H1494="","",H1494+J1494)</f>
        <v/>
      </c>
      <c r="L1494" s="13">
        <f>IF(B1494="","",YEAR(B1494))</f>
        <v/>
      </c>
      <c r="M1494" s="13">
        <f>IF(B1494="","",MONTH(B1494))</f>
        <v/>
      </c>
      <c r="N1494" s="9" t="n"/>
      <c r="O1494" s="9" t="n"/>
      <c r="P1494" s="9" t="n"/>
      <c r="Q1494" s="9" t="n"/>
    </row>
    <row r="1495">
      <c r="A1495" s="9" t="n"/>
      <c r="B1495" s="70" t="n"/>
      <c r="C1495" s="9" t="n"/>
      <c r="D1495" s="9" t="n"/>
      <c r="E1495" s="9" t="n"/>
      <c r="F1495" s="9" t="n"/>
      <c r="G1495" s="9" t="n"/>
      <c r="H1495" s="71" t="n"/>
      <c r="I1495" s="9" t="n"/>
      <c r="J1495" s="89">
        <f>IF(H1495="","",IF(I1495="Sí",ROUND(H1495*Configuracion!$B$11,0),0))</f>
        <v/>
      </c>
      <c r="K1495" s="89">
        <f>IF(H1495="","",H1495+J1495)</f>
        <v/>
      </c>
      <c r="L1495" s="13">
        <f>IF(B1495="","",YEAR(B1495))</f>
        <v/>
      </c>
      <c r="M1495" s="13">
        <f>IF(B1495="","",MONTH(B1495))</f>
        <v/>
      </c>
      <c r="N1495" s="9" t="n"/>
      <c r="O1495" s="9" t="n"/>
      <c r="P1495" s="9" t="n"/>
      <c r="Q1495" s="9" t="n"/>
    </row>
    <row r="1496">
      <c r="A1496" s="9" t="n"/>
      <c r="B1496" s="70" t="n"/>
      <c r="C1496" s="9" t="n"/>
      <c r="D1496" s="9" t="n"/>
      <c r="E1496" s="9" t="n"/>
      <c r="F1496" s="9" t="n"/>
      <c r="G1496" s="9" t="n"/>
      <c r="H1496" s="71" t="n"/>
      <c r="I1496" s="9" t="n"/>
      <c r="J1496" s="89">
        <f>IF(H1496="","",IF(I1496="Sí",ROUND(H1496*Configuracion!$B$11,0),0))</f>
        <v/>
      </c>
      <c r="K1496" s="89">
        <f>IF(H1496="","",H1496+J1496)</f>
        <v/>
      </c>
      <c r="L1496" s="13">
        <f>IF(B1496="","",YEAR(B1496))</f>
        <v/>
      </c>
      <c r="M1496" s="13">
        <f>IF(B1496="","",MONTH(B1496))</f>
        <v/>
      </c>
      <c r="N1496" s="9" t="n"/>
      <c r="O1496" s="9" t="n"/>
      <c r="P1496" s="9" t="n"/>
      <c r="Q1496" s="9" t="n"/>
    </row>
    <row r="1497">
      <c r="A1497" s="9" t="n"/>
      <c r="B1497" s="70" t="n"/>
      <c r="C1497" s="9" t="n"/>
      <c r="D1497" s="9" t="n"/>
      <c r="E1497" s="9" t="n"/>
      <c r="F1497" s="9" t="n"/>
      <c r="G1497" s="9" t="n"/>
      <c r="H1497" s="71" t="n"/>
      <c r="I1497" s="9" t="n"/>
      <c r="J1497" s="89">
        <f>IF(H1497="","",IF(I1497="Sí",ROUND(H1497*Configuracion!$B$11,0),0))</f>
        <v/>
      </c>
      <c r="K1497" s="89">
        <f>IF(H1497="","",H1497+J1497)</f>
        <v/>
      </c>
      <c r="L1497" s="13">
        <f>IF(B1497="","",YEAR(B1497))</f>
        <v/>
      </c>
      <c r="M1497" s="13">
        <f>IF(B1497="","",MONTH(B1497))</f>
        <v/>
      </c>
      <c r="N1497" s="9" t="n"/>
      <c r="O1497" s="9" t="n"/>
      <c r="P1497" s="9" t="n"/>
      <c r="Q1497" s="9" t="n"/>
    </row>
    <row r="1498">
      <c r="A1498" s="9" t="n"/>
      <c r="B1498" s="70" t="n"/>
      <c r="C1498" s="9" t="n"/>
      <c r="D1498" s="9" t="n"/>
      <c r="E1498" s="9" t="n"/>
      <c r="F1498" s="9" t="n"/>
      <c r="G1498" s="9" t="n"/>
      <c r="H1498" s="71" t="n"/>
      <c r="I1498" s="9" t="n"/>
      <c r="J1498" s="89">
        <f>IF(H1498="","",IF(I1498="Sí",ROUND(H1498*Configuracion!$B$11,0),0))</f>
        <v/>
      </c>
      <c r="K1498" s="89">
        <f>IF(H1498="","",H1498+J1498)</f>
        <v/>
      </c>
      <c r="L1498" s="13">
        <f>IF(B1498="","",YEAR(B1498))</f>
        <v/>
      </c>
      <c r="M1498" s="13">
        <f>IF(B1498="","",MONTH(B1498))</f>
        <v/>
      </c>
      <c r="N1498" s="9" t="n"/>
      <c r="O1498" s="9" t="n"/>
      <c r="P1498" s="9" t="n"/>
      <c r="Q1498" s="9" t="n"/>
    </row>
    <row r="1499">
      <c r="A1499" s="9" t="n"/>
      <c r="B1499" s="70" t="n"/>
      <c r="C1499" s="9" t="n"/>
      <c r="D1499" s="9" t="n"/>
      <c r="E1499" s="9" t="n"/>
      <c r="F1499" s="9" t="n"/>
      <c r="G1499" s="9" t="n"/>
      <c r="H1499" s="71" t="n"/>
      <c r="I1499" s="9" t="n"/>
      <c r="J1499" s="89">
        <f>IF(H1499="","",IF(I1499="Sí",ROUND(H1499*Configuracion!$B$11,0),0))</f>
        <v/>
      </c>
      <c r="K1499" s="89">
        <f>IF(H1499="","",H1499+J1499)</f>
        <v/>
      </c>
      <c r="L1499" s="13">
        <f>IF(B1499="","",YEAR(B1499))</f>
        <v/>
      </c>
      <c r="M1499" s="13">
        <f>IF(B1499="","",MONTH(B1499))</f>
        <v/>
      </c>
      <c r="N1499" s="9" t="n"/>
      <c r="O1499" s="9" t="n"/>
      <c r="P1499" s="9" t="n"/>
      <c r="Q1499" s="9" t="n"/>
    </row>
    <row r="1500">
      <c r="A1500" s="9" t="n"/>
      <c r="B1500" s="70" t="n"/>
      <c r="C1500" s="9" t="n"/>
      <c r="D1500" s="9" t="n"/>
      <c r="E1500" s="9" t="n"/>
      <c r="F1500" s="9" t="n"/>
      <c r="G1500" s="9" t="n"/>
      <c r="H1500" s="71" t="n"/>
      <c r="I1500" s="9" t="n"/>
      <c r="J1500" s="89">
        <f>IF(H1500="","",IF(I1500="Sí",ROUND(H1500*Configuracion!$B$11,0),0))</f>
        <v/>
      </c>
      <c r="K1500" s="89">
        <f>IF(H1500="","",H1500+J1500)</f>
        <v/>
      </c>
      <c r="L1500" s="13">
        <f>IF(B1500="","",YEAR(B1500))</f>
        <v/>
      </c>
      <c r="M1500" s="13">
        <f>IF(B1500="","",MONTH(B1500))</f>
        <v/>
      </c>
      <c r="N1500" s="9" t="n"/>
      <c r="O1500" s="9" t="n"/>
      <c r="P1500" s="9" t="n"/>
      <c r="Q1500" s="9" t="n"/>
    </row>
    <row r="1501">
      <c r="A1501" s="9" t="n"/>
      <c r="B1501" s="70" t="n"/>
      <c r="C1501" s="9" t="n"/>
      <c r="D1501" s="9" t="n"/>
      <c r="E1501" s="9" t="n"/>
      <c r="F1501" s="9" t="n"/>
      <c r="G1501" s="9" t="n"/>
      <c r="H1501" s="71" t="n"/>
      <c r="I1501" s="9" t="n"/>
      <c r="J1501" s="89">
        <f>IF(H1501="","",IF(I1501="Sí",ROUND(H1501*Configuracion!$B$11,0),0))</f>
        <v/>
      </c>
      <c r="K1501" s="89">
        <f>IF(H1501="","",H1501+J1501)</f>
        <v/>
      </c>
      <c r="L1501" s="13">
        <f>IF(B1501="","",YEAR(B1501))</f>
        <v/>
      </c>
      <c r="M1501" s="13">
        <f>IF(B1501="","",MONTH(B1501))</f>
        <v/>
      </c>
      <c r="N1501" s="9" t="n"/>
      <c r="O1501" s="9" t="n"/>
      <c r="P1501" s="9" t="n"/>
      <c r="Q1501" s="9" t="n"/>
    </row>
    <row r="1502">
      <c r="A1502" s="9" t="n"/>
      <c r="B1502" s="70" t="n"/>
      <c r="C1502" s="9" t="n"/>
      <c r="D1502" s="9" t="n"/>
      <c r="E1502" s="9" t="n"/>
      <c r="F1502" s="9" t="n"/>
      <c r="G1502" s="9" t="n"/>
      <c r="H1502" s="71" t="n"/>
      <c r="I1502" s="9" t="n"/>
      <c r="J1502" s="89">
        <f>IF(H1502="","",IF(I1502="Sí",ROUND(H1502*Configuracion!$B$11,0),0))</f>
        <v/>
      </c>
      <c r="K1502" s="89">
        <f>IF(H1502="","",H1502+J1502)</f>
        <v/>
      </c>
      <c r="L1502" s="13">
        <f>IF(B1502="","",YEAR(B1502))</f>
        <v/>
      </c>
      <c r="M1502" s="13">
        <f>IF(B1502="","",MONTH(B1502))</f>
        <v/>
      </c>
      <c r="N1502" s="9" t="n"/>
      <c r="O1502" s="9" t="n"/>
      <c r="P1502" s="9" t="n"/>
      <c r="Q1502" s="9" t="n"/>
    </row>
    <row r="1503">
      <c r="A1503" s="9" t="n"/>
      <c r="B1503" s="70" t="n"/>
      <c r="C1503" s="9" t="n"/>
      <c r="D1503" s="9" t="n"/>
      <c r="E1503" s="9" t="n"/>
      <c r="F1503" s="9" t="n"/>
      <c r="G1503" s="9" t="n"/>
      <c r="H1503" s="71" t="n"/>
      <c r="I1503" s="9" t="n"/>
      <c r="J1503" s="89">
        <f>IF(H1503="","",IF(I1503="Sí",ROUND(H1503*Configuracion!$B$11,0),0))</f>
        <v/>
      </c>
      <c r="K1503" s="89">
        <f>IF(H1503="","",H1503+J1503)</f>
        <v/>
      </c>
      <c r="L1503" s="13">
        <f>IF(B1503="","",YEAR(B1503))</f>
        <v/>
      </c>
      <c r="M1503" s="13">
        <f>IF(B1503="","",MONTH(B1503))</f>
        <v/>
      </c>
      <c r="N1503" s="9" t="n"/>
      <c r="O1503" s="9" t="n"/>
      <c r="P1503" s="9" t="n"/>
      <c r="Q1503" s="9" t="n"/>
    </row>
    <row r="1504">
      <c r="A1504" s="9" t="n"/>
      <c r="B1504" s="70" t="n"/>
      <c r="C1504" s="9" t="n"/>
      <c r="D1504" s="9" t="n"/>
      <c r="E1504" s="9" t="n"/>
      <c r="F1504" s="9" t="n"/>
      <c r="G1504" s="9" t="n"/>
      <c r="H1504" s="71" t="n"/>
      <c r="I1504" s="9" t="n"/>
      <c r="J1504" s="89">
        <f>IF(H1504="","",IF(I1504="Sí",ROUND(H1504*Configuracion!$B$11,0),0))</f>
        <v/>
      </c>
      <c r="K1504" s="89">
        <f>IF(H1504="","",H1504+J1504)</f>
        <v/>
      </c>
      <c r="L1504" s="13">
        <f>IF(B1504="","",YEAR(B1504))</f>
        <v/>
      </c>
      <c r="M1504" s="13">
        <f>IF(B1504="","",MONTH(B1504))</f>
        <v/>
      </c>
      <c r="N1504" s="9" t="n"/>
      <c r="O1504" s="9" t="n"/>
      <c r="P1504" s="9" t="n"/>
      <c r="Q1504" s="9" t="n"/>
    </row>
    <row r="1505">
      <c r="A1505" s="9" t="n"/>
      <c r="B1505" s="70" t="n"/>
      <c r="C1505" s="9" t="n"/>
      <c r="D1505" s="9" t="n"/>
      <c r="E1505" s="9" t="n"/>
      <c r="F1505" s="9" t="n"/>
      <c r="G1505" s="9" t="n"/>
      <c r="H1505" s="71" t="n"/>
      <c r="I1505" s="9" t="n"/>
      <c r="J1505" s="89">
        <f>IF(H1505="","",IF(I1505="Sí",ROUND(H1505*Configuracion!$B$11,0),0))</f>
        <v/>
      </c>
      <c r="K1505" s="89">
        <f>IF(H1505="","",H1505+J1505)</f>
        <v/>
      </c>
      <c r="L1505" s="13">
        <f>IF(B1505="","",YEAR(B1505))</f>
        <v/>
      </c>
      <c r="M1505" s="13">
        <f>IF(B1505="","",MONTH(B1505))</f>
        <v/>
      </c>
      <c r="N1505" s="9" t="n"/>
      <c r="O1505" s="9" t="n"/>
      <c r="P1505" s="9" t="n"/>
      <c r="Q1505" s="9" t="n"/>
    </row>
    <row r="1506">
      <c r="A1506" s="9" t="n"/>
      <c r="B1506" s="70" t="n"/>
      <c r="C1506" s="9" t="n"/>
      <c r="D1506" s="9" t="n"/>
      <c r="E1506" s="9" t="n"/>
      <c r="F1506" s="9" t="n"/>
      <c r="G1506" s="9" t="n"/>
      <c r="H1506" s="71" t="n"/>
      <c r="I1506" s="9" t="n"/>
      <c r="J1506" s="89">
        <f>IF(H1506="","",IF(I1506="Sí",ROUND(H1506*Configuracion!$B$11,0),0))</f>
        <v/>
      </c>
      <c r="K1506" s="89">
        <f>IF(H1506="","",H1506+J1506)</f>
        <v/>
      </c>
      <c r="L1506" s="13">
        <f>IF(B1506="","",YEAR(B1506))</f>
        <v/>
      </c>
      <c r="M1506" s="13">
        <f>IF(B1506="","",MONTH(B1506))</f>
        <v/>
      </c>
      <c r="N1506" s="9" t="n"/>
      <c r="O1506" s="9" t="n"/>
      <c r="P1506" s="9" t="n"/>
      <c r="Q1506" s="9" t="n"/>
    </row>
    <row r="1507">
      <c r="A1507" s="9" t="n"/>
      <c r="B1507" s="70" t="n"/>
      <c r="C1507" s="9" t="n"/>
      <c r="D1507" s="9" t="n"/>
      <c r="E1507" s="9" t="n"/>
      <c r="F1507" s="9" t="n"/>
      <c r="G1507" s="9" t="n"/>
      <c r="H1507" s="71" t="n"/>
      <c r="I1507" s="9" t="n"/>
      <c r="J1507" s="89">
        <f>IF(H1507="","",IF(I1507="Sí",ROUND(H1507*Configuracion!$B$11,0),0))</f>
        <v/>
      </c>
      <c r="K1507" s="89">
        <f>IF(H1507="","",H1507+J1507)</f>
        <v/>
      </c>
      <c r="L1507" s="13">
        <f>IF(B1507="","",YEAR(B1507))</f>
        <v/>
      </c>
      <c r="M1507" s="13">
        <f>IF(B1507="","",MONTH(B1507))</f>
        <v/>
      </c>
      <c r="N1507" s="9" t="n"/>
      <c r="O1507" s="9" t="n"/>
      <c r="P1507" s="9" t="n"/>
      <c r="Q1507" s="9" t="n"/>
    </row>
    <row r="1508">
      <c r="A1508" s="9" t="n"/>
      <c r="B1508" s="70" t="n"/>
      <c r="C1508" s="9" t="n"/>
      <c r="D1508" s="9" t="n"/>
      <c r="E1508" s="9" t="n"/>
      <c r="F1508" s="9" t="n"/>
      <c r="G1508" s="9" t="n"/>
      <c r="H1508" s="71" t="n"/>
      <c r="I1508" s="9" t="n"/>
      <c r="J1508" s="89">
        <f>IF(H1508="","",IF(I1508="Sí",ROUND(H1508*Configuracion!$B$11,0),0))</f>
        <v/>
      </c>
      <c r="K1508" s="89">
        <f>IF(H1508="","",H1508+J1508)</f>
        <v/>
      </c>
      <c r="L1508" s="13">
        <f>IF(B1508="","",YEAR(B1508))</f>
        <v/>
      </c>
      <c r="M1508" s="13">
        <f>IF(B1508="","",MONTH(B1508))</f>
        <v/>
      </c>
      <c r="N1508" s="9" t="n"/>
      <c r="O1508" s="9" t="n"/>
      <c r="P1508" s="9" t="n"/>
      <c r="Q1508" s="9" t="n"/>
    </row>
    <row r="1509">
      <c r="A1509" s="9" t="n"/>
      <c r="B1509" s="70" t="n"/>
      <c r="C1509" s="9" t="n"/>
      <c r="D1509" s="9" t="n"/>
      <c r="E1509" s="9" t="n"/>
      <c r="F1509" s="9" t="n"/>
      <c r="G1509" s="9" t="n"/>
      <c r="H1509" s="71" t="n"/>
      <c r="I1509" s="9" t="n"/>
      <c r="J1509" s="89">
        <f>IF(H1509="","",IF(I1509="Sí",ROUND(H1509*Configuracion!$B$11,0),0))</f>
        <v/>
      </c>
      <c r="K1509" s="89">
        <f>IF(H1509="","",H1509+J1509)</f>
        <v/>
      </c>
      <c r="L1509" s="13">
        <f>IF(B1509="","",YEAR(B1509))</f>
        <v/>
      </c>
      <c r="M1509" s="13">
        <f>IF(B1509="","",MONTH(B1509))</f>
        <v/>
      </c>
      <c r="N1509" s="9" t="n"/>
      <c r="O1509" s="9" t="n"/>
      <c r="P1509" s="9" t="n"/>
      <c r="Q1509" s="9" t="n"/>
    </row>
    <row r="1510">
      <c r="A1510" s="9" t="n"/>
      <c r="B1510" s="70" t="n"/>
      <c r="C1510" s="9" t="n"/>
      <c r="D1510" s="9" t="n"/>
      <c r="E1510" s="9" t="n"/>
      <c r="F1510" s="9" t="n"/>
      <c r="G1510" s="9" t="n"/>
      <c r="H1510" s="71" t="n"/>
      <c r="I1510" s="9" t="n"/>
      <c r="J1510" s="89">
        <f>IF(H1510="","",IF(I1510="Sí",ROUND(H1510*Configuracion!$B$11,0),0))</f>
        <v/>
      </c>
      <c r="K1510" s="89">
        <f>IF(H1510="","",H1510+J1510)</f>
        <v/>
      </c>
      <c r="L1510" s="13">
        <f>IF(B1510="","",YEAR(B1510))</f>
        <v/>
      </c>
      <c r="M1510" s="13">
        <f>IF(B1510="","",MONTH(B1510))</f>
        <v/>
      </c>
      <c r="N1510" s="9" t="n"/>
      <c r="O1510" s="9" t="n"/>
      <c r="P1510" s="9" t="n"/>
      <c r="Q1510" s="9" t="n"/>
    </row>
    <row r="1511">
      <c r="A1511" s="9" t="n"/>
      <c r="B1511" s="70" t="n"/>
      <c r="C1511" s="9" t="n"/>
      <c r="D1511" s="9" t="n"/>
      <c r="E1511" s="9" t="n"/>
      <c r="F1511" s="9" t="n"/>
      <c r="G1511" s="9" t="n"/>
      <c r="H1511" s="71" t="n"/>
      <c r="I1511" s="9" t="n"/>
      <c r="J1511" s="89">
        <f>IF(H1511="","",IF(I1511="Sí",ROUND(H1511*Configuracion!$B$11,0),0))</f>
        <v/>
      </c>
      <c r="K1511" s="89">
        <f>IF(H1511="","",H1511+J1511)</f>
        <v/>
      </c>
      <c r="L1511" s="13">
        <f>IF(B1511="","",YEAR(B1511))</f>
        <v/>
      </c>
      <c r="M1511" s="13">
        <f>IF(B1511="","",MONTH(B1511))</f>
        <v/>
      </c>
      <c r="N1511" s="9" t="n"/>
      <c r="O1511" s="9" t="n"/>
      <c r="P1511" s="9" t="n"/>
      <c r="Q1511" s="9" t="n"/>
    </row>
    <row r="1512">
      <c r="A1512" s="9" t="n"/>
      <c r="B1512" s="70" t="n"/>
      <c r="C1512" s="9" t="n"/>
      <c r="D1512" s="9" t="n"/>
      <c r="E1512" s="9" t="n"/>
      <c r="F1512" s="9" t="n"/>
      <c r="G1512" s="9" t="n"/>
      <c r="H1512" s="71" t="n"/>
      <c r="I1512" s="9" t="n"/>
      <c r="J1512" s="89">
        <f>IF(H1512="","",IF(I1512="Sí",ROUND(H1512*Configuracion!$B$11,0),0))</f>
        <v/>
      </c>
      <c r="K1512" s="89">
        <f>IF(H1512="","",H1512+J1512)</f>
        <v/>
      </c>
      <c r="L1512" s="13">
        <f>IF(B1512="","",YEAR(B1512))</f>
        <v/>
      </c>
      <c r="M1512" s="13">
        <f>IF(B1512="","",MONTH(B1512))</f>
        <v/>
      </c>
      <c r="N1512" s="9" t="n"/>
      <c r="O1512" s="9" t="n"/>
      <c r="P1512" s="9" t="n"/>
      <c r="Q1512" s="9" t="n"/>
    </row>
    <row r="1513">
      <c r="A1513" s="9" t="n"/>
      <c r="B1513" s="70" t="n"/>
      <c r="C1513" s="9" t="n"/>
      <c r="D1513" s="9" t="n"/>
      <c r="E1513" s="9" t="n"/>
      <c r="F1513" s="9" t="n"/>
      <c r="G1513" s="9" t="n"/>
      <c r="H1513" s="71" t="n"/>
      <c r="I1513" s="9" t="n"/>
      <c r="J1513" s="89">
        <f>IF(H1513="","",IF(I1513="Sí",ROUND(H1513*Configuracion!$B$11,0),0))</f>
        <v/>
      </c>
      <c r="K1513" s="89">
        <f>IF(H1513="","",H1513+J1513)</f>
        <v/>
      </c>
      <c r="L1513" s="13">
        <f>IF(B1513="","",YEAR(B1513))</f>
        <v/>
      </c>
      <c r="M1513" s="13">
        <f>IF(B1513="","",MONTH(B1513))</f>
        <v/>
      </c>
      <c r="N1513" s="9" t="n"/>
      <c r="O1513" s="9" t="n"/>
      <c r="P1513" s="9" t="n"/>
      <c r="Q1513" s="9" t="n"/>
    </row>
    <row r="1514">
      <c r="A1514" s="9" t="n"/>
      <c r="B1514" s="70" t="n"/>
      <c r="C1514" s="9" t="n"/>
      <c r="D1514" s="9" t="n"/>
      <c r="E1514" s="9" t="n"/>
      <c r="F1514" s="9" t="n"/>
      <c r="G1514" s="9" t="n"/>
      <c r="H1514" s="71" t="n"/>
      <c r="I1514" s="9" t="n"/>
      <c r="J1514" s="89">
        <f>IF(H1514="","",IF(I1514="Sí",ROUND(H1514*Configuracion!$B$11,0),0))</f>
        <v/>
      </c>
      <c r="K1514" s="89">
        <f>IF(H1514="","",H1514+J1514)</f>
        <v/>
      </c>
      <c r="L1514" s="13">
        <f>IF(B1514="","",YEAR(B1514))</f>
        <v/>
      </c>
      <c r="M1514" s="13">
        <f>IF(B1514="","",MONTH(B1514))</f>
        <v/>
      </c>
      <c r="N1514" s="9" t="n"/>
      <c r="O1514" s="9" t="n"/>
      <c r="P1514" s="9" t="n"/>
      <c r="Q1514" s="9" t="n"/>
    </row>
    <row r="1515">
      <c r="A1515" s="9" t="n"/>
      <c r="B1515" s="70" t="n"/>
      <c r="C1515" s="9" t="n"/>
      <c r="D1515" s="9" t="n"/>
      <c r="E1515" s="9" t="n"/>
      <c r="F1515" s="9" t="n"/>
      <c r="G1515" s="9" t="n"/>
      <c r="H1515" s="71" t="n"/>
      <c r="I1515" s="9" t="n"/>
      <c r="J1515" s="89">
        <f>IF(H1515="","",IF(I1515="Sí",ROUND(H1515*Configuracion!$B$11,0),0))</f>
        <v/>
      </c>
      <c r="K1515" s="89">
        <f>IF(H1515="","",H1515+J1515)</f>
        <v/>
      </c>
      <c r="L1515" s="13">
        <f>IF(B1515="","",YEAR(B1515))</f>
        <v/>
      </c>
      <c r="M1515" s="13">
        <f>IF(B1515="","",MONTH(B1515))</f>
        <v/>
      </c>
      <c r="N1515" s="9" t="n"/>
      <c r="O1515" s="9" t="n"/>
      <c r="P1515" s="9" t="n"/>
      <c r="Q1515" s="9" t="n"/>
    </row>
    <row r="1516">
      <c r="A1516" s="9" t="n"/>
      <c r="B1516" s="70" t="n"/>
      <c r="C1516" s="9" t="n"/>
      <c r="D1516" s="9" t="n"/>
      <c r="E1516" s="9" t="n"/>
      <c r="F1516" s="9" t="n"/>
      <c r="G1516" s="9" t="n"/>
      <c r="H1516" s="71" t="n"/>
      <c r="I1516" s="9" t="n"/>
      <c r="J1516" s="89">
        <f>IF(H1516="","",IF(I1516="Sí",ROUND(H1516*Configuracion!$B$11,0),0))</f>
        <v/>
      </c>
      <c r="K1516" s="89">
        <f>IF(H1516="","",H1516+J1516)</f>
        <v/>
      </c>
      <c r="L1516" s="13">
        <f>IF(B1516="","",YEAR(B1516))</f>
        <v/>
      </c>
      <c r="M1516" s="13">
        <f>IF(B1516="","",MONTH(B1516))</f>
        <v/>
      </c>
      <c r="N1516" s="9" t="n"/>
      <c r="O1516" s="9" t="n"/>
      <c r="P1516" s="9" t="n"/>
      <c r="Q1516" s="9" t="n"/>
    </row>
    <row r="1517">
      <c r="A1517" s="9" t="n"/>
      <c r="B1517" s="70" t="n"/>
      <c r="C1517" s="9" t="n"/>
      <c r="D1517" s="9" t="n"/>
      <c r="E1517" s="9" t="n"/>
      <c r="F1517" s="9" t="n"/>
      <c r="G1517" s="9" t="n"/>
      <c r="H1517" s="71" t="n"/>
      <c r="I1517" s="9" t="n"/>
      <c r="J1517" s="89">
        <f>IF(H1517="","",IF(I1517="Sí",ROUND(H1517*Configuracion!$B$11,0),0))</f>
        <v/>
      </c>
      <c r="K1517" s="89">
        <f>IF(H1517="","",H1517+J1517)</f>
        <v/>
      </c>
      <c r="L1517" s="13">
        <f>IF(B1517="","",YEAR(B1517))</f>
        <v/>
      </c>
      <c r="M1517" s="13">
        <f>IF(B1517="","",MONTH(B1517))</f>
        <v/>
      </c>
      <c r="N1517" s="9" t="n"/>
      <c r="O1517" s="9" t="n"/>
      <c r="P1517" s="9" t="n"/>
      <c r="Q1517" s="9" t="n"/>
    </row>
    <row r="1518">
      <c r="A1518" s="9" t="n"/>
      <c r="B1518" s="70" t="n"/>
      <c r="C1518" s="9" t="n"/>
      <c r="D1518" s="9" t="n"/>
      <c r="E1518" s="9" t="n"/>
      <c r="F1518" s="9" t="n"/>
      <c r="G1518" s="9" t="n"/>
      <c r="H1518" s="71" t="n"/>
      <c r="I1518" s="9" t="n"/>
      <c r="J1518" s="89">
        <f>IF(H1518="","",IF(I1518="Sí",ROUND(H1518*Configuracion!$B$11,0),0))</f>
        <v/>
      </c>
      <c r="K1518" s="89">
        <f>IF(H1518="","",H1518+J1518)</f>
        <v/>
      </c>
      <c r="L1518" s="13">
        <f>IF(B1518="","",YEAR(B1518))</f>
        <v/>
      </c>
      <c r="M1518" s="13">
        <f>IF(B1518="","",MONTH(B1518))</f>
        <v/>
      </c>
      <c r="N1518" s="9" t="n"/>
      <c r="O1518" s="9" t="n"/>
      <c r="P1518" s="9" t="n"/>
      <c r="Q1518" s="9" t="n"/>
    </row>
    <row r="1519">
      <c r="A1519" s="9" t="n"/>
      <c r="B1519" s="70" t="n"/>
      <c r="C1519" s="9" t="n"/>
      <c r="D1519" s="9" t="n"/>
      <c r="E1519" s="9" t="n"/>
      <c r="F1519" s="9" t="n"/>
      <c r="G1519" s="9" t="n"/>
      <c r="H1519" s="71" t="n"/>
      <c r="I1519" s="9" t="n"/>
      <c r="J1519" s="89">
        <f>IF(H1519="","",IF(I1519="Sí",ROUND(H1519*Configuracion!$B$11,0),0))</f>
        <v/>
      </c>
      <c r="K1519" s="89">
        <f>IF(H1519="","",H1519+J1519)</f>
        <v/>
      </c>
      <c r="L1519" s="13">
        <f>IF(B1519="","",YEAR(B1519))</f>
        <v/>
      </c>
      <c r="M1519" s="13">
        <f>IF(B1519="","",MONTH(B1519))</f>
        <v/>
      </c>
      <c r="N1519" s="9" t="n"/>
      <c r="O1519" s="9" t="n"/>
      <c r="P1519" s="9" t="n"/>
      <c r="Q1519" s="9" t="n"/>
    </row>
    <row r="1520">
      <c r="A1520" s="9" t="n"/>
      <c r="B1520" s="70" t="n"/>
      <c r="C1520" s="9" t="n"/>
      <c r="D1520" s="9" t="n"/>
      <c r="E1520" s="9" t="n"/>
      <c r="F1520" s="9" t="n"/>
      <c r="G1520" s="9" t="n"/>
      <c r="H1520" s="71" t="n"/>
      <c r="I1520" s="9" t="n"/>
      <c r="J1520" s="89">
        <f>IF(H1520="","",IF(I1520="Sí",ROUND(H1520*Configuracion!$B$11,0),0))</f>
        <v/>
      </c>
      <c r="K1520" s="89">
        <f>IF(H1520="","",H1520+J1520)</f>
        <v/>
      </c>
      <c r="L1520" s="13">
        <f>IF(B1520="","",YEAR(B1520))</f>
        <v/>
      </c>
      <c r="M1520" s="13">
        <f>IF(B1520="","",MONTH(B1520))</f>
        <v/>
      </c>
      <c r="N1520" s="9" t="n"/>
      <c r="O1520" s="9" t="n"/>
      <c r="P1520" s="9" t="n"/>
      <c r="Q1520" s="9" t="n"/>
    </row>
    <row r="1521">
      <c r="A1521" s="9" t="n"/>
      <c r="B1521" s="70" t="n"/>
      <c r="C1521" s="9" t="n"/>
      <c r="D1521" s="9" t="n"/>
      <c r="E1521" s="9" t="n"/>
      <c r="F1521" s="9" t="n"/>
      <c r="G1521" s="9" t="n"/>
      <c r="H1521" s="71" t="n"/>
      <c r="I1521" s="9" t="n"/>
      <c r="J1521" s="89">
        <f>IF(H1521="","",IF(I1521="Sí",ROUND(H1521*Configuracion!$B$11,0),0))</f>
        <v/>
      </c>
      <c r="K1521" s="89">
        <f>IF(H1521="","",H1521+J1521)</f>
        <v/>
      </c>
      <c r="L1521" s="13">
        <f>IF(B1521="","",YEAR(B1521))</f>
        <v/>
      </c>
      <c r="M1521" s="13">
        <f>IF(B1521="","",MONTH(B1521))</f>
        <v/>
      </c>
      <c r="N1521" s="9" t="n"/>
      <c r="O1521" s="9" t="n"/>
      <c r="P1521" s="9" t="n"/>
      <c r="Q1521" s="9" t="n"/>
    </row>
    <row r="1522">
      <c r="A1522" s="9" t="n"/>
      <c r="B1522" s="70" t="n"/>
      <c r="C1522" s="9" t="n"/>
      <c r="D1522" s="9" t="n"/>
      <c r="E1522" s="9" t="n"/>
      <c r="F1522" s="9" t="n"/>
      <c r="G1522" s="9" t="n"/>
      <c r="H1522" s="71" t="n"/>
      <c r="I1522" s="9" t="n"/>
      <c r="J1522" s="89">
        <f>IF(H1522="","",IF(I1522="Sí",ROUND(H1522*Configuracion!$B$11,0),0))</f>
        <v/>
      </c>
      <c r="K1522" s="89">
        <f>IF(H1522="","",H1522+J1522)</f>
        <v/>
      </c>
      <c r="L1522" s="13">
        <f>IF(B1522="","",YEAR(B1522))</f>
        <v/>
      </c>
      <c r="M1522" s="13">
        <f>IF(B1522="","",MONTH(B1522))</f>
        <v/>
      </c>
      <c r="N1522" s="9" t="n"/>
      <c r="O1522" s="9" t="n"/>
      <c r="P1522" s="9" t="n"/>
      <c r="Q1522" s="9" t="n"/>
    </row>
    <row r="1523">
      <c r="A1523" s="9" t="n"/>
      <c r="B1523" s="70" t="n"/>
      <c r="C1523" s="9" t="n"/>
      <c r="D1523" s="9" t="n"/>
      <c r="E1523" s="9" t="n"/>
      <c r="F1523" s="9" t="n"/>
      <c r="G1523" s="9" t="n"/>
      <c r="H1523" s="71" t="n"/>
      <c r="I1523" s="9" t="n"/>
      <c r="J1523" s="89">
        <f>IF(H1523="","",IF(I1523="Sí",ROUND(H1523*Configuracion!$B$11,0),0))</f>
        <v/>
      </c>
      <c r="K1523" s="89">
        <f>IF(H1523="","",H1523+J1523)</f>
        <v/>
      </c>
      <c r="L1523" s="13">
        <f>IF(B1523="","",YEAR(B1523))</f>
        <v/>
      </c>
      <c r="M1523" s="13">
        <f>IF(B1523="","",MONTH(B1523))</f>
        <v/>
      </c>
      <c r="N1523" s="9" t="n"/>
      <c r="O1523" s="9" t="n"/>
      <c r="P1523" s="9" t="n"/>
      <c r="Q1523" s="9" t="n"/>
    </row>
    <row r="1524">
      <c r="A1524" s="9" t="n"/>
      <c r="B1524" s="70" t="n"/>
      <c r="C1524" s="9" t="n"/>
      <c r="D1524" s="9" t="n"/>
      <c r="E1524" s="9" t="n"/>
      <c r="F1524" s="9" t="n"/>
      <c r="G1524" s="9" t="n"/>
      <c r="H1524" s="71" t="n"/>
      <c r="I1524" s="9" t="n"/>
      <c r="J1524" s="89">
        <f>IF(H1524="","",IF(I1524="Sí",ROUND(H1524*Configuracion!$B$11,0),0))</f>
        <v/>
      </c>
      <c r="K1524" s="89">
        <f>IF(H1524="","",H1524+J1524)</f>
        <v/>
      </c>
      <c r="L1524" s="13">
        <f>IF(B1524="","",YEAR(B1524))</f>
        <v/>
      </c>
      <c r="M1524" s="13">
        <f>IF(B1524="","",MONTH(B1524))</f>
        <v/>
      </c>
      <c r="N1524" s="9" t="n"/>
      <c r="O1524" s="9" t="n"/>
      <c r="P1524" s="9" t="n"/>
      <c r="Q1524" s="9" t="n"/>
    </row>
    <row r="1525">
      <c r="A1525" s="9" t="n"/>
      <c r="B1525" s="70" t="n"/>
      <c r="C1525" s="9" t="n"/>
      <c r="D1525" s="9" t="n"/>
      <c r="E1525" s="9" t="n"/>
      <c r="F1525" s="9" t="n"/>
      <c r="G1525" s="9" t="n"/>
      <c r="H1525" s="71" t="n"/>
      <c r="I1525" s="9" t="n"/>
      <c r="J1525" s="89">
        <f>IF(H1525="","",IF(I1525="Sí",ROUND(H1525*Configuracion!$B$11,0),0))</f>
        <v/>
      </c>
      <c r="K1525" s="89">
        <f>IF(H1525="","",H1525+J1525)</f>
        <v/>
      </c>
      <c r="L1525" s="13">
        <f>IF(B1525="","",YEAR(B1525))</f>
        <v/>
      </c>
      <c r="M1525" s="13">
        <f>IF(B1525="","",MONTH(B1525))</f>
        <v/>
      </c>
      <c r="N1525" s="9" t="n"/>
      <c r="O1525" s="9" t="n"/>
      <c r="P1525" s="9" t="n"/>
      <c r="Q1525" s="9" t="n"/>
    </row>
    <row r="1526">
      <c r="A1526" s="9" t="n"/>
      <c r="B1526" s="70" t="n"/>
      <c r="C1526" s="9" t="n"/>
      <c r="D1526" s="9" t="n"/>
      <c r="E1526" s="9" t="n"/>
      <c r="F1526" s="9" t="n"/>
      <c r="G1526" s="9" t="n"/>
      <c r="H1526" s="71" t="n"/>
      <c r="I1526" s="9" t="n"/>
      <c r="J1526" s="89">
        <f>IF(H1526="","",IF(I1526="Sí",ROUND(H1526*Configuracion!$B$11,0),0))</f>
        <v/>
      </c>
      <c r="K1526" s="89">
        <f>IF(H1526="","",H1526+J1526)</f>
        <v/>
      </c>
      <c r="L1526" s="13">
        <f>IF(B1526="","",YEAR(B1526))</f>
        <v/>
      </c>
      <c r="M1526" s="13">
        <f>IF(B1526="","",MONTH(B1526))</f>
        <v/>
      </c>
      <c r="N1526" s="9" t="n"/>
      <c r="O1526" s="9" t="n"/>
      <c r="P1526" s="9" t="n"/>
      <c r="Q1526" s="9" t="n"/>
    </row>
    <row r="1527">
      <c r="A1527" s="9" t="n"/>
      <c r="B1527" s="70" t="n"/>
      <c r="C1527" s="9" t="n"/>
      <c r="D1527" s="9" t="n"/>
      <c r="E1527" s="9" t="n"/>
      <c r="F1527" s="9" t="n"/>
      <c r="G1527" s="9" t="n"/>
      <c r="H1527" s="71" t="n"/>
      <c r="I1527" s="9" t="n"/>
      <c r="J1527" s="89">
        <f>IF(H1527="","",IF(I1527="Sí",ROUND(H1527*Configuracion!$B$11,0),0))</f>
        <v/>
      </c>
      <c r="K1527" s="89">
        <f>IF(H1527="","",H1527+J1527)</f>
        <v/>
      </c>
      <c r="L1527" s="13">
        <f>IF(B1527="","",YEAR(B1527))</f>
        <v/>
      </c>
      <c r="M1527" s="13">
        <f>IF(B1527="","",MONTH(B1527))</f>
        <v/>
      </c>
      <c r="N1527" s="9" t="n"/>
      <c r="O1527" s="9" t="n"/>
      <c r="P1527" s="9" t="n"/>
      <c r="Q1527" s="9" t="n"/>
    </row>
    <row r="1528">
      <c r="A1528" s="9" t="n"/>
      <c r="B1528" s="70" t="n"/>
      <c r="C1528" s="9" t="n"/>
      <c r="D1528" s="9" t="n"/>
      <c r="E1528" s="9" t="n"/>
      <c r="F1528" s="9" t="n"/>
      <c r="G1528" s="9" t="n"/>
      <c r="H1528" s="71" t="n"/>
      <c r="I1528" s="9" t="n"/>
      <c r="J1528" s="89">
        <f>IF(H1528="","",IF(I1528="Sí",ROUND(H1528*Configuracion!$B$11,0),0))</f>
        <v/>
      </c>
      <c r="K1528" s="89">
        <f>IF(H1528="","",H1528+J1528)</f>
        <v/>
      </c>
      <c r="L1528" s="13">
        <f>IF(B1528="","",YEAR(B1528))</f>
        <v/>
      </c>
      <c r="M1528" s="13">
        <f>IF(B1528="","",MONTH(B1528))</f>
        <v/>
      </c>
      <c r="N1528" s="9" t="n"/>
      <c r="O1528" s="9" t="n"/>
      <c r="P1528" s="9" t="n"/>
      <c r="Q1528" s="9" t="n"/>
    </row>
    <row r="1529">
      <c r="A1529" s="9" t="n"/>
      <c r="B1529" s="70" t="n"/>
      <c r="C1529" s="9" t="n"/>
      <c r="D1529" s="9" t="n"/>
      <c r="E1529" s="9" t="n"/>
      <c r="F1529" s="9" t="n"/>
      <c r="G1529" s="9" t="n"/>
      <c r="H1529" s="71" t="n"/>
      <c r="I1529" s="9" t="n"/>
      <c r="J1529" s="89">
        <f>IF(H1529="","",IF(I1529="Sí",ROUND(H1529*Configuracion!$B$11,0),0))</f>
        <v/>
      </c>
      <c r="K1529" s="89">
        <f>IF(H1529="","",H1529+J1529)</f>
        <v/>
      </c>
      <c r="L1529" s="13">
        <f>IF(B1529="","",YEAR(B1529))</f>
        <v/>
      </c>
      <c r="M1529" s="13">
        <f>IF(B1529="","",MONTH(B1529))</f>
        <v/>
      </c>
      <c r="N1529" s="9" t="n"/>
      <c r="O1529" s="9" t="n"/>
      <c r="P1529" s="9" t="n"/>
      <c r="Q1529" s="9" t="n"/>
    </row>
    <row r="1530">
      <c r="A1530" s="9" t="n"/>
      <c r="B1530" s="70" t="n"/>
      <c r="C1530" s="9" t="n"/>
      <c r="D1530" s="9" t="n"/>
      <c r="E1530" s="9" t="n"/>
      <c r="F1530" s="9" t="n"/>
      <c r="G1530" s="9" t="n"/>
      <c r="H1530" s="71" t="n"/>
      <c r="I1530" s="9" t="n"/>
      <c r="J1530" s="89">
        <f>IF(H1530="","",IF(I1530="Sí",ROUND(H1530*Configuracion!$B$11,0),0))</f>
        <v/>
      </c>
      <c r="K1530" s="89">
        <f>IF(H1530="","",H1530+J1530)</f>
        <v/>
      </c>
      <c r="L1530" s="13">
        <f>IF(B1530="","",YEAR(B1530))</f>
        <v/>
      </c>
      <c r="M1530" s="13">
        <f>IF(B1530="","",MONTH(B1530))</f>
        <v/>
      </c>
      <c r="N1530" s="9" t="n"/>
      <c r="O1530" s="9" t="n"/>
      <c r="P1530" s="9" t="n"/>
      <c r="Q1530" s="9" t="n"/>
    </row>
    <row r="1531">
      <c r="A1531" s="9" t="n"/>
      <c r="B1531" s="70" t="n"/>
      <c r="C1531" s="9" t="n"/>
      <c r="D1531" s="9" t="n"/>
      <c r="E1531" s="9" t="n"/>
      <c r="F1531" s="9" t="n"/>
      <c r="G1531" s="9" t="n"/>
      <c r="H1531" s="71" t="n"/>
      <c r="I1531" s="9" t="n"/>
      <c r="J1531" s="89">
        <f>IF(H1531="","",IF(I1531="Sí",ROUND(H1531*Configuracion!$B$11,0),0))</f>
        <v/>
      </c>
      <c r="K1531" s="89">
        <f>IF(H1531="","",H1531+J1531)</f>
        <v/>
      </c>
      <c r="L1531" s="13">
        <f>IF(B1531="","",YEAR(B1531))</f>
        <v/>
      </c>
      <c r="M1531" s="13">
        <f>IF(B1531="","",MONTH(B1531))</f>
        <v/>
      </c>
      <c r="N1531" s="9" t="n"/>
      <c r="O1531" s="9" t="n"/>
      <c r="P1531" s="9" t="n"/>
      <c r="Q1531" s="9" t="n"/>
    </row>
    <row r="1532">
      <c r="A1532" s="9" t="n"/>
      <c r="B1532" s="70" t="n"/>
      <c r="C1532" s="9" t="n"/>
      <c r="D1532" s="9" t="n"/>
      <c r="E1532" s="9" t="n"/>
      <c r="F1532" s="9" t="n"/>
      <c r="G1532" s="9" t="n"/>
      <c r="H1532" s="71" t="n"/>
      <c r="I1532" s="9" t="n"/>
      <c r="J1532" s="89">
        <f>IF(H1532="","",IF(I1532="Sí",ROUND(H1532*Configuracion!$B$11,0),0))</f>
        <v/>
      </c>
      <c r="K1532" s="89">
        <f>IF(H1532="","",H1532+J1532)</f>
        <v/>
      </c>
      <c r="L1532" s="13">
        <f>IF(B1532="","",YEAR(B1532))</f>
        <v/>
      </c>
      <c r="M1532" s="13">
        <f>IF(B1532="","",MONTH(B1532))</f>
        <v/>
      </c>
      <c r="N1532" s="9" t="n"/>
      <c r="O1532" s="9" t="n"/>
      <c r="P1532" s="9" t="n"/>
      <c r="Q1532" s="9" t="n"/>
    </row>
    <row r="1533">
      <c r="A1533" s="9" t="n"/>
      <c r="B1533" s="70" t="n"/>
      <c r="C1533" s="9" t="n"/>
      <c r="D1533" s="9" t="n"/>
      <c r="E1533" s="9" t="n"/>
      <c r="F1533" s="9" t="n"/>
      <c r="G1533" s="9" t="n"/>
      <c r="H1533" s="71" t="n"/>
      <c r="I1533" s="9" t="n"/>
      <c r="J1533" s="89">
        <f>IF(H1533="","",IF(I1533="Sí",ROUND(H1533*Configuracion!$B$11,0),0))</f>
        <v/>
      </c>
      <c r="K1533" s="89">
        <f>IF(H1533="","",H1533+J1533)</f>
        <v/>
      </c>
      <c r="L1533" s="13">
        <f>IF(B1533="","",YEAR(B1533))</f>
        <v/>
      </c>
      <c r="M1533" s="13">
        <f>IF(B1533="","",MONTH(B1533))</f>
        <v/>
      </c>
      <c r="N1533" s="9" t="n"/>
      <c r="O1533" s="9" t="n"/>
      <c r="P1533" s="9" t="n"/>
      <c r="Q1533" s="9" t="n"/>
    </row>
    <row r="1534">
      <c r="A1534" s="9" t="n"/>
      <c r="B1534" s="70" t="n"/>
      <c r="C1534" s="9" t="n"/>
      <c r="D1534" s="9" t="n"/>
      <c r="E1534" s="9" t="n"/>
      <c r="F1534" s="9" t="n"/>
      <c r="G1534" s="9" t="n"/>
      <c r="H1534" s="71" t="n"/>
      <c r="I1534" s="9" t="n"/>
      <c r="J1534" s="89">
        <f>IF(H1534="","",IF(I1534="Sí",ROUND(H1534*Configuracion!$B$11,0),0))</f>
        <v/>
      </c>
      <c r="K1534" s="89">
        <f>IF(H1534="","",H1534+J1534)</f>
        <v/>
      </c>
      <c r="L1534" s="13">
        <f>IF(B1534="","",YEAR(B1534))</f>
        <v/>
      </c>
      <c r="M1534" s="13">
        <f>IF(B1534="","",MONTH(B1534))</f>
        <v/>
      </c>
      <c r="N1534" s="9" t="n"/>
      <c r="O1534" s="9" t="n"/>
      <c r="P1534" s="9" t="n"/>
      <c r="Q1534" s="9" t="n"/>
    </row>
    <row r="1535">
      <c r="A1535" s="9" t="n"/>
      <c r="B1535" s="70" t="n"/>
      <c r="C1535" s="9" t="n"/>
      <c r="D1535" s="9" t="n"/>
      <c r="E1535" s="9" t="n"/>
      <c r="F1535" s="9" t="n"/>
      <c r="G1535" s="9" t="n"/>
      <c r="H1535" s="71" t="n"/>
      <c r="I1535" s="9" t="n"/>
      <c r="J1535" s="89">
        <f>IF(H1535="","",IF(I1535="Sí",ROUND(H1535*Configuracion!$B$11,0),0))</f>
        <v/>
      </c>
      <c r="K1535" s="89">
        <f>IF(H1535="","",H1535+J1535)</f>
        <v/>
      </c>
      <c r="L1535" s="13">
        <f>IF(B1535="","",YEAR(B1535))</f>
        <v/>
      </c>
      <c r="M1535" s="13">
        <f>IF(B1535="","",MONTH(B1535))</f>
        <v/>
      </c>
      <c r="N1535" s="9" t="n"/>
      <c r="O1535" s="9" t="n"/>
      <c r="P1535" s="9" t="n"/>
      <c r="Q1535" s="9" t="n"/>
    </row>
    <row r="1536">
      <c r="A1536" s="9" t="n"/>
      <c r="B1536" s="70" t="n"/>
      <c r="C1536" s="9" t="n"/>
      <c r="D1536" s="9" t="n"/>
      <c r="E1536" s="9" t="n"/>
      <c r="F1536" s="9" t="n"/>
      <c r="G1536" s="9" t="n"/>
      <c r="H1536" s="71" t="n"/>
      <c r="I1536" s="9" t="n"/>
      <c r="J1536" s="89">
        <f>IF(H1536="","",IF(I1536="Sí",ROUND(H1536*Configuracion!$B$11,0),0))</f>
        <v/>
      </c>
      <c r="K1536" s="89">
        <f>IF(H1536="","",H1536+J1536)</f>
        <v/>
      </c>
      <c r="L1536" s="13">
        <f>IF(B1536="","",YEAR(B1536))</f>
        <v/>
      </c>
      <c r="M1536" s="13">
        <f>IF(B1536="","",MONTH(B1536))</f>
        <v/>
      </c>
      <c r="N1536" s="9" t="n"/>
      <c r="O1536" s="9" t="n"/>
      <c r="P1536" s="9" t="n"/>
      <c r="Q1536" s="9" t="n"/>
    </row>
    <row r="1537">
      <c r="A1537" s="9" t="n"/>
      <c r="B1537" s="70" t="n"/>
      <c r="C1537" s="9" t="n"/>
      <c r="D1537" s="9" t="n"/>
      <c r="E1537" s="9" t="n"/>
      <c r="F1537" s="9" t="n"/>
      <c r="G1537" s="9" t="n"/>
      <c r="H1537" s="71" t="n"/>
      <c r="I1537" s="9" t="n"/>
      <c r="J1537" s="89">
        <f>IF(H1537="","",IF(I1537="Sí",ROUND(H1537*Configuracion!$B$11,0),0))</f>
        <v/>
      </c>
      <c r="K1537" s="89">
        <f>IF(H1537="","",H1537+J1537)</f>
        <v/>
      </c>
      <c r="L1537" s="13">
        <f>IF(B1537="","",YEAR(B1537))</f>
        <v/>
      </c>
      <c r="M1537" s="13">
        <f>IF(B1537="","",MONTH(B1537))</f>
        <v/>
      </c>
      <c r="N1537" s="9" t="n"/>
      <c r="O1537" s="9" t="n"/>
      <c r="P1537" s="9" t="n"/>
      <c r="Q1537" s="9" t="n"/>
    </row>
    <row r="1538">
      <c r="A1538" s="9" t="n"/>
      <c r="B1538" s="70" t="n"/>
      <c r="C1538" s="9" t="n"/>
      <c r="D1538" s="9" t="n"/>
      <c r="E1538" s="9" t="n"/>
      <c r="F1538" s="9" t="n"/>
      <c r="G1538" s="9" t="n"/>
      <c r="H1538" s="71" t="n"/>
      <c r="I1538" s="9" t="n"/>
      <c r="J1538" s="89">
        <f>IF(H1538="","",IF(I1538="Sí",ROUND(H1538*Configuracion!$B$11,0),0))</f>
        <v/>
      </c>
      <c r="K1538" s="89">
        <f>IF(H1538="","",H1538+J1538)</f>
        <v/>
      </c>
      <c r="L1538" s="13">
        <f>IF(B1538="","",YEAR(B1538))</f>
        <v/>
      </c>
      <c r="M1538" s="13">
        <f>IF(B1538="","",MONTH(B1538))</f>
        <v/>
      </c>
      <c r="N1538" s="9" t="n"/>
      <c r="O1538" s="9" t="n"/>
      <c r="P1538" s="9" t="n"/>
      <c r="Q1538" s="9" t="n"/>
    </row>
    <row r="1539">
      <c r="A1539" s="9" t="n"/>
      <c r="B1539" s="70" t="n"/>
      <c r="C1539" s="9" t="n"/>
      <c r="D1539" s="9" t="n"/>
      <c r="E1539" s="9" t="n"/>
      <c r="F1539" s="9" t="n"/>
      <c r="G1539" s="9" t="n"/>
      <c r="H1539" s="71" t="n"/>
      <c r="I1539" s="9" t="n"/>
      <c r="J1539" s="89">
        <f>IF(H1539="","",IF(I1539="Sí",ROUND(H1539*Configuracion!$B$11,0),0))</f>
        <v/>
      </c>
      <c r="K1539" s="89">
        <f>IF(H1539="","",H1539+J1539)</f>
        <v/>
      </c>
      <c r="L1539" s="13">
        <f>IF(B1539="","",YEAR(B1539))</f>
        <v/>
      </c>
      <c r="M1539" s="13">
        <f>IF(B1539="","",MONTH(B1539))</f>
        <v/>
      </c>
      <c r="N1539" s="9" t="n"/>
      <c r="O1539" s="9" t="n"/>
      <c r="P1539" s="9" t="n"/>
      <c r="Q1539" s="9" t="n"/>
    </row>
    <row r="1540">
      <c r="A1540" s="9" t="n"/>
      <c r="B1540" s="70" t="n"/>
      <c r="C1540" s="9" t="n"/>
      <c r="D1540" s="9" t="n"/>
      <c r="E1540" s="9" t="n"/>
      <c r="F1540" s="9" t="n"/>
      <c r="G1540" s="9" t="n"/>
      <c r="H1540" s="71" t="n"/>
      <c r="I1540" s="9" t="n"/>
      <c r="J1540" s="89">
        <f>IF(H1540="","",IF(I1540="Sí",ROUND(H1540*Configuracion!$B$11,0),0))</f>
        <v/>
      </c>
      <c r="K1540" s="89">
        <f>IF(H1540="","",H1540+J1540)</f>
        <v/>
      </c>
      <c r="L1540" s="13">
        <f>IF(B1540="","",YEAR(B1540))</f>
        <v/>
      </c>
      <c r="M1540" s="13">
        <f>IF(B1540="","",MONTH(B1540))</f>
        <v/>
      </c>
      <c r="N1540" s="9" t="n"/>
      <c r="O1540" s="9" t="n"/>
      <c r="P1540" s="9" t="n"/>
      <c r="Q1540" s="9" t="n"/>
    </row>
    <row r="1541">
      <c r="A1541" s="9" t="n"/>
      <c r="B1541" s="70" t="n"/>
      <c r="C1541" s="9" t="n"/>
      <c r="D1541" s="9" t="n"/>
      <c r="E1541" s="9" t="n"/>
      <c r="F1541" s="9" t="n"/>
      <c r="G1541" s="9" t="n"/>
      <c r="H1541" s="71" t="n"/>
      <c r="I1541" s="9" t="n"/>
      <c r="J1541" s="89">
        <f>IF(H1541="","",IF(I1541="Sí",ROUND(H1541*Configuracion!$B$11,0),0))</f>
        <v/>
      </c>
      <c r="K1541" s="89">
        <f>IF(H1541="","",H1541+J1541)</f>
        <v/>
      </c>
      <c r="L1541" s="13">
        <f>IF(B1541="","",YEAR(B1541))</f>
        <v/>
      </c>
      <c r="M1541" s="13">
        <f>IF(B1541="","",MONTH(B1541))</f>
        <v/>
      </c>
      <c r="N1541" s="9" t="n"/>
      <c r="O1541" s="9" t="n"/>
      <c r="P1541" s="9" t="n"/>
      <c r="Q1541" s="9" t="n"/>
    </row>
    <row r="1542">
      <c r="A1542" s="9" t="n"/>
      <c r="B1542" s="70" t="n"/>
      <c r="C1542" s="9" t="n"/>
      <c r="D1542" s="9" t="n"/>
      <c r="E1542" s="9" t="n"/>
      <c r="F1542" s="9" t="n"/>
      <c r="G1542" s="9" t="n"/>
      <c r="H1542" s="71" t="n"/>
      <c r="I1542" s="9" t="n"/>
      <c r="J1542" s="89">
        <f>IF(H1542="","",IF(I1542="Sí",ROUND(H1542*Configuracion!$B$11,0),0))</f>
        <v/>
      </c>
      <c r="K1542" s="89">
        <f>IF(H1542="","",H1542+J1542)</f>
        <v/>
      </c>
      <c r="L1542" s="13">
        <f>IF(B1542="","",YEAR(B1542))</f>
        <v/>
      </c>
      <c r="M1542" s="13">
        <f>IF(B1542="","",MONTH(B1542))</f>
        <v/>
      </c>
      <c r="N1542" s="9" t="n"/>
      <c r="O1542" s="9" t="n"/>
      <c r="P1542" s="9" t="n"/>
      <c r="Q1542" s="9" t="n"/>
    </row>
    <row r="1543">
      <c r="A1543" s="9" t="n"/>
      <c r="B1543" s="70" t="n"/>
      <c r="C1543" s="9" t="n"/>
      <c r="D1543" s="9" t="n"/>
      <c r="E1543" s="9" t="n"/>
      <c r="F1543" s="9" t="n"/>
      <c r="G1543" s="9" t="n"/>
      <c r="H1543" s="71" t="n"/>
      <c r="I1543" s="9" t="n"/>
      <c r="J1543" s="89">
        <f>IF(H1543="","",IF(I1543="Sí",ROUND(H1543*Configuracion!$B$11,0),0))</f>
        <v/>
      </c>
      <c r="K1543" s="89">
        <f>IF(H1543="","",H1543+J1543)</f>
        <v/>
      </c>
      <c r="L1543" s="13">
        <f>IF(B1543="","",YEAR(B1543))</f>
        <v/>
      </c>
      <c r="M1543" s="13">
        <f>IF(B1543="","",MONTH(B1543))</f>
        <v/>
      </c>
      <c r="N1543" s="9" t="n"/>
      <c r="O1543" s="9" t="n"/>
      <c r="P1543" s="9" t="n"/>
      <c r="Q1543" s="9" t="n"/>
    </row>
    <row r="1544">
      <c r="A1544" s="9" t="n"/>
      <c r="B1544" s="70" t="n"/>
      <c r="C1544" s="9" t="n"/>
      <c r="D1544" s="9" t="n"/>
      <c r="E1544" s="9" t="n"/>
      <c r="F1544" s="9" t="n"/>
      <c r="G1544" s="9" t="n"/>
      <c r="H1544" s="71" t="n"/>
      <c r="I1544" s="9" t="n"/>
      <c r="J1544" s="89">
        <f>IF(H1544="","",IF(I1544="Sí",ROUND(H1544*Configuracion!$B$11,0),0))</f>
        <v/>
      </c>
      <c r="K1544" s="89">
        <f>IF(H1544="","",H1544+J1544)</f>
        <v/>
      </c>
      <c r="L1544" s="13">
        <f>IF(B1544="","",YEAR(B1544))</f>
        <v/>
      </c>
      <c r="M1544" s="13">
        <f>IF(B1544="","",MONTH(B1544))</f>
        <v/>
      </c>
      <c r="N1544" s="9" t="n"/>
      <c r="O1544" s="9" t="n"/>
      <c r="P1544" s="9" t="n"/>
      <c r="Q1544" s="9" t="n"/>
    </row>
    <row r="1545">
      <c r="A1545" s="9" t="n"/>
      <c r="B1545" s="70" t="n"/>
      <c r="C1545" s="9" t="n"/>
      <c r="D1545" s="9" t="n"/>
      <c r="E1545" s="9" t="n"/>
      <c r="F1545" s="9" t="n"/>
      <c r="G1545" s="9" t="n"/>
      <c r="H1545" s="71" t="n"/>
      <c r="I1545" s="9" t="n"/>
      <c r="J1545" s="89">
        <f>IF(H1545="","",IF(I1545="Sí",ROUND(H1545*Configuracion!$B$11,0),0))</f>
        <v/>
      </c>
      <c r="K1545" s="89">
        <f>IF(H1545="","",H1545+J1545)</f>
        <v/>
      </c>
      <c r="L1545" s="13">
        <f>IF(B1545="","",YEAR(B1545))</f>
        <v/>
      </c>
      <c r="M1545" s="13">
        <f>IF(B1545="","",MONTH(B1545))</f>
        <v/>
      </c>
      <c r="N1545" s="9" t="n"/>
      <c r="O1545" s="9" t="n"/>
      <c r="P1545" s="9" t="n"/>
      <c r="Q1545" s="9" t="n"/>
    </row>
    <row r="1546">
      <c r="A1546" s="9" t="n"/>
      <c r="B1546" s="70" t="n"/>
      <c r="C1546" s="9" t="n"/>
      <c r="D1546" s="9" t="n"/>
      <c r="E1546" s="9" t="n"/>
      <c r="F1546" s="9" t="n"/>
      <c r="G1546" s="9" t="n"/>
      <c r="H1546" s="71" t="n"/>
      <c r="I1546" s="9" t="n"/>
      <c r="J1546" s="89">
        <f>IF(H1546="","",IF(I1546="Sí",ROUND(H1546*Configuracion!$B$11,0),0))</f>
        <v/>
      </c>
      <c r="K1546" s="89">
        <f>IF(H1546="","",H1546+J1546)</f>
        <v/>
      </c>
      <c r="L1546" s="13">
        <f>IF(B1546="","",YEAR(B1546))</f>
        <v/>
      </c>
      <c r="M1546" s="13">
        <f>IF(B1546="","",MONTH(B1546))</f>
        <v/>
      </c>
      <c r="N1546" s="9" t="n"/>
      <c r="O1546" s="9" t="n"/>
      <c r="P1546" s="9" t="n"/>
      <c r="Q1546" s="9" t="n"/>
    </row>
    <row r="1547">
      <c r="A1547" s="9" t="n"/>
      <c r="B1547" s="70" t="n"/>
      <c r="C1547" s="9" t="n"/>
      <c r="D1547" s="9" t="n"/>
      <c r="E1547" s="9" t="n"/>
      <c r="F1547" s="9" t="n"/>
      <c r="G1547" s="9" t="n"/>
      <c r="H1547" s="71" t="n"/>
      <c r="I1547" s="9" t="n"/>
      <c r="J1547" s="89">
        <f>IF(H1547="","",IF(I1547="Sí",ROUND(H1547*Configuracion!$B$11,0),0))</f>
        <v/>
      </c>
      <c r="K1547" s="89">
        <f>IF(H1547="","",H1547+J1547)</f>
        <v/>
      </c>
      <c r="L1547" s="13">
        <f>IF(B1547="","",YEAR(B1547))</f>
        <v/>
      </c>
      <c r="M1547" s="13">
        <f>IF(B1547="","",MONTH(B1547))</f>
        <v/>
      </c>
      <c r="N1547" s="9" t="n"/>
      <c r="O1547" s="9" t="n"/>
      <c r="P1547" s="9" t="n"/>
      <c r="Q1547" s="9" t="n"/>
    </row>
    <row r="1548">
      <c r="A1548" s="9" t="n"/>
      <c r="B1548" s="70" t="n"/>
      <c r="C1548" s="9" t="n"/>
      <c r="D1548" s="9" t="n"/>
      <c r="E1548" s="9" t="n"/>
      <c r="F1548" s="9" t="n"/>
      <c r="G1548" s="9" t="n"/>
      <c r="H1548" s="71" t="n"/>
      <c r="I1548" s="9" t="n"/>
      <c r="J1548" s="89">
        <f>IF(H1548="","",IF(I1548="Sí",ROUND(H1548*Configuracion!$B$11,0),0))</f>
        <v/>
      </c>
      <c r="K1548" s="89">
        <f>IF(H1548="","",H1548+J1548)</f>
        <v/>
      </c>
      <c r="L1548" s="13">
        <f>IF(B1548="","",YEAR(B1548))</f>
        <v/>
      </c>
      <c r="M1548" s="13">
        <f>IF(B1548="","",MONTH(B1548))</f>
        <v/>
      </c>
      <c r="N1548" s="9" t="n"/>
      <c r="O1548" s="9" t="n"/>
      <c r="P1548" s="9" t="n"/>
      <c r="Q1548" s="9" t="n"/>
    </row>
    <row r="1549">
      <c r="A1549" s="9" t="n"/>
      <c r="B1549" s="70" t="n"/>
      <c r="C1549" s="9" t="n"/>
      <c r="D1549" s="9" t="n"/>
      <c r="E1549" s="9" t="n"/>
      <c r="F1549" s="9" t="n"/>
      <c r="G1549" s="9" t="n"/>
      <c r="H1549" s="71" t="n"/>
      <c r="I1549" s="9" t="n"/>
      <c r="J1549" s="89">
        <f>IF(H1549="","",IF(I1549="Sí",ROUND(H1549*Configuracion!$B$11,0),0))</f>
        <v/>
      </c>
      <c r="K1549" s="89">
        <f>IF(H1549="","",H1549+J1549)</f>
        <v/>
      </c>
      <c r="L1549" s="13">
        <f>IF(B1549="","",YEAR(B1549))</f>
        <v/>
      </c>
      <c r="M1549" s="13">
        <f>IF(B1549="","",MONTH(B1549))</f>
        <v/>
      </c>
      <c r="N1549" s="9" t="n"/>
      <c r="O1549" s="9" t="n"/>
      <c r="P1549" s="9" t="n"/>
      <c r="Q1549" s="9" t="n"/>
    </row>
    <row r="1550">
      <c r="A1550" s="9" t="n"/>
      <c r="B1550" s="70" t="n"/>
      <c r="C1550" s="9" t="n"/>
      <c r="D1550" s="9" t="n"/>
      <c r="E1550" s="9" t="n"/>
      <c r="F1550" s="9" t="n"/>
      <c r="G1550" s="9" t="n"/>
      <c r="H1550" s="71" t="n"/>
      <c r="I1550" s="9" t="n"/>
      <c r="J1550" s="89">
        <f>IF(H1550="","",IF(I1550="Sí",ROUND(H1550*Configuracion!$B$11,0),0))</f>
        <v/>
      </c>
      <c r="K1550" s="89">
        <f>IF(H1550="","",H1550+J1550)</f>
        <v/>
      </c>
      <c r="L1550" s="13">
        <f>IF(B1550="","",YEAR(B1550))</f>
        <v/>
      </c>
      <c r="M1550" s="13">
        <f>IF(B1550="","",MONTH(B1550))</f>
        <v/>
      </c>
      <c r="N1550" s="9" t="n"/>
      <c r="O1550" s="9" t="n"/>
      <c r="P1550" s="9" t="n"/>
      <c r="Q1550" s="9" t="n"/>
    </row>
    <row r="1551">
      <c r="A1551" s="9" t="n"/>
      <c r="B1551" s="70" t="n"/>
      <c r="C1551" s="9" t="n"/>
      <c r="D1551" s="9" t="n"/>
      <c r="E1551" s="9" t="n"/>
      <c r="F1551" s="9" t="n"/>
      <c r="G1551" s="9" t="n"/>
      <c r="H1551" s="71" t="n"/>
      <c r="I1551" s="9" t="n"/>
      <c r="J1551" s="89">
        <f>IF(H1551="","",IF(I1551="Sí",ROUND(H1551*Configuracion!$B$11,0),0))</f>
        <v/>
      </c>
      <c r="K1551" s="89">
        <f>IF(H1551="","",H1551+J1551)</f>
        <v/>
      </c>
      <c r="L1551" s="13">
        <f>IF(B1551="","",YEAR(B1551))</f>
        <v/>
      </c>
      <c r="M1551" s="13">
        <f>IF(B1551="","",MONTH(B1551))</f>
        <v/>
      </c>
      <c r="N1551" s="9" t="n"/>
      <c r="O1551" s="9" t="n"/>
      <c r="P1551" s="9" t="n"/>
      <c r="Q1551" s="9" t="n"/>
    </row>
    <row r="1552">
      <c r="A1552" s="9" t="n"/>
      <c r="B1552" s="70" t="n"/>
      <c r="C1552" s="9" t="n"/>
      <c r="D1552" s="9" t="n"/>
      <c r="E1552" s="9" t="n"/>
      <c r="F1552" s="9" t="n"/>
      <c r="G1552" s="9" t="n"/>
      <c r="H1552" s="71" t="n"/>
      <c r="I1552" s="9" t="n"/>
      <c r="J1552" s="89">
        <f>IF(H1552="","",IF(I1552="Sí",ROUND(H1552*Configuracion!$B$11,0),0))</f>
        <v/>
      </c>
      <c r="K1552" s="89">
        <f>IF(H1552="","",H1552+J1552)</f>
        <v/>
      </c>
      <c r="L1552" s="13">
        <f>IF(B1552="","",YEAR(B1552))</f>
        <v/>
      </c>
      <c r="M1552" s="13">
        <f>IF(B1552="","",MONTH(B1552))</f>
        <v/>
      </c>
      <c r="N1552" s="9" t="n"/>
      <c r="O1552" s="9" t="n"/>
      <c r="P1552" s="9" t="n"/>
      <c r="Q1552" s="9" t="n"/>
    </row>
    <row r="1553">
      <c r="A1553" s="9" t="n"/>
      <c r="B1553" s="70" t="n"/>
      <c r="C1553" s="9" t="n"/>
      <c r="D1553" s="9" t="n"/>
      <c r="E1553" s="9" t="n"/>
      <c r="F1553" s="9" t="n"/>
      <c r="G1553" s="9" t="n"/>
      <c r="H1553" s="71" t="n"/>
      <c r="I1553" s="9" t="n"/>
      <c r="J1553" s="89">
        <f>IF(H1553="","",IF(I1553="Sí",ROUND(H1553*Configuracion!$B$11,0),0))</f>
        <v/>
      </c>
      <c r="K1553" s="89">
        <f>IF(H1553="","",H1553+J1553)</f>
        <v/>
      </c>
      <c r="L1553" s="13">
        <f>IF(B1553="","",YEAR(B1553))</f>
        <v/>
      </c>
      <c r="M1553" s="13">
        <f>IF(B1553="","",MONTH(B1553))</f>
        <v/>
      </c>
      <c r="N1553" s="9" t="n"/>
      <c r="O1553" s="9" t="n"/>
      <c r="P1553" s="9" t="n"/>
      <c r="Q1553" s="9" t="n"/>
    </row>
    <row r="1554">
      <c r="A1554" s="9" t="n"/>
      <c r="B1554" s="70" t="n"/>
      <c r="C1554" s="9" t="n"/>
      <c r="D1554" s="9" t="n"/>
      <c r="E1554" s="9" t="n"/>
      <c r="F1554" s="9" t="n"/>
      <c r="G1554" s="9" t="n"/>
      <c r="H1554" s="71" t="n"/>
      <c r="I1554" s="9" t="n"/>
      <c r="J1554" s="89">
        <f>IF(H1554="","",IF(I1554="Sí",ROUND(H1554*Configuracion!$B$11,0),0))</f>
        <v/>
      </c>
      <c r="K1554" s="89">
        <f>IF(H1554="","",H1554+J1554)</f>
        <v/>
      </c>
      <c r="L1554" s="13">
        <f>IF(B1554="","",YEAR(B1554))</f>
        <v/>
      </c>
      <c r="M1554" s="13">
        <f>IF(B1554="","",MONTH(B1554))</f>
        <v/>
      </c>
      <c r="N1554" s="9" t="n"/>
      <c r="O1554" s="9" t="n"/>
      <c r="P1554" s="9" t="n"/>
      <c r="Q1554" s="9" t="n"/>
    </row>
    <row r="1555">
      <c r="A1555" s="9" t="n"/>
      <c r="B1555" s="70" t="n"/>
      <c r="C1555" s="9" t="n"/>
      <c r="D1555" s="9" t="n"/>
      <c r="E1555" s="9" t="n"/>
      <c r="F1555" s="9" t="n"/>
      <c r="G1555" s="9" t="n"/>
      <c r="H1555" s="71" t="n"/>
      <c r="I1555" s="9" t="n"/>
      <c r="J1555" s="89">
        <f>IF(H1555="","",IF(I1555="Sí",ROUND(H1555*Configuracion!$B$11,0),0))</f>
        <v/>
      </c>
      <c r="K1555" s="89">
        <f>IF(H1555="","",H1555+J1555)</f>
        <v/>
      </c>
      <c r="L1555" s="13">
        <f>IF(B1555="","",YEAR(B1555))</f>
        <v/>
      </c>
      <c r="M1555" s="13">
        <f>IF(B1555="","",MONTH(B1555))</f>
        <v/>
      </c>
      <c r="N1555" s="9" t="n"/>
      <c r="O1555" s="9" t="n"/>
      <c r="P1555" s="9" t="n"/>
      <c r="Q1555" s="9" t="n"/>
    </row>
    <row r="1556">
      <c r="A1556" s="9" t="n"/>
      <c r="B1556" s="70" t="n"/>
      <c r="C1556" s="9" t="n"/>
      <c r="D1556" s="9" t="n"/>
      <c r="E1556" s="9" t="n"/>
      <c r="F1556" s="9" t="n"/>
      <c r="G1556" s="9" t="n"/>
      <c r="H1556" s="71" t="n"/>
      <c r="I1556" s="9" t="n"/>
      <c r="J1556" s="89">
        <f>IF(H1556="","",IF(I1556="Sí",ROUND(H1556*Configuracion!$B$11,0),0))</f>
        <v/>
      </c>
      <c r="K1556" s="89">
        <f>IF(H1556="","",H1556+J1556)</f>
        <v/>
      </c>
      <c r="L1556" s="13">
        <f>IF(B1556="","",YEAR(B1556))</f>
        <v/>
      </c>
      <c r="M1556" s="13">
        <f>IF(B1556="","",MONTH(B1556))</f>
        <v/>
      </c>
      <c r="N1556" s="9" t="n"/>
      <c r="O1556" s="9" t="n"/>
      <c r="P1556" s="9" t="n"/>
      <c r="Q1556" s="9" t="n"/>
    </row>
    <row r="1557">
      <c r="A1557" s="9" t="n"/>
      <c r="B1557" s="70" t="n"/>
      <c r="C1557" s="9" t="n"/>
      <c r="D1557" s="9" t="n"/>
      <c r="E1557" s="9" t="n"/>
      <c r="F1557" s="9" t="n"/>
      <c r="G1557" s="9" t="n"/>
      <c r="H1557" s="71" t="n"/>
      <c r="I1557" s="9" t="n"/>
      <c r="J1557" s="89">
        <f>IF(H1557="","",IF(I1557="Sí",ROUND(H1557*Configuracion!$B$11,0),0))</f>
        <v/>
      </c>
      <c r="K1557" s="89">
        <f>IF(H1557="","",H1557+J1557)</f>
        <v/>
      </c>
      <c r="L1557" s="13">
        <f>IF(B1557="","",YEAR(B1557))</f>
        <v/>
      </c>
      <c r="M1557" s="13">
        <f>IF(B1557="","",MONTH(B1557))</f>
        <v/>
      </c>
      <c r="N1557" s="9" t="n"/>
      <c r="O1557" s="9" t="n"/>
      <c r="P1557" s="9" t="n"/>
      <c r="Q1557" s="9" t="n"/>
    </row>
    <row r="1558">
      <c r="A1558" s="9" t="n"/>
      <c r="B1558" s="70" t="n"/>
      <c r="C1558" s="9" t="n"/>
      <c r="D1558" s="9" t="n"/>
      <c r="E1558" s="9" t="n"/>
      <c r="F1558" s="9" t="n"/>
      <c r="G1558" s="9" t="n"/>
      <c r="H1558" s="71" t="n"/>
      <c r="I1558" s="9" t="n"/>
      <c r="J1558" s="89">
        <f>IF(H1558="","",IF(I1558="Sí",ROUND(H1558*Configuracion!$B$11,0),0))</f>
        <v/>
      </c>
      <c r="K1558" s="89">
        <f>IF(H1558="","",H1558+J1558)</f>
        <v/>
      </c>
      <c r="L1558" s="13">
        <f>IF(B1558="","",YEAR(B1558))</f>
        <v/>
      </c>
      <c r="M1558" s="13">
        <f>IF(B1558="","",MONTH(B1558))</f>
        <v/>
      </c>
      <c r="N1558" s="9" t="n"/>
      <c r="O1558" s="9" t="n"/>
      <c r="P1558" s="9" t="n"/>
      <c r="Q1558" s="9" t="n"/>
    </row>
    <row r="1559">
      <c r="A1559" s="9" t="n"/>
      <c r="B1559" s="70" t="n"/>
      <c r="C1559" s="9" t="n"/>
      <c r="D1559" s="9" t="n"/>
      <c r="E1559" s="9" t="n"/>
      <c r="F1559" s="9" t="n"/>
      <c r="G1559" s="9" t="n"/>
      <c r="H1559" s="71" t="n"/>
      <c r="I1559" s="9" t="n"/>
      <c r="J1559" s="89">
        <f>IF(H1559="","",IF(I1559="Sí",ROUND(H1559*Configuracion!$B$11,0),0))</f>
        <v/>
      </c>
      <c r="K1559" s="89">
        <f>IF(H1559="","",H1559+J1559)</f>
        <v/>
      </c>
      <c r="L1559" s="13">
        <f>IF(B1559="","",YEAR(B1559))</f>
        <v/>
      </c>
      <c r="M1559" s="13">
        <f>IF(B1559="","",MONTH(B1559))</f>
        <v/>
      </c>
      <c r="N1559" s="9" t="n"/>
      <c r="O1559" s="9" t="n"/>
      <c r="P1559" s="9" t="n"/>
      <c r="Q1559" s="9" t="n"/>
    </row>
    <row r="1560">
      <c r="A1560" s="9" t="n"/>
      <c r="B1560" s="70" t="n"/>
      <c r="C1560" s="9" t="n"/>
      <c r="D1560" s="9" t="n"/>
      <c r="E1560" s="9" t="n"/>
      <c r="F1560" s="9" t="n"/>
      <c r="G1560" s="9" t="n"/>
      <c r="H1560" s="71" t="n"/>
      <c r="I1560" s="9" t="n"/>
      <c r="J1560" s="89">
        <f>IF(H1560="","",IF(I1560="Sí",ROUND(H1560*Configuracion!$B$11,0),0))</f>
        <v/>
      </c>
      <c r="K1560" s="89">
        <f>IF(H1560="","",H1560+J1560)</f>
        <v/>
      </c>
      <c r="L1560" s="13">
        <f>IF(B1560="","",YEAR(B1560))</f>
        <v/>
      </c>
      <c r="M1560" s="13">
        <f>IF(B1560="","",MONTH(B1560))</f>
        <v/>
      </c>
      <c r="N1560" s="9" t="n"/>
      <c r="O1560" s="9" t="n"/>
      <c r="P1560" s="9" t="n"/>
      <c r="Q1560" s="9" t="n"/>
    </row>
    <row r="1561">
      <c r="A1561" s="9" t="n"/>
      <c r="B1561" s="70" t="n"/>
      <c r="C1561" s="9" t="n"/>
      <c r="D1561" s="9" t="n"/>
      <c r="E1561" s="9" t="n"/>
      <c r="F1561" s="9" t="n"/>
      <c r="G1561" s="9" t="n"/>
      <c r="H1561" s="71" t="n"/>
      <c r="I1561" s="9" t="n"/>
      <c r="J1561" s="89">
        <f>IF(H1561="","",IF(I1561="Sí",ROUND(H1561*Configuracion!$B$11,0),0))</f>
        <v/>
      </c>
      <c r="K1561" s="89">
        <f>IF(H1561="","",H1561+J1561)</f>
        <v/>
      </c>
      <c r="L1561" s="13">
        <f>IF(B1561="","",YEAR(B1561))</f>
        <v/>
      </c>
      <c r="M1561" s="13">
        <f>IF(B1561="","",MONTH(B1561))</f>
        <v/>
      </c>
      <c r="N1561" s="9" t="n"/>
      <c r="O1561" s="9" t="n"/>
      <c r="P1561" s="9" t="n"/>
      <c r="Q1561" s="9" t="n"/>
    </row>
    <row r="1562">
      <c r="A1562" s="9" t="n"/>
      <c r="B1562" s="70" t="n"/>
      <c r="C1562" s="9" t="n"/>
      <c r="D1562" s="9" t="n"/>
      <c r="E1562" s="9" t="n"/>
      <c r="F1562" s="9" t="n"/>
      <c r="G1562" s="9" t="n"/>
      <c r="H1562" s="71" t="n"/>
      <c r="I1562" s="9" t="n"/>
      <c r="J1562" s="89">
        <f>IF(H1562="","",IF(I1562="Sí",ROUND(H1562*Configuracion!$B$11,0),0))</f>
        <v/>
      </c>
      <c r="K1562" s="89">
        <f>IF(H1562="","",H1562+J1562)</f>
        <v/>
      </c>
      <c r="L1562" s="13">
        <f>IF(B1562="","",YEAR(B1562))</f>
        <v/>
      </c>
      <c r="M1562" s="13">
        <f>IF(B1562="","",MONTH(B1562))</f>
        <v/>
      </c>
      <c r="N1562" s="9" t="n"/>
      <c r="O1562" s="9" t="n"/>
      <c r="P1562" s="9" t="n"/>
      <c r="Q1562" s="9" t="n"/>
    </row>
    <row r="1563">
      <c r="A1563" s="9" t="n"/>
      <c r="B1563" s="70" t="n"/>
      <c r="C1563" s="9" t="n"/>
      <c r="D1563" s="9" t="n"/>
      <c r="E1563" s="9" t="n"/>
      <c r="F1563" s="9" t="n"/>
      <c r="G1563" s="9" t="n"/>
      <c r="H1563" s="71" t="n"/>
      <c r="I1563" s="9" t="n"/>
      <c r="J1563" s="89">
        <f>IF(H1563="","",IF(I1563="Sí",ROUND(H1563*Configuracion!$B$11,0),0))</f>
        <v/>
      </c>
      <c r="K1563" s="89">
        <f>IF(H1563="","",H1563+J1563)</f>
        <v/>
      </c>
      <c r="L1563" s="13">
        <f>IF(B1563="","",YEAR(B1563))</f>
        <v/>
      </c>
      <c r="M1563" s="13">
        <f>IF(B1563="","",MONTH(B1563))</f>
        <v/>
      </c>
      <c r="N1563" s="9" t="n"/>
      <c r="O1563" s="9" t="n"/>
      <c r="P1563" s="9" t="n"/>
      <c r="Q1563" s="9" t="n"/>
    </row>
    <row r="1564">
      <c r="A1564" s="9" t="n"/>
      <c r="B1564" s="70" t="n"/>
      <c r="C1564" s="9" t="n"/>
      <c r="D1564" s="9" t="n"/>
      <c r="E1564" s="9" t="n"/>
      <c r="F1564" s="9" t="n"/>
      <c r="G1564" s="9" t="n"/>
      <c r="H1564" s="71" t="n"/>
      <c r="I1564" s="9" t="n"/>
      <c r="J1564" s="89">
        <f>IF(H1564="","",IF(I1564="Sí",ROUND(H1564*Configuracion!$B$11,0),0))</f>
        <v/>
      </c>
      <c r="K1564" s="89">
        <f>IF(H1564="","",H1564+J1564)</f>
        <v/>
      </c>
      <c r="L1564" s="13">
        <f>IF(B1564="","",YEAR(B1564))</f>
        <v/>
      </c>
      <c r="M1564" s="13">
        <f>IF(B1564="","",MONTH(B1564))</f>
        <v/>
      </c>
      <c r="N1564" s="9" t="n"/>
      <c r="O1564" s="9" t="n"/>
      <c r="P1564" s="9" t="n"/>
      <c r="Q1564" s="9" t="n"/>
    </row>
    <row r="1565">
      <c r="A1565" s="9" t="n"/>
      <c r="B1565" s="70" t="n"/>
      <c r="C1565" s="9" t="n"/>
      <c r="D1565" s="9" t="n"/>
      <c r="E1565" s="9" t="n"/>
      <c r="F1565" s="9" t="n"/>
      <c r="G1565" s="9" t="n"/>
      <c r="H1565" s="71" t="n"/>
      <c r="I1565" s="9" t="n"/>
      <c r="J1565" s="89">
        <f>IF(H1565="","",IF(I1565="Sí",ROUND(H1565*Configuracion!$B$11,0),0))</f>
        <v/>
      </c>
      <c r="K1565" s="89">
        <f>IF(H1565="","",H1565+J1565)</f>
        <v/>
      </c>
      <c r="L1565" s="13">
        <f>IF(B1565="","",YEAR(B1565))</f>
        <v/>
      </c>
      <c r="M1565" s="13">
        <f>IF(B1565="","",MONTH(B1565))</f>
        <v/>
      </c>
      <c r="N1565" s="9" t="n"/>
      <c r="O1565" s="9" t="n"/>
      <c r="P1565" s="9" t="n"/>
      <c r="Q1565" s="9" t="n"/>
    </row>
    <row r="1566">
      <c r="A1566" s="9" t="n"/>
      <c r="B1566" s="70" t="n"/>
      <c r="C1566" s="9" t="n"/>
      <c r="D1566" s="9" t="n"/>
      <c r="E1566" s="9" t="n"/>
      <c r="F1566" s="9" t="n"/>
      <c r="G1566" s="9" t="n"/>
      <c r="H1566" s="71" t="n"/>
      <c r="I1566" s="9" t="n"/>
      <c r="J1566" s="89">
        <f>IF(H1566="","",IF(I1566="Sí",ROUND(H1566*Configuracion!$B$11,0),0))</f>
        <v/>
      </c>
      <c r="K1566" s="89">
        <f>IF(H1566="","",H1566+J1566)</f>
        <v/>
      </c>
      <c r="L1566" s="13">
        <f>IF(B1566="","",YEAR(B1566))</f>
        <v/>
      </c>
      <c r="M1566" s="13">
        <f>IF(B1566="","",MONTH(B1566))</f>
        <v/>
      </c>
      <c r="N1566" s="9" t="n"/>
      <c r="O1566" s="9" t="n"/>
      <c r="P1566" s="9" t="n"/>
      <c r="Q1566" s="9" t="n"/>
    </row>
    <row r="1567">
      <c r="A1567" s="9" t="n"/>
      <c r="B1567" s="70" t="n"/>
      <c r="C1567" s="9" t="n"/>
      <c r="D1567" s="9" t="n"/>
      <c r="E1567" s="9" t="n"/>
      <c r="F1567" s="9" t="n"/>
      <c r="G1567" s="9" t="n"/>
      <c r="H1567" s="71" t="n"/>
      <c r="I1567" s="9" t="n"/>
      <c r="J1567" s="89">
        <f>IF(H1567="","",IF(I1567="Sí",ROUND(H1567*Configuracion!$B$11,0),0))</f>
        <v/>
      </c>
      <c r="K1567" s="89">
        <f>IF(H1567="","",H1567+J1567)</f>
        <v/>
      </c>
      <c r="L1567" s="13">
        <f>IF(B1567="","",YEAR(B1567))</f>
        <v/>
      </c>
      <c r="M1567" s="13">
        <f>IF(B1567="","",MONTH(B1567))</f>
        <v/>
      </c>
      <c r="N1567" s="9" t="n"/>
      <c r="O1567" s="9" t="n"/>
      <c r="P1567" s="9" t="n"/>
      <c r="Q1567" s="9" t="n"/>
    </row>
    <row r="1568">
      <c r="A1568" s="9" t="n"/>
      <c r="B1568" s="70" t="n"/>
      <c r="C1568" s="9" t="n"/>
      <c r="D1568" s="9" t="n"/>
      <c r="E1568" s="9" t="n"/>
      <c r="F1568" s="9" t="n"/>
      <c r="G1568" s="9" t="n"/>
      <c r="H1568" s="71" t="n"/>
      <c r="I1568" s="9" t="n"/>
      <c r="J1568" s="89">
        <f>IF(H1568="","",IF(I1568="Sí",ROUND(H1568*Configuracion!$B$11,0),0))</f>
        <v/>
      </c>
      <c r="K1568" s="89">
        <f>IF(H1568="","",H1568+J1568)</f>
        <v/>
      </c>
      <c r="L1568" s="13">
        <f>IF(B1568="","",YEAR(B1568))</f>
        <v/>
      </c>
      <c r="M1568" s="13">
        <f>IF(B1568="","",MONTH(B1568))</f>
        <v/>
      </c>
      <c r="N1568" s="9" t="n"/>
      <c r="O1568" s="9" t="n"/>
      <c r="P1568" s="9" t="n"/>
      <c r="Q1568" s="9" t="n"/>
    </row>
    <row r="1569">
      <c r="A1569" s="9" t="n"/>
      <c r="B1569" s="70" t="n"/>
      <c r="C1569" s="9" t="n"/>
      <c r="D1569" s="9" t="n"/>
      <c r="E1569" s="9" t="n"/>
      <c r="F1569" s="9" t="n"/>
      <c r="G1569" s="9" t="n"/>
      <c r="H1569" s="71" t="n"/>
      <c r="I1569" s="9" t="n"/>
      <c r="J1569" s="89">
        <f>IF(H1569="","",IF(I1569="Sí",ROUND(H1569*Configuracion!$B$11,0),0))</f>
        <v/>
      </c>
      <c r="K1569" s="89">
        <f>IF(H1569="","",H1569+J1569)</f>
        <v/>
      </c>
      <c r="L1569" s="13">
        <f>IF(B1569="","",YEAR(B1569))</f>
        <v/>
      </c>
      <c r="M1569" s="13">
        <f>IF(B1569="","",MONTH(B1569))</f>
        <v/>
      </c>
      <c r="N1569" s="9" t="n"/>
      <c r="O1569" s="9" t="n"/>
      <c r="P1569" s="9" t="n"/>
      <c r="Q1569" s="9" t="n"/>
    </row>
    <row r="1570">
      <c r="A1570" s="9" t="n"/>
      <c r="B1570" s="70" t="n"/>
      <c r="C1570" s="9" t="n"/>
      <c r="D1570" s="9" t="n"/>
      <c r="E1570" s="9" t="n"/>
      <c r="F1570" s="9" t="n"/>
      <c r="G1570" s="9" t="n"/>
      <c r="H1570" s="71" t="n"/>
      <c r="I1570" s="9" t="n"/>
      <c r="J1570" s="89">
        <f>IF(H1570="","",IF(I1570="Sí",ROUND(H1570*Configuracion!$B$11,0),0))</f>
        <v/>
      </c>
      <c r="K1570" s="89">
        <f>IF(H1570="","",H1570+J1570)</f>
        <v/>
      </c>
      <c r="L1570" s="13">
        <f>IF(B1570="","",YEAR(B1570))</f>
        <v/>
      </c>
      <c r="M1570" s="13">
        <f>IF(B1570="","",MONTH(B1570))</f>
        <v/>
      </c>
      <c r="N1570" s="9" t="n"/>
      <c r="O1570" s="9" t="n"/>
      <c r="P1570" s="9" t="n"/>
      <c r="Q1570" s="9" t="n"/>
    </row>
    <row r="1571">
      <c r="A1571" s="9" t="n"/>
      <c r="B1571" s="70" t="n"/>
      <c r="C1571" s="9" t="n"/>
      <c r="D1571" s="9" t="n"/>
      <c r="E1571" s="9" t="n"/>
      <c r="F1571" s="9" t="n"/>
      <c r="G1571" s="9" t="n"/>
      <c r="H1571" s="71" t="n"/>
      <c r="I1571" s="9" t="n"/>
      <c r="J1571" s="89">
        <f>IF(H1571="","",IF(I1571="Sí",ROUND(H1571*Configuracion!$B$11,0),0))</f>
        <v/>
      </c>
      <c r="K1571" s="89">
        <f>IF(H1571="","",H1571+J1571)</f>
        <v/>
      </c>
      <c r="L1571" s="13">
        <f>IF(B1571="","",YEAR(B1571))</f>
        <v/>
      </c>
      <c r="M1571" s="13">
        <f>IF(B1571="","",MONTH(B1571))</f>
        <v/>
      </c>
      <c r="N1571" s="9" t="n"/>
      <c r="O1571" s="9" t="n"/>
      <c r="P1571" s="9" t="n"/>
      <c r="Q1571" s="9" t="n"/>
    </row>
    <row r="1572">
      <c r="A1572" s="9" t="n"/>
      <c r="B1572" s="70" t="n"/>
      <c r="C1572" s="9" t="n"/>
      <c r="D1572" s="9" t="n"/>
      <c r="E1572" s="9" t="n"/>
      <c r="F1572" s="9" t="n"/>
      <c r="G1572" s="9" t="n"/>
      <c r="H1572" s="71" t="n"/>
      <c r="I1572" s="9" t="n"/>
      <c r="J1572" s="89">
        <f>IF(H1572="","",IF(I1572="Sí",ROUND(H1572*Configuracion!$B$11,0),0))</f>
        <v/>
      </c>
      <c r="K1572" s="89">
        <f>IF(H1572="","",H1572+J1572)</f>
        <v/>
      </c>
      <c r="L1572" s="13">
        <f>IF(B1572="","",YEAR(B1572))</f>
        <v/>
      </c>
      <c r="M1572" s="13">
        <f>IF(B1572="","",MONTH(B1572))</f>
        <v/>
      </c>
      <c r="N1572" s="9" t="n"/>
      <c r="O1572" s="9" t="n"/>
      <c r="P1572" s="9" t="n"/>
      <c r="Q1572" s="9" t="n"/>
    </row>
    <row r="1573">
      <c r="A1573" s="9" t="n"/>
      <c r="B1573" s="70" t="n"/>
      <c r="C1573" s="9" t="n"/>
      <c r="D1573" s="9" t="n"/>
      <c r="E1573" s="9" t="n"/>
      <c r="F1573" s="9" t="n"/>
      <c r="G1573" s="9" t="n"/>
      <c r="H1573" s="71" t="n"/>
      <c r="I1573" s="9" t="n"/>
      <c r="J1573" s="89">
        <f>IF(H1573="","",IF(I1573="Sí",ROUND(H1573*Configuracion!$B$11,0),0))</f>
        <v/>
      </c>
      <c r="K1573" s="89">
        <f>IF(H1573="","",H1573+J1573)</f>
        <v/>
      </c>
      <c r="L1573" s="13">
        <f>IF(B1573="","",YEAR(B1573))</f>
        <v/>
      </c>
      <c r="M1573" s="13">
        <f>IF(B1573="","",MONTH(B1573))</f>
        <v/>
      </c>
      <c r="N1573" s="9" t="n"/>
      <c r="O1573" s="9" t="n"/>
      <c r="P1573" s="9" t="n"/>
      <c r="Q1573" s="9" t="n"/>
    </row>
    <row r="1574">
      <c r="A1574" s="9" t="n"/>
      <c r="B1574" s="70" t="n"/>
      <c r="C1574" s="9" t="n"/>
      <c r="D1574" s="9" t="n"/>
      <c r="E1574" s="9" t="n"/>
      <c r="F1574" s="9" t="n"/>
      <c r="G1574" s="9" t="n"/>
      <c r="H1574" s="71" t="n"/>
      <c r="I1574" s="9" t="n"/>
      <c r="J1574" s="89">
        <f>IF(H1574="","",IF(I1574="Sí",ROUND(H1574*Configuracion!$B$11,0),0))</f>
        <v/>
      </c>
      <c r="K1574" s="89">
        <f>IF(H1574="","",H1574+J1574)</f>
        <v/>
      </c>
      <c r="L1574" s="13">
        <f>IF(B1574="","",YEAR(B1574))</f>
        <v/>
      </c>
      <c r="M1574" s="13">
        <f>IF(B1574="","",MONTH(B1574))</f>
        <v/>
      </c>
      <c r="N1574" s="9" t="n"/>
      <c r="O1574" s="9" t="n"/>
      <c r="P1574" s="9" t="n"/>
      <c r="Q1574" s="9" t="n"/>
    </row>
    <row r="1575">
      <c r="A1575" s="9" t="n"/>
      <c r="B1575" s="70" t="n"/>
      <c r="C1575" s="9" t="n"/>
      <c r="D1575" s="9" t="n"/>
      <c r="E1575" s="9" t="n"/>
      <c r="F1575" s="9" t="n"/>
      <c r="G1575" s="9" t="n"/>
      <c r="H1575" s="71" t="n"/>
      <c r="I1575" s="9" t="n"/>
      <c r="J1575" s="89">
        <f>IF(H1575="","",IF(I1575="Sí",ROUND(H1575*Configuracion!$B$11,0),0))</f>
        <v/>
      </c>
      <c r="K1575" s="89">
        <f>IF(H1575="","",H1575+J1575)</f>
        <v/>
      </c>
      <c r="L1575" s="13">
        <f>IF(B1575="","",YEAR(B1575))</f>
        <v/>
      </c>
      <c r="M1575" s="13">
        <f>IF(B1575="","",MONTH(B1575))</f>
        <v/>
      </c>
      <c r="N1575" s="9" t="n"/>
      <c r="O1575" s="9" t="n"/>
      <c r="P1575" s="9" t="n"/>
      <c r="Q1575" s="9" t="n"/>
    </row>
    <row r="1576">
      <c r="A1576" s="9" t="n"/>
      <c r="B1576" s="70" t="n"/>
      <c r="C1576" s="9" t="n"/>
      <c r="D1576" s="9" t="n"/>
      <c r="E1576" s="9" t="n"/>
      <c r="F1576" s="9" t="n"/>
      <c r="G1576" s="9" t="n"/>
      <c r="H1576" s="71" t="n"/>
      <c r="I1576" s="9" t="n"/>
      <c r="J1576" s="89">
        <f>IF(H1576="","",IF(I1576="Sí",ROUND(H1576*Configuracion!$B$11,0),0))</f>
        <v/>
      </c>
      <c r="K1576" s="89">
        <f>IF(H1576="","",H1576+J1576)</f>
        <v/>
      </c>
      <c r="L1576" s="13">
        <f>IF(B1576="","",YEAR(B1576))</f>
        <v/>
      </c>
      <c r="M1576" s="13">
        <f>IF(B1576="","",MONTH(B1576))</f>
        <v/>
      </c>
      <c r="N1576" s="9" t="n"/>
      <c r="O1576" s="9" t="n"/>
      <c r="P1576" s="9" t="n"/>
      <c r="Q1576" s="9" t="n"/>
    </row>
    <row r="1577">
      <c r="A1577" s="9" t="n"/>
      <c r="B1577" s="70" t="n"/>
      <c r="C1577" s="9" t="n"/>
      <c r="D1577" s="9" t="n"/>
      <c r="E1577" s="9" t="n"/>
      <c r="F1577" s="9" t="n"/>
      <c r="G1577" s="9" t="n"/>
      <c r="H1577" s="71" t="n"/>
      <c r="I1577" s="9" t="n"/>
      <c r="J1577" s="89">
        <f>IF(H1577="","",IF(I1577="Sí",ROUND(H1577*Configuracion!$B$11,0),0))</f>
        <v/>
      </c>
      <c r="K1577" s="89">
        <f>IF(H1577="","",H1577+J1577)</f>
        <v/>
      </c>
      <c r="L1577" s="13">
        <f>IF(B1577="","",YEAR(B1577))</f>
        <v/>
      </c>
      <c r="M1577" s="13">
        <f>IF(B1577="","",MONTH(B1577))</f>
        <v/>
      </c>
      <c r="N1577" s="9" t="n"/>
      <c r="O1577" s="9" t="n"/>
      <c r="P1577" s="9" t="n"/>
      <c r="Q1577" s="9" t="n"/>
    </row>
    <row r="1578">
      <c r="A1578" s="9" t="n"/>
      <c r="B1578" s="70" t="n"/>
      <c r="C1578" s="9" t="n"/>
      <c r="D1578" s="9" t="n"/>
      <c r="E1578" s="9" t="n"/>
      <c r="F1578" s="9" t="n"/>
      <c r="G1578" s="9" t="n"/>
      <c r="H1578" s="71" t="n"/>
      <c r="I1578" s="9" t="n"/>
      <c r="J1578" s="89">
        <f>IF(H1578="","",IF(I1578="Sí",ROUND(H1578*Configuracion!$B$11,0),0))</f>
        <v/>
      </c>
      <c r="K1578" s="89">
        <f>IF(H1578="","",H1578+J1578)</f>
        <v/>
      </c>
      <c r="L1578" s="13">
        <f>IF(B1578="","",YEAR(B1578))</f>
        <v/>
      </c>
      <c r="M1578" s="13">
        <f>IF(B1578="","",MONTH(B1578))</f>
        <v/>
      </c>
      <c r="N1578" s="9" t="n"/>
      <c r="O1578" s="9" t="n"/>
      <c r="P1578" s="9" t="n"/>
      <c r="Q1578" s="9" t="n"/>
    </row>
    <row r="1579">
      <c r="A1579" s="9" t="n"/>
      <c r="B1579" s="70" t="n"/>
      <c r="C1579" s="9" t="n"/>
      <c r="D1579" s="9" t="n"/>
      <c r="E1579" s="9" t="n"/>
      <c r="F1579" s="9" t="n"/>
      <c r="G1579" s="9" t="n"/>
      <c r="H1579" s="71" t="n"/>
      <c r="I1579" s="9" t="n"/>
      <c r="J1579" s="89">
        <f>IF(H1579="","",IF(I1579="Sí",ROUND(H1579*Configuracion!$B$11,0),0))</f>
        <v/>
      </c>
      <c r="K1579" s="89">
        <f>IF(H1579="","",H1579+J1579)</f>
        <v/>
      </c>
      <c r="L1579" s="13">
        <f>IF(B1579="","",YEAR(B1579))</f>
        <v/>
      </c>
      <c r="M1579" s="13">
        <f>IF(B1579="","",MONTH(B1579))</f>
        <v/>
      </c>
      <c r="N1579" s="9" t="n"/>
      <c r="O1579" s="9" t="n"/>
      <c r="P1579" s="9" t="n"/>
      <c r="Q1579" s="9" t="n"/>
    </row>
    <row r="1580">
      <c r="A1580" s="9" t="n"/>
      <c r="B1580" s="70" t="n"/>
      <c r="C1580" s="9" t="n"/>
      <c r="D1580" s="9" t="n"/>
      <c r="E1580" s="9" t="n"/>
      <c r="F1580" s="9" t="n"/>
      <c r="G1580" s="9" t="n"/>
      <c r="H1580" s="71" t="n"/>
      <c r="I1580" s="9" t="n"/>
      <c r="J1580" s="89">
        <f>IF(H1580="","",IF(I1580="Sí",ROUND(H1580*Configuracion!$B$11,0),0))</f>
        <v/>
      </c>
      <c r="K1580" s="89">
        <f>IF(H1580="","",H1580+J1580)</f>
        <v/>
      </c>
      <c r="L1580" s="13">
        <f>IF(B1580="","",YEAR(B1580))</f>
        <v/>
      </c>
      <c r="M1580" s="13">
        <f>IF(B1580="","",MONTH(B1580))</f>
        <v/>
      </c>
      <c r="N1580" s="9" t="n"/>
      <c r="O1580" s="9" t="n"/>
      <c r="P1580" s="9" t="n"/>
      <c r="Q1580" s="9" t="n"/>
    </row>
    <row r="1581">
      <c r="A1581" s="9" t="n"/>
      <c r="B1581" s="70" t="n"/>
      <c r="C1581" s="9" t="n"/>
      <c r="D1581" s="9" t="n"/>
      <c r="E1581" s="9" t="n"/>
      <c r="F1581" s="9" t="n"/>
      <c r="G1581" s="9" t="n"/>
      <c r="H1581" s="71" t="n"/>
      <c r="I1581" s="9" t="n"/>
      <c r="J1581" s="89">
        <f>IF(H1581="","",IF(I1581="Sí",ROUND(H1581*Configuracion!$B$11,0),0))</f>
        <v/>
      </c>
      <c r="K1581" s="89">
        <f>IF(H1581="","",H1581+J1581)</f>
        <v/>
      </c>
      <c r="L1581" s="13">
        <f>IF(B1581="","",YEAR(B1581))</f>
        <v/>
      </c>
      <c r="M1581" s="13">
        <f>IF(B1581="","",MONTH(B1581))</f>
        <v/>
      </c>
      <c r="N1581" s="9" t="n"/>
      <c r="O1581" s="9" t="n"/>
      <c r="P1581" s="9" t="n"/>
      <c r="Q1581" s="9" t="n"/>
    </row>
    <row r="1582">
      <c r="A1582" s="9" t="n"/>
      <c r="B1582" s="70" t="n"/>
      <c r="C1582" s="9" t="n"/>
      <c r="D1582" s="9" t="n"/>
      <c r="E1582" s="9" t="n"/>
      <c r="F1582" s="9" t="n"/>
      <c r="G1582" s="9" t="n"/>
      <c r="H1582" s="71" t="n"/>
      <c r="I1582" s="9" t="n"/>
      <c r="J1582" s="89">
        <f>IF(H1582="","",IF(I1582="Sí",ROUND(H1582*Configuracion!$B$11,0),0))</f>
        <v/>
      </c>
      <c r="K1582" s="89">
        <f>IF(H1582="","",H1582+J1582)</f>
        <v/>
      </c>
      <c r="L1582" s="13">
        <f>IF(B1582="","",YEAR(B1582))</f>
        <v/>
      </c>
      <c r="M1582" s="13">
        <f>IF(B1582="","",MONTH(B1582))</f>
        <v/>
      </c>
      <c r="N1582" s="9" t="n"/>
      <c r="O1582" s="9" t="n"/>
      <c r="P1582" s="9" t="n"/>
      <c r="Q1582" s="9" t="n"/>
    </row>
    <row r="1583">
      <c r="A1583" s="9" t="n"/>
      <c r="B1583" s="70" t="n"/>
      <c r="C1583" s="9" t="n"/>
      <c r="D1583" s="9" t="n"/>
      <c r="E1583" s="9" t="n"/>
      <c r="F1583" s="9" t="n"/>
      <c r="G1583" s="9" t="n"/>
      <c r="H1583" s="71" t="n"/>
      <c r="I1583" s="9" t="n"/>
      <c r="J1583" s="89">
        <f>IF(H1583="","",IF(I1583="Sí",ROUND(H1583*Configuracion!$B$11,0),0))</f>
        <v/>
      </c>
      <c r="K1583" s="89">
        <f>IF(H1583="","",H1583+J1583)</f>
        <v/>
      </c>
      <c r="L1583" s="13">
        <f>IF(B1583="","",YEAR(B1583))</f>
        <v/>
      </c>
      <c r="M1583" s="13">
        <f>IF(B1583="","",MONTH(B1583))</f>
        <v/>
      </c>
      <c r="N1583" s="9" t="n"/>
      <c r="O1583" s="9" t="n"/>
      <c r="P1583" s="9" t="n"/>
      <c r="Q1583" s="9" t="n"/>
    </row>
    <row r="1584">
      <c r="A1584" s="9" t="n"/>
      <c r="B1584" s="70" t="n"/>
      <c r="C1584" s="9" t="n"/>
      <c r="D1584" s="9" t="n"/>
      <c r="E1584" s="9" t="n"/>
      <c r="F1584" s="9" t="n"/>
      <c r="G1584" s="9" t="n"/>
      <c r="H1584" s="71" t="n"/>
      <c r="I1584" s="9" t="n"/>
      <c r="J1584" s="89">
        <f>IF(H1584="","",IF(I1584="Sí",ROUND(H1584*Configuracion!$B$11,0),0))</f>
        <v/>
      </c>
      <c r="K1584" s="89">
        <f>IF(H1584="","",H1584+J1584)</f>
        <v/>
      </c>
      <c r="L1584" s="13">
        <f>IF(B1584="","",YEAR(B1584))</f>
        <v/>
      </c>
      <c r="M1584" s="13">
        <f>IF(B1584="","",MONTH(B1584))</f>
        <v/>
      </c>
      <c r="N1584" s="9" t="n"/>
      <c r="O1584" s="9" t="n"/>
      <c r="P1584" s="9" t="n"/>
      <c r="Q1584" s="9" t="n"/>
    </row>
    <row r="1585">
      <c r="A1585" s="9" t="n"/>
      <c r="B1585" s="70" t="n"/>
      <c r="C1585" s="9" t="n"/>
      <c r="D1585" s="9" t="n"/>
      <c r="E1585" s="9" t="n"/>
      <c r="F1585" s="9" t="n"/>
      <c r="G1585" s="9" t="n"/>
      <c r="H1585" s="71" t="n"/>
      <c r="I1585" s="9" t="n"/>
      <c r="J1585" s="89">
        <f>IF(H1585="","",IF(I1585="Sí",ROUND(H1585*Configuracion!$B$11,0),0))</f>
        <v/>
      </c>
      <c r="K1585" s="89">
        <f>IF(H1585="","",H1585+J1585)</f>
        <v/>
      </c>
      <c r="L1585" s="13">
        <f>IF(B1585="","",YEAR(B1585))</f>
        <v/>
      </c>
      <c r="M1585" s="13">
        <f>IF(B1585="","",MONTH(B1585))</f>
        <v/>
      </c>
      <c r="N1585" s="9" t="n"/>
      <c r="O1585" s="9" t="n"/>
      <c r="P1585" s="9" t="n"/>
      <c r="Q1585" s="9" t="n"/>
    </row>
    <row r="1586">
      <c r="A1586" s="9" t="n"/>
      <c r="B1586" s="70" t="n"/>
      <c r="C1586" s="9" t="n"/>
      <c r="D1586" s="9" t="n"/>
      <c r="E1586" s="9" t="n"/>
      <c r="F1586" s="9" t="n"/>
      <c r="G1586" s="9" t="n"/>
      <c r="H1586" s="71" t="n"/>
      <c r="I1586" s="9" t="n"/>
      <c r="J1586" s="89">
        <f>IF(H1586="","",IF(I1586="Sí",ROUND(H1586*Configuracion!$B$11,0),0))</f>
        <v/>
      </c>
      <c r="K1586" s="89">
        <f>IF(H1586="","",H1586+J1586)</f>
        <v/>
      </c>
      <c r="L1586" s="13">
        <f>IF(B1586="","",YEAR(B1586))</f>
        <v/>
      </c>
      <c r="M1586" s="13">
        <f>IF(B1586="","",MONTH(B1586))</f>
        <v/>
      </c>
      <c r="N1586" s="9" t="n"/>
      <c r="O1586" s="9" t="n"/>
      <c r="P1586" s="9" t="n"/>
      <c r="Q1586" s="9" t="n"/>
    </row>
    <row r="1587">
      <c r="A1587" s="9" t="n"/>
      <c r="B1587" s="70" t="n"/>
      <c r="C1587" s="9" t="n"/>
      <c r="D1587" s="9" t="n"/>
      <c r="E1587" s="9" t="n"/>
      <c r="F1587" s="9" t="n"/>
      <c r="G1587" s="9" t="n"/>
      <c r="H1587" s="71" t="n"/>
      <c r="I1587" s="9" t="n"/>
      <c r="J1587" s="89">
        <f>IF(H1587="","",IF(I1587="Sí",ROUND(H1587*Configuracion!$B$11,0),0))</f>
        <v/>
      </c>
      <c r="K1587" s="89">
        <f>IF(H1587="","",H1587+J1587)</f>
        <v/>
      </c>
      <c r="L1587" s="13">
        <f>IF(B1587="","",YEAR(B1587))</f>
        <v/>
      </c>
      <c r="M1587" s="13">
        <f>IF(B1587="","",MONTH(B1587))</f>
        <v/>
      </c>
      <c r="N1587" s="9" t="n"/>
      <c r="O1587" s="9" t="n"/>
      <c r="P1587" s="9" t="n"/>
      <c r="Q1587" s="9" t="n"/>
    </row>
    <row r="1588">
      <c r="A1588" s="9" t="n"/>
      <c r="B1588" s="70" t="n"/>
      <c r="C1588" s="9" t="n"/>
      <c r="D1588" s="9" t="n"/>
      <c r="E1588" s="9" t="n"/>
      <c r="F1588" s="9" t="n"/>
      <c r="G1588" s="9" t="n"/>
      <c r="H1588" s="71" t="n"/>
      <c r="I1588" s="9" t="n"/>
      <c r="J1588" s="89">
        <f>IF(H1588="","",IF(I1588="Sí",ROUND(H1588*Configuracion!$B$11,0),0))</f>
        <v/>
      </c>
      <c r="K1588" s="89">
        <f>IF(H1588="","",H1588+J1588)</f>
        <v/>
      </c>
      <c r="L1588" s="13">
        <f>IF(B1588="","",YEAR(B1588))</f>
        <v/>
      </c>
      <c r="M1588" s="13">
        <f>IF(B1588="","",MONTH(B1588))</f>
        <v/>
      </c>
      <c r="N1588" s="9" t="n"/>
      <c r="O1588" s="9" t="n"/>
      <c r="P1588" s="9" t="n"/>
      <c r="Q1588" s="9" t="n"/>
    </row>
    <row r="1589">
      <c r="A1589" s="9" t="n"/>
      <c r="B1589" s="70" t="n"/>
      <c r="C1589" s="9" t="n"/>
      <c r="D1589" s="9" t="n"/>
      <c r="E1589" s="9" t="n"/>
      <c r="F1589" s="9" t="n"/>
      <c r="G1589" s="9" t="n"/>
      <c r="H1589" s="71" t="n"/>
      <c r="I1589" s="9" t="n"/>
      <c r="J1589" s="89">
        <f>IF(H1589="","",IF(I1589="Sí",ROUND(H1589*Configuracion!$B$11,0),0))</f>
        <v/>
      </c>
      <c r="K1589" s="89">
        <f>IF(H1589="","",H1589+J1589)</f>
        <v/>
      </c>
      <c r="L1589" s="13">
        <f>IF(B1589="","",YEAR(B1589))</f>
        <v/>
      </c>
      <c r="M1589" s="13">
        <f>IF(B1589="","",MONTH(B1589))</f>
        <v/>
      </c>
      <c r="N1589" s="9" t="n"/>
      <c r="O1589" s="9" t="n"/>
      <c r="P1589" s="9" t="n"/>
      <c r="Q1589" s="9" t="n"/>
    </row>
    <row r="1590">
      <c r="A1590" s="9" t="n"/>
      <c r="B1590" s="70" t="n"/>
      <c r="C1590" s="9" t="n"/>
      <c r="D1590" s="9" t="n"/>
      <c r="E1590" s="9" t="n"/>
      <c r="F1590" s="9" t="n"/>
      <c r="G1590" s="9" t="n"/>
      <c r="H1590" s="71" t="n"/>
      <c r="I1590" s="9" t="n"/>
      <c r="J1590" s="89">
        <f>IF(H1590="","",IF(I1590="Sí",ROUND(H1590*Configuracion!$B$11,0),0))</f>
        <v/>
      </c>
      <c r="K1590" s="89">
        <f>IF(H1590="","",H1590+J1590)</f>
        <v/>
      </c>
      <c r="L1590" s="13">
        <f>IF(B1590="","",YEAR(B1590))</f>
        <v/>
      </c>
      <c r="M1590" s="13">
        <f>IF(B1590="","",MONTH(B1590))</f>
        <v/>
      </c>
      <c r="N1590" s="9" t="n"/>
      <c r="O1590" s="9" t="n"/>
      <c r="P1590" s="9" t="n"/>
      <c r="Q1590" s="9" t="n"/>
    </row>
    <row r="1591">
      <c r="A1591" s="9" t="n"/>
      <c r="B1591" s="70" t="n"/>
      <c r="C1591" s="9" t="n"/>
      <c r="D1591" s="9" t="n"/>
      <c r="E1591" s="9" t="n"/>
      <c r="F1591" s="9" t="n"/>
      <c r="G1591" s="9" t="n"/>
      <c r="H1591" s="71" t="n"/>
      <c r="I1591" s="9" t="n"/>
      <c r="J1591" s="89">
        <f>IF(H1591="","",IF(I1591="Sí",ROUND(H1591*Configuracion!$B$11,0),0))</f>
        <v/>
      </c>
      <c r="K1591" s="89">
        <f>IF(H1591="","",H1591+J1591)</f>
        <v/>
      </c>
      <c r="L1591" s="13">
        <f>IF(B1591="","",YEAR(B1591))</f>
        <v/>
      </c>
      <c r="M1591" s="13">
        <f>IF(B1591="","",MONTH(B1591))</f>
        <v/>
      </c>
      <c r="N1591" s="9" t="n"/>
      <c r="O1591" s="9" t="n"/>
      <c r="P1591" s="9" t="n"/>
      <c r="Q1591" s="9" t="n"/>
    </row>
    <row r="1592">
      <c r="A1592" s="9" t="n"/>
      <c r="B1592" s="70" t="n"/>
      <c r="C1592" s="9" t="n"/>
      <c r="D1592" s="9" t="n"/>
      <c r="E1592" s="9" t="n"/>
      <c r="F1592" s="9" t="n"/>
      <c r="G1592" s="9" t="n"/>
      <c r="H1592" s="71" t="n"/>
      <c r="I1592" s="9" t="n"/>
      <c r="J1592" s="89">
        <f>IF(H1592="","",IF(I1592="Sí",ROUND(H1592*Configuracion!$B$11,0),0))</f>
        <v/>
      </c>
      <c r="K1592" s="89">
        <f>IF(H1592="","",H1592+J1592)</f>
        <v/>
      </c>
      <c r="L1592" s="13">
        <f>IF(B1592="","",YEAR(B1592))</f>
        <v/>
      </c>
      <c r="M1592" s="13">
        <f>IF(B1592="","",MONTH(B1592))</f>
        <v/>
      </c>
      <c r="N1592" s="9" t="n"/>
      <c r="O1592" s="9" t="n"/>
      <c r="P1592" s="9" t="n"/>
      <c r="Q1592" s="9" t="n"/>
    </row>
    <row r="1593">
      <c r="A1593" s="9" t="n"/>
      <c r="B1593" s="70" t="n"/>
      <c r="C1593" s="9" t="n"/>
      <c r="D1593" s="9" t="n"/>
      <c r="E1593" s="9" t="n"/>
      <c r="F1593" s="9" t="n"/>
      <c r="G1593" s="9" t="n"/>
      <c r="H1593" s="71" t="n"/>
      <c r="I1593" s="9" t="n"/>
      <c r="J1593" s="89">
        <f>IF(H1593="","",IF(I1593="Sí",ROUND(H1593*Configuracion!$B$11,0),0))</f>
        <v/>
      </c>
      <c r="K1593" s="89">
        <f>IF(H1593="","",H1593+J1593)</f>
        <v/>
      </c>
      <c r="L1593" s="13">
        <f>IF(B1593="","",YEAR(B1593))</f>
        <v/>
      </c>
      <c r="M1593" s="13">
        <f>IF(B1593="","",MONTH(B1593))</f>
        <v/>
      </c>
      <c r="N1593" s="9" t="n"/>
      <c r="O1593" s="9" t="n"/>
      <c r="P1593" s="9" t="n"/>
      <c r="Q1593" s="9" t="n"/>
    </row>
    <row r="1594">
      <c r="A1594" s="9" t="n"/>
      <c r="B1594" s="70" t="n"/>
      <c r="C1594" s="9" t="n"/>
      <c r="D1594" s="9" t="n"/>
      <c r="E1594" s="9" t="n"/>
      <c r="F1594" s="9" t="n"/>
      <c r="G1594" s="9" t="n"/>
      <c r="H1594" s="71" t="n"/>
      <c r="I1594" s="9" t="n"/>
      <c r="J1594" s="89">
        <f>IF(H1594="","",IF(I1594="Sí",ROUND(H1594*Configuracion!$B$11,0),0))</f>
        <v/>
      </c>
      <c r="K1594" s="89">
        <f>IF(H1594="","",H1594+J1594)</f>
        <v/>
      </c>
      <c r="L1594" s="13">
        <f>IF(B1594="","",YEAR(B1594))</f>
        <v/>
      </c>
      <c r="M1594" s="13">
        <f>IF(B1594="","",MONTH(B1594))</f>
        <v/>
      </c>
      <c r="N1594" s="9" t="n"/>
      <c r="O1594" s="9" t="n"/>
      <c r="P1594" s="9" t="n"/>
      <c r="Q1594" s="9" t="n"/>
    </row>
    <row r="1595">
      <c r="A1595" s="9" t="n"/>
      <c r="B1595" s="70" t="n"/>
      <c r="C1595" s="9" t="n"/>
      <c r="D1595" s="9" t="n"/>
      <c r="E1595" s="9" t="n"/>
      <c r="F1595" s="9" t="n"/>
      <c r="G1595" s="9" t="n"/>
      <c r="H1595" s="71" t="n"/>
      <c r="I1595" s="9" t="n"/>
      <c r="J1595" s="89">
        <f>IF(H1595="","",IF(I1595="Sí",ROUND(H1595*Configuracion!$B$11,0),0))</f>
        <v/>
      </c>
      <c r="K1595" s="89">
        <f>IF(H1595="","",H1595+J1595)</f>
        <v/>
      </c>
      <c r="L1595" s="13">
        <f>IF(B1595="","",YEAR(B1595))</f>
        <v/>
      </c>
      <c r="M1595" s="13">
        <f>IF(B1595="","",MONTH(B1595))</f>
        <v/>
      </c>
      <c r="N1595" s="9" t="n"/>
      <c r="O1595" s="9" t="n"/>
      <c r="P1595" s="9" t="n"/>
      <c r="Q1595" s="9" t="n"/>
    </row>
    <row r="1596">
      <c r="A1596" s="9" t="n"/>
      <c r="B1596" s="70" t="n"/>
      <c r="C1596" s="9" t="n"/>
      <c r="D1596" s="9" t="n"/>
      <c r="E1596" s="9" t="n"/>
      <c r="F1596" s="9" t="n"/>
      <c r="G1596" s="9" t="n"/>
      <c r="H1596" s="71" t="n"/>
      <c r="I1596" s="9" t="n"/>
      <c r="J1596" s="89">
        <f>IF(H1596="","",IF(I1596="Sí",ROUND(H1596*Configuracion!$B$11,0),0))</f>
        <v/>
      </c>
      <c r="K1596" s="89">
        <f>IF(H1596="","",H1596+J1596)</f>
        <v/>
      </c>
      <c r="L1596" s="13">
        <f>IF(B1596="","",YEAR(B1596))</f>
        <v/>
      </c>
      <c r="M1596" s="13">
        <f>IF(B1596="","",MONTH(B1596))</f>
        <v/>
      </c>
      <c r="N1596" s="9" t="n"/>
      <c r="O1596" s="9" t="n"/>
      <c r="P1596" s="9" t="n"/>
      <c r="Q1596" s="9" t="n"/>
    </row>
    <row r="1597">
      <c r="A1597" s="9" t="n"/>
      <c r="B1597" s="70" t="n"/>
      <c r="C1597" s="9" t="n"/>
      <c r="D1597" s="9" t="n"/>
      <c r="E1597" s="9" t="n"/>
      <c r="F1597" s="9" t="n"/>
      <c r="G1597" s="9" t="n"/>
      <c r="H1597" s="71" t="n"/>
      <c r="I1597" s="9" t="n"/>
      <c r="J1597" s="89">
        <f>IF(H1597="","",IF(I1597="Sí",ROUND(H1597*Configuracion!$B$11,0),0))</f>
        <v/>
      </c>
      <c r="K1597" s="89">
        <f>IF(H1597="","",H1597+J1597)</f>
        <v/>
      </c>
      <c r="L1597" s="13">
        <f>IF(B1597="","",YEAR(B1597))</f>
        <v/>
      </c>
      <c r="M1597" s="13">
        <f>IF(B1597="","",MONTH(B1597))</f>
        <v/>
      </c>
      <c r="N1597" s="9" t="n"/>
      <c r="O1597" s="9" t="n"/>
      <c r="P1597" s="9" t="n"/>
      <c r="Q1597" s="9" t="n"/>
    </row>
    <row r="1598">
      <c r="A1598" s="9" t="n"/>
      <c r="B1598" s="70" t="n"/>
      <c r="C1598" s="9" t="n"/>
      <c r="D1598" s="9" t="n"/>
      <c r="E1598" s="9" t="n"/>
      <c r="F1598" s="9" t="n"/>
      <c r="G1598" s="9" t="n"/>
      <c r="H1598" s="71" t="n"/>
      <c r="I1598" s="9" t="n"/>
      <c r="J1598" s="89">
        <f>IF(H1598="","",IF(I1598="Sí",ROUND(H1598*Configuracion!$B$11,0),0))</f>
        <v/>
      </c>
      <c r="K1598" s="89">
        <f>IF(H1598="","",H1598+J1598)</f>
        <v/>
      </c>
      <c r="L1598" s="13">
        <f>IF(B1598="","",YEAR(B1598))</f>
        <v/>
      </c>
      <c r="M1598" s="13">
        <f>IF(B1598="","",MONTH(B1598))</f>
        <v/>
      </c>
      <c r="N1598" s="9" t="n"/>
      <c r="O1598" s="9" t="n"/>
      <c r="P1598" s="9" t="n"/>
      <c r="Q1598" s="9" t="n"/>
    </row>
    <row r="1599">
      <c r="A1599" s="9" t="n"/>
      <c r="B1599" s="70" t="n"/>
      <c r="C1599" s="9" t="n"/>
      <c r="D1599" s="9" t="n"/>
      <c r="E1599" s="9" t="n"/>
      <c r="F1599" s="9" t="n"/>
      <c r="G1599" s="9" t="n"/>
      <c r="H1599" s="71" t="n"/>
      <c r="I1599" s="9" t="n"/>
      <c r="J1599" s="89">
        <f>IF(H1599="","",IF(I1599="Sí",ROUND(H1599*Configuracion!$B$11,0),0))</f>
        <v/>
      </c>
      <c r="K1599" s="89">
        <f>IF(H1599="","",H1599+J1599)</f>
        <v/>
      </c>
      <c r="L1599" s="13">
        <f>IF(B1599="","",YEAR(B1599))</f>
        <v/>
      </c>
      <c r="M1599" s="13">
        <f>IF(B1599="","",MONTH(B1599))</f>
        <v/>
      </c>
      <c r="N1599" s="9" t="n"/>
      <c r="O1599" s="9" t="n"/>
      <c r="P1599" s="9" t="n"/>
      <c r="Q1599" s="9" t="n"/>
    </row>
    <row r="1600">
      <c r="A1600" s="9" t="n"/>
      <c r="B1600" s="70" t="n"/>
      <c r="C1600" s="9" t="n"/>
      <c r="D1600" s="9" t="n"/>
      <c r="E1600" s="9" t="n"/>
      <c r="F1600" s="9" t="n"/>
      <c r="G1600" s="9" t="n"/>
      <c r="H1600" s="71" t="n"/>
      <c r="I1600" s="9" t="n"/>
      <c r="J1600" s="89">
        <f>IF(H1600="","",IF(I1600="Sí",ROUND(H1600*Configuracion!$B$11,0),0))</f>
        <v/>
      </c>
      <c r="K1600" s="89">
        <f>IF(H1600="","",H1600+J1600)</f>
        <v/>
      </c>
      <c r="L1600" s="13">
        <f>IF(B1600="","",YEAR(B1600))</f>
        <v/>
      </c>
      <c r="M1600" s="13">
        <f>IF(B1600="","",MONTH(B1600))</f>
        <v/>
      </c>
      <c r="N1600" s="9" t="n"/>
      <c r="O1600" s="9" t="n"/>
      <c r="P1600" s="9" t="n"/>
      <c r="Q1600" s="9" t="n"/>
    </row>
    <row r="1601">
      <c r="A1601" s="9" t="n"/>
      <c r="B1601" s="70" t="n"/>
      <c r="C1601" s="9" t="n"/>
      <c r="D1601" s="9" t="n"/>
      <c r="E1601" s="9" t="n"/>
      <c r="F1601" s="9" t="n"/>
      <c r="G1601" s="9" t="n"/>
      <c r="H1601" s="71" t="n"/>
      <c r="I1601" s="9" t="n"/>
      <c r="J1601" s="89">
        <f>IF(H1601="","",IF(I1601="Sí",ROUND(H1601*Configuracion!$B$11,0),0))</f>
        <v/>
      </c>
      <c r="K1601" s="89">
        <f>IF(H1601="","",H1601+J1601)</f>
        <v/>
      </c>
      <c r="L1601" s="13">
        <f>IF(B1601="","",YEAR(B1601))</f>
        <v/>
      </c>
      <c r="M1601" s="13">
        <f>IF(B1601="","",MONTH(B1601))</f>
        <v/>
      </c>
      <c r="N1601" s="9" t="n"/>
      <c r="O1601" s="9" t="n"/>
      <c r="P1601" s="9" t="n"/>
      <c r="Q1601" s="9" t="n"/>
    </row>
    <row r="1602">
      <c r="A1602" s="9" t="n"/>
      <c r="B1602" s="70" t="n"/>
      <c r="C1602" s="9" t="n"/>
      <c r="D1602" s="9" t="n"/>
      <c r="E1602" s="9" t="n"/>
      <c r="F1602" s="9" t="n"/>
      <c r="G1602" s="9" t="n"/>
      <c r="H1602" s="71" t="n"/>
      <c r="I1602" s="9" t="n"/>
      <c r="J1602" s="89">
        <f>IF(H1602="","",IF(I1602="Sí",ROUND(H1602*Configuracion!$B$11,0),0))</f>
        <v/>
      </c>
      <c r="K1602" s="89">
        <f>IF(H1602="","",H1602+J1602)</f>
        <v/>
      </c>
      <c r="L1602" s="13">
        <f>IF(B1602="","",YEAR(B1602))</f>
        <v/>
      </c>
      <c r="M1602" s="13">
        <f>IF(B1602="","",MONTH(B1602))</f>
        <v/>
      </c>
      <c r="N1602" s="9" t="n"/>
      <c r="O1602" s="9" t="n"/>
      <c r="P1602" s="9" t="n"/>
      <c r="Q1602" s="9" t="n"/>
    </row>
    <row r="1603">
      <c r="A1603" s="9" t="n"/>
      <c r="B1603" s="70" t="n"/>
      <c r="C1603" s="9" t="n"/>
      <c r="D1603" s="9" t="n"/>
      <c r="E1603" s="9" t="n"/>
      <c r="F1603" s="9" t="n"/>
      <c r="G1603" s="9" t="n"/>
      <c r="H1603" s="71" t="n"/>
      <c r="I1603" s="9" t="n"/>
      <c r="J1603" s="89">
        <f>IF(H1603="","",IF(I1603="Sí",ROUND(H1603*Configuracion!$B$11,0),0))</f>
        <v/>
      </c>
      <c r="K1603" s="89">
        <f>IF(H1603="","",H1603+J1603)</f>
        <v/>
      </c>
      <c r="L1603" s="13">
        <f>IF(B1603="","",YEAR(B1603))</f>
        <v/>
      </c>
      <c r="M1603" s="13">
        <f>IF(B1603="","",MONTH(B1603))</f>
        <v/>
      </c>
      <c r="N1603" s="9" t="n"/>
      <c r="O1603" s="9" t="n"/>
      <c r="P1603" s="9" t="n"/>
      <c r="Q1603" s="9" t="n"/>
    </row>
    <row r="1604">
      <c r="A1604" s="9" t="n"/>
      <c r="B1604" s="70" t="n"/>
      <c r="C1604" s="9" t="n"/>
      <c r="D1604" s="9" t="n"/>
      <c r="E1604" s="9" t="n"/>
      <c r="F1604" s="9" t="n"/>
      <c r="G1604" s="9" t="n"/>
      <c r="H1604" s="71" t="n"/>
      <c r="I1604" s="9" t="n"/>
      <c r="J1604" s="89">
        <f>IF(H1604="","",IF(I1604="Sí",ROUND(H1604*Configuracion!$B$11,0),0))</f>
        <v/>
      </c>
      <c r="K1604" s="89">
        <f>IF(H1604="","",H1604+J1604)</f>
        <v/>
      </c>
      <c r="L1604" s="13">
        <f>IF(B1604="","",YEAR(B1604))</f>
        <v/>
      </c>
      <c r="M1604" s="13">
        <f>IF(B1604="","",MONTH(B1604))</f>
        <v/>
      </c>
      <c r="N1604" s="9" t="n"/>
      <c r="O1604" s="9" t="n"/>
      <c r="P1604" s="9" t="n"/>
      <c r="Q1604" s="9" t="n"/>
    </row>
    <row r="1605">
      <c r="A1605" s="9" t="n"/>
      <c r="B1605" s="70" t="n"/>
      <c r="C1605" s="9" t="n"/>
      <c r="D1605" s="9" t="n"/>
      <c r="E1605" s="9" t="n"/>
      <c r="F1605" s="9" t="n"/>
      <c r="G1605" s="9" t="n"/>
      <c r="H1605" s="71" t="n"/>
      <c r="I1605" s="9" t="n"/>
      <c r="J1605" s="89">
        <f>IF(H1605="","",IF(I1605="Sí",ROUND(H1605*Configuracion!$B$11,0),0))</f>
        <v/>
      </c>
      <c r="K1605" s="89">
        <f>IF(H1605="","",H1605+J1605)</f>
        <v/>
      </c>
      <c r="L1605" s="13">
        <f>IF(B1605="","",YEAR(B1605))</f>
        <v/>
      </c>
      <c r="M1605" s="13">
        <f>IF(B1605="","",MONTH(B1605))</f>
        <v/>
      </c>
      <c r="N1605" s="9" t="n"/>
      <c r="O1605" s="9" t="n"/>
      <c r="P1605" s="9" t="n"/>
      <c r="Q1605" s="9" t="n"/>
    </row>
    <row r="1606">
      <c r="A1606" s="9" t="n"/>
      <c r="B1606" s="70" t="n"/>
      <c r="C1606" s="9" t="n"/>
      <c r="D1606" s="9" t="n"/>
      <c r="E1606" s="9" t="n"/>
      <c r="F1606" s="9" t="n"/>
      <c r="G1606" s="9" t="n"/>
      <c r="H1606" s="71" t="n"/>
      <c r="I1606" s="9" t="n"/>
      <c r="J1606" s="89">
        <f>IF(H1606="","",IF(I1606="Sí",ROUND(H1606*Configuracion!$B$11,0),0))</f>
        <v/>
      </c>
      <c r="K1606" s="89">
        <f>IF(H1606="","",H1606+J1606)</f>
        <v/>
      </c>
      <c r="L1606" s="13">
        <f>IF(B1606="","",YEAR(B1606))</f>
        <v/>
      </c>
      <c r="M1606" s="13">
        <f>IF(B1606="","",MONTH(B1606))</f>
        <v/>
      </c>
      <c r="N1606" s="9" t="n"/>
      <c r="O1606" s="9" t="n"/>
      <c r="P1606" s="9" t="n"/>
      <c r="Q1606" s="9" t="n"/>
    </row>
    <row r="1607">
      <c r="A1607" s="9" t="n"/>
      <c r="B1607" s="70" t="n"/>
      <c r="C1607" s="9" t="n"/>
      <c r="D1607" s="9" t="n"/>
      <c r="E1607" s="9" t="n"/>
      <c r="F1607" s="9" t="n"/>
      <c r="G1607" s="9" t="n"/>
      <c r="H1607" s="71" t="n"/>
      <c r="I1607" s="9" t="n"/>
      <c r="J1607" s="89">
        <f>IF(H1607="","",IF(I1607="Sí",ROUND(H1607*Configuracion!$B$11,0),0))</f>
        <v/>
      </c>
      <c r="K1607" s="89">
        <f>IF(H1607="","",H1607+J1607)</f>
        <v/>
      </c>
      <c r="L1607" s="13">
        <f>IF(B1607="","",YEAR(B1607))</f>
        <v/>
      </c>
      <c r="M1607" s="13">
        <f>IF(B1607="","",MONTH(B1607))</f>
        <v/>
      </c>
      <c r="N1607" s="9" t="n"/>
      <c r="O1607" s="9" t="n"/>
      <c r="P1607" s="9" t="n"/>
      <c r="Q1607" s="9" t="n"/>
    </row>
    <row r="1608">
      <c r="A1608" s="9" t="n"/>
      <c r="B1608" s="70" t="n"/>
      <c r="C1608" s="9" t="n"/>
      <c r="D1608" s="9" t="n"/>
      <c r="E1608" s="9" t="n"/>
      <c r="F1608" s="9" t="n"/>
      <c r="G1608" s="9" t="n"/>
      <c r="H1608" s="71" t="n"/>
      <c r="I1608" s="9" t="n"/>
      <c r="J1608" s="89">
        <f>IF(H1608="","",IF(I1608="Sí",ROUND(H1608*Configuracion!$B$11,0),0))</f>
        <v/>
      </c>
      <c r="K1608" s="89">
        <f>IF(H1608="","",H1608+J1608)</f>
        <v/>
      </c>
      <c r="L1608" s="13">
        <f>IF(B1608="","",YEAR(B1608))</f>
        <v/>
      </c>
      <c r="M1608" s="13">
        <f>IF(B1608="","",MONTH(B1608))</f>
        <v/>
      </c>
      <c r="N1608" s="9" t="n"/>
      <c r="O1608" s="9" t="n"/>
      <c r="P1608" s="9" t="n"/>
      <c r="Q1608" s="9" t="n"/>
    </row>
    <row r="1609">
      <c r="A1609" s="9" t="n"/>
      <c r="B1609" s="70" t="n"/>
      <c r="C1609" s="9" t="n"/>
      <c r="D1609" s="9" t="n"/>
      <c r="E1609" s="9" t="n"/>
      <c r="F1609" s="9" t="n"/>
      <c r="G1609" s="9" t="n"/>
      <c r="H1609" s="71" t="n"/>
      <c r="I1609" s="9" t="n"/>
      <c r="J1609" s="89">
        <f>IF(H1609="","",IF(I1609="Sí",ROUND(H1609*Configuracion!$B$11,0),0))</f>
        <v/>
      </c>
      <c r="K1609" s="89">
        <f>IF(H1609="","",H1609+J1609)</f>
        <v/>
      </c>
      <c r="L1609" s="13">
        <f>IF(B1609="","",YEAR(B1609))</f>
        <v/>
      </c>
      <c r="M1609" s="13">
        <f>IF(B1609="","",MONTH(B1609))</f>
        <v/>
      </c>
      <c r="N1609" s="9" t="n"/>
      <c r="O1609" s="9" t="n"/>
      <c r="P1609" s="9" t="n"/>
      <c r="Q1609" s="9" t="n"/>
    </row>
    <row r="1610">
      <c r="A1610" s="9" t="n"/>
      <c r="B1610" s="70" t="n"/>
      <c r="C1610" s="9" t="n"/>
      <c r="D1610" s="9" t="n"/>
      <c r="E1610" s="9" t="n"/>
      <c r="F1610" s="9" t="n"/>
      <c r="G1610" s="9" t="n"/>
      <c r="H1610" s="71" t="n"/>
      <c r="I1610" s="9" t="n"/>
      <c r="J1610" s="89">
        <f>IF(H1610="","",IF(I1610="Sí",ROUND(H1610*Configuracion!$B$11,0),0))</f>
        <v/>
      </c>
      <c r="K1610" s="89">
        <f>IF(H1610="","",H1610+J1610)</f>
        <v/>
      </c>
      <c r="L1610" s="13">
        <f>IF(B1610="","",YEAR(B1610))</f>
        <v/>
      </c>
      <c r="M1610" s="13">
        <f>IF(B1610="","",MONTH(B1610))</f>
        <v/>
      </c>
      <c r="N1610" s="9" t="n"/>
      <c r="O1610" s="9" t="n"/>
      <c r="P1610" s="9" t="n"/>
      <c r="Q1610" s="9" t="n"/>
    </row>
    <row r="1611">
      <c r="A1611" s="9" t="n"/>
      <c r="B1611" s="70" t="n"/>
      <c r="C1611" s="9" t="n"/>
      <c r="D1611" s="9" t="n"/>
      <c r="E1611" s="9" t="n"/>
      <c r="F1611" s="9" t="n"/>
      <c r="G1611" s="9" t="n"/>
      <c r="H1611" s="71" t="n"/>
      <c r="I1611" s="9" t="n"/>
      <c r="J1611" s="89">
        <f>IF(H1611="","",IF(I1611="Sí",ROUND(H1611*Configuracion!$B$11,0),0))</f>
        <v/>
      </c>
      <c r="K1611" s="89">
        <f>IF(H1611="","",H1611+J1611)</f>
        <v/>
      </c>
      <c r="L1611" s="13">
        <f>IF(B1611="","",YEAR(B1611))</f>
        <v/>
      </c>
      <c r="M1611" s="13">
        <f>IF(B1611="","",MONTH(B1611))</f>
        <v/>
      </c>
      <c r="N1611" s="9" t="n"/>
      <c r="O1611" s="9" t="n"/>
      <c r="P1611" s="9" t="n"/>
      <c r="Q1611" s="9" t="n"/>
    </row>
    <row r="1612">
      <c r="A1612" s="9" t="n"/>
      <c r="B1612" s="70" t="n"/>
      <c r="C1612" s="9" t="n"/>
      <c r="D1612" s="9" t="n"/>
      <c r="E1612" s="9" t="n"/>
      <c r="F1612" s="9" t="n"/>
      <c r="G1612" s="9" t="n"/>
      <c r="H1612" s="71" t="n"/>
      <c r="I1612" s="9" t="n"/>
      <c r="J1612" s="89">
        <f>IF(H1612="","",IF(I1612="Sí",ROUND(H1612*Configuracion!$B$11,0),0))</f>
        <v/>
      </c>
      <c r="K1612" s="89">
        <f>IF(H1612="","",H1612+J1612)</f>
        <v/>
      </c>
      <c r="L1612" s="13">
        <f>IF(B1612="","",YEAR(B1612))</f>
        <v/>
      </c>
      <c r="M1612" s="13">
        <f>IF(B1612="","",MONTH(B1612))</f>
        <v/>
      </c>
      <c r="N1612" s="9" t="n"/>
      <c r="O1612" s="9" t="n"/>
      <c r="P1612" s="9" t="n"/>
      <c r="Q1612" s="9" t="n"/>
    </row>
    <row r="1613">
      <c r="A1613" s="9" t="n"/>
      <c r="B1613" s="70" t="n"/>
      <c r="C1613" s="9" t="n"/>
      <c r="D1613" s="9" t="n"/>
      <c r="E1613" s="9" t="n"/>
      <c r="F1613" s="9" t="n"/>
      <c r="G1613" s="9" t="n"/>
      <c r="H1613" s="71" t="n"/>
      <c r="I1613" s="9" t="n"/>
      <c r="J1613" s="89">
        <f>IF(H1613="","",IF(I1613="Sí",ROUND(H1613*Configuracion!$B$11,0),0))</f>
        <v/>
      </c>
      <c r="K1613" s="89">
        <f>IF(H1613="","",H1613+J1613)</f>
        <v/>
      </c>
      <c r="L1613" s="13">
        <f>IF(B1613="","",YEAR(B1613))</f>
        <v/>
      </c>
      <c r="M1613" s="13">
        <f>IF(B1613="","",MONTH(B1613))</f>
        <v/>
      </c>
      <c r="N1613" s="9" t="n"/>
      <c r="O1613" s="9" t="n"/>
      <c r="P1613" s="9" t="n"/>
      <c r="Q1613" s="9" t="n"/>
    </row>
    <row r="1614">
      <c r="A1614" s="9" t="n"/>
      <c r="B1614" s="70" t="n"/>
      <c r="C1614" s="9" t="n"/>
      <c r="D1614" s="9" t="n"/>
      <c r="E1614" s="9" t="n"/>
      <c r="F1614" s="9" t="n"/>
      <c r="G1614" s="9" t="n"/>
      <c r="H1614" s="71" t="n"/>
      <c r="I1614" s="9" t="n"/>
      <c r="J1614" s="89">
        <f>IF(H1614="","",IF(I1614="Sí",ROUND(H1614*Configuracion!$B$11,0),0))</f>
        <v/>
      </c>
      <c r="K1614" s="89">
        <f>IF(H1614="","",H1614+J1614)</f>
        <v/>
      </c>
      <c r="L1614" s="13">
        <f>IF(B1614="","",YEAR(B1614))</f>
        <v/>
      </c>
      <c r="M1614" s="13">
        <f>IF(B1614="","",MONTH(B1614))</f>
        <v/>
      </c>
      <c r="N1614" s="9" t="n"/>
      <c r="O1614" s="9" t="n"/>
      <c r="P1614" s="9" t="n"/>
      <c r="Q1614" s="9" t="n"/>
    </row>
    <row r="1615">
      <c r="A1615" s="9" t="n"/>
      <c r="B1615" s="70" t="n"/>
      <c r="C1615" s="9" t="n"/>
      <c r="D1615" s="9" t="n"/>
      <c r="E1615" s="9" t="n"/>
      <c r="F1615" s="9" t="n"/>
      <c r="G1615" s="9" t="n"/>
      <c r="H1615" s="71" t="n"/>
      <c r="I1615" s="9" t="n"/>
      <c r="J1615" s="89">
        <f>IF(H1615="","",IF(I1615="Sí",ROUND(H1615*Configuracion!$B$11,0),0))</f>
        <v/>
      </c>
      <c r="K1615" s="89">
        <f>IF(H1615="","",H1615+J1615)</f>
        <v/>
      </c>
      <c r="L1615" s="13">
        <f>IF(B1615="","",YEAR(B1615))</f>
        <v/>
      </c>
      <c r="M1615" s="13">
        <f>IF(B1615="","",MONTH(B1615))</f>
        <v/>
      </c>
      <c r="N1615" s="9" t="n"/>
      <c r="O1615" s="9" t="n"/>
      <c r="P1615" s="9" t="n"/>
      <c r="Q1615" s="9" t="n"/>
    </row>
    <row r="1616">
      <c r="A1616" s="9" t="n"/>
      <c r="B1616" s="70" t="n"/>
      <c r="C1616" s="9" t="n"/>
      <c r="D1616" s="9" t="n"/>
      <c r="E1616" s="9" t="n"/>
      <c r="F1616" s="9" t="n"/>
      <c r="G1616" s="9" t="n"/>
      <c r="H1616" s="71" t="n"/>
      <c r="I1616" s="9" t="n"/>
      <c r="J1616" s="89">
        <f>IF(H1616="","",IF(I1616="Sí",ROUND(H1616*Configuracion!$B$11,0),0))</f>
        <v/>
      </c>
      <c r="K1616" s="89">
        <f>IF(H1616="","",H1616+J1616)</f>
        <v/>
      </c>
      <c r="L1616" s="13">
        <f>IF(B1616="","",YEAR(B1616))</f>
        <v/>
      </c>
      <c r="M1616" s="13">
        <f>IF(B1616="","",MONTH(B1616))</f>
        <v/>
      </c>
      <c r="N1616" s="9" t="n"/>
      <c r="O1616" s="9" t="n"/>
      <c r="P1616" s="9" t="n"/>
      <c r="Q1616" s="9" t="n"/>
    </row>
    <row r="1617">
      <c r="A1617" s="9" t="n"/>
      <c r="B1617" s="70" t="n"/>
      <c r="C1617" s="9" t="n"/>
      <c r="D1617" s="9" t="n"/>
      <c r="E1617" s="9" t="n"/>
      <c r="F1617" s="9" t="n"/>
      <c r="G1617" s="9" t="n"/>
      <c r="H1617" s="71" t="n"/>
      <c r="I1617" s="9" t="n"/>
      <c r="J1617" s="89">
        <f>IF(H1617="","",IF(I1617="Sí",ROUND(H1617*Configuracion!$B$11,0),0))</f>
        <v/>
      </c>
      <c r="K1617" s="89">
        <f>IF(H1617="","",H1617+J1617)</f>
        <v/>
      </c>
      <c r="L1617" s="13">
        <f>IF(B1617="","",YEAR(B1617))</f>
        <v/>
      </c>
      <c r="M1617" s="13">
        <f>IF(B1617="","",MONTH(B1617))</f>
        <v/>
      </c>
      <c r="N1617" s="9" t="n"/>
      <c r="O1617" s="9" t="n"/>
      <c r="P1617" s="9" t="n"/>
      <c r="Q1617" s="9" t="n"/>
    </row>
    <row r="1618">
      <c r="A1618" s="9" t="n"/>
      <c r="B1618" s="70" t="n"/>
      <c r="C1618" s="9" t="n"/>
      <c r="D1618" s="9" t="n"/>
      <c r="E1618" s="9" t="n"/>
      <c r="F1618" s="9" t="n"/>
      <c r="G1618" s="9" t="n"/>
      <c r="H1618" s="71" t="n"/>
      <c r="I1618" s="9" t="n"/>
      <c r="J1618" s="89">
        <f>IF(H1618="","",IF(I1618="Sí",ROUND(H1618*Configuracion!$B$11,0),0))</f>
        <v/>
      </c>
      <c r="K1618" s="89">
        <f>IF(H1618="","",H1618+J1618)</f>
        <v/>
      </c>
      <c r="L1618" s="13">
        <f>IF(B1618="","",YEAR(B1618))</f>
        <v/>
      </c>
      <c r="M1618" s="13">
        <f>IF(B1618="","",MONTH(B1618))</f>
        <v/>
      </c>
      <c r="N1618" s="9" t="n"/>
      <c r="O1618" s="9" t="n"/>
      <c r="P1618" s="9" t="n"/>
      <c r="Q1618" s="9" t="n"/>
    </row>
    <row r="1619">
      <c r="A1619" s="9" t="n"/>
      <c r="B1619" s="70" t="n"/>
      <c r="C1619" s="9" t="n"/>
      <c r="D1619" s="9" t="n"/>
      <c r="E1619" s="9" t="n"/>
      <c r="F1619" s="9" t="n"/>
      <c r="G1619" s="9" t="n"/>
      <c r="H1619" s="71" t="n"/>
      <c r="I1619" s="9" t="n"/>
      <c r="J1619" s="89">
        <f>IF(H1619="","",IF(I1619="Sí",ROUND(H1619*Configuracion!$B$11,0),0))</f>
        <v/>
      </c>
      <c r="K1619" s="89">
        <f>IF(H1619="","",H1619+J1619)</f>
        <v/>
      </c>
      <c r="L1619" s="13">
        <f>IF(B1619="","",YEAR(B1619))</f>
        <v/>
      </c>
      <c r="M1619" s="13">
        <f>IF(B1619="","",MONTH(B1619))</f>
        <v/>
      </c>
      <c r="N1619" s="9" t="n"/>
      <c r="O1619" s="9" t="n"/>
      <c r="P1619" s="9" t="n"/>
      <c r="Q1619" s="9" t="n"/>
    </row>
    <row r="1620">
      <c r="A1620" s="9" t="n"/>
      <c r="B1620" s="70" t="n"/>
      <c r="C1620" s="9" t="n"/>
      <c r="D1620" s="9" t="n"/>
      <c r="E1620" s="9" t="n"/>
      <c r="F1620" s="9" t="n"/>
      <c r="G1620" s="9" t="n"/>
      <c r="H1620" s="71" t="n"/>
      <c r="I1620" s="9" t="n"/>
      <c r="J1620" s="89">
        <f>IF(H1620="","",IF(I1620="Sí",ROUND(H1620*Configuracion!$B$11,0),0))</f>
        <v/>
      </c>
      <c r="K1620" s="89">
        <f>IF(H1620="","",H1620+J1620)</f>
        <v/>
      </c>
      <c r="L1620" s="13">
        <f>IF(B1620="","",YEAR(B1620))</f>
        <v/>
      </c>
      <c r="M1620" s="13">
        <f>IF(B1620="","",MONTH(B1620))</f>
        <v/>
      </c>
      <c r="N1620" s="9" t="n"/>
      <c r="O1620" s="9" t="n"/>
      <c r="P1620" s="9" t="n"/>
      <c r="Q1620" s="9" t="n"/>
    </row>
    <row r="1621">
      <c r="A1621" s="9" t="n"/>
      <c r="B1621" s="70" t="n"/>
      <c r="C1621" s="9" t="n"/>
      <c r="D1621" s="9" t="n"/>
      <c r="E1621" s="9" t="n"/>
      <c r="F1621" s="9" t="n"/>
      <c r="G1621" s="9" t="n"/>
      <c r="H1621" s="71" t="n"/>
      <c r="I1621" s="9" t="n"/>
      <c r="J1621" s="89">
        <f>IF(H1621="","",IF(I1621="Sí",ROUND(H1621*Configuracion!$B$11,0),0))</f>
        <v/>
      </c>
      <c r="K1621" s="89">
        <f>IF(H1621="","",H1621+J1621)</f>
        <v/>
      </c>
      <c r="L1621" s="13">
        <f>IF(B1621="","",YEAR(B1621))</f>
        <v/>
      </c>
      <c r="M1621" s="13">
        <f>IF(B1621="","",MONTH(B1621))</f>
        <v/>
      </c>
      <c r="N1621" s="9" t="n"/>
      <c r="O1621" s="9" t="n"/>
      <c r="P1621" s="9" t="n"/>
      <c r="Q1621" s="9" t="n"/>
    </row>
    <row r="1622">
      <c r="A1622" s="9" t="n"/>
      <c r="B1622" s="70" t="n"/>
      <c r="C1622" s="9" t="n"/>
      <c r="D1622" s="9" t="n"/>
      <c r="E1622" s="9" t="n"/>
      <c r="F1622" s="9" t="n"/>
      <c r="G1622" s="9" t="n"/>
      <c r="H1622" s="71" t="n"/>
      <c r="I1622" s="9" t="n"/>
      <c r="J1622" s="89">
        <f>IF(H1622="","",IF(I1622="Sí",ROUND(H1622*Configuracion!$B$11,0),0))</f>
        <v/>
      </c>
      <c r="K1622" s="89">
        <f>IF(H1622="","",H1622+J1622)</f>
        <v/>
      </c>
      <c r="L1622" s="13">
        <f>IF(B1622="","",YEAR(B1622))</f>
        <v/>
      </c>
      <c r="M1622" s="13">
        <f>IF(B1622="","",MONTH(B1622))</f>
        <v/>
      </c>
      <c r="N1622" s="9" t="n"/>
      <c r="O1622" s="9" t="n"/>
      <c r="P1622" s="9" t="n"/>
      <c r="Q1622" s="9" t="n"/>
    </row>
    <row r="1623">
      <c r="A1623" s="9" t="n"/>
      <c r="B1623" s="70" t="n"/>
      <c r="C1623" s="9" t="n"/>
      <c r="D1623" s="9" t="n"/>
      <c r="E1623" s="9" t="n"/>
      <c r="F1623" s="9" t="n"/>
      <c r="G1623" s="9" t="n"/>
      <c r="H1623" s="71" t="n"/>
      <c r="I1623" s="9" t="n"/>
      <c r="J1623" s="89">
        <f>IF(H1623="","",IF(I1623="Sí",ROUND(H1623*Configuracion!$B$11,0),0))</f>
        <v/>
      </c>
      <c r="K1623" s="89">
        <f>IF(H1623="","",H1623+J1623)</f>
        <v/>
      </c>
      <c r="L1623" s="13">
        <f>IF(B1623="","",YEAR(B1623))</f>
        <v/>
      </c>
      <c r="M1623" s="13">
        <f>IF(B1623="","",MONTH(B1623))</f>
        <v/>
      </c>
      <c r="N1623" s="9" t="n"/>
      <c r="O1623" s="9" t="n"/>
      <c r="P1623" s="9" t="n"/>
      <c r="Q1623" s="9" t="n"/>
    </row>
    <row r="1624">
      <c r="A1624" s="9" t="n"/>
      <c r="B1624" s="70" t="n"/>
      <c r="C1624" s="9" t="n"/>
      <c r="D1624" s="9" t="n"/>
      <c r="E1624" s="9" t="n"/>
      <c r="F1624" s="9" t="n"/>
      <c r="G1624" s="9" t="n"/>
      <c r="H1624" s="71" t="n"/>
      <c r="I1624" s="9" t="n"/>
      <c r="J1624" s="89">
        <f>IF(H1624="","",IF(I1624="Sí",ROUND(H1624*Configuracion!$B$11,0),0))</f>
        <v/>
      </c>
      <c r="K1624" s="89">
        <f>IF(H1624="","",H1624+J1624)</f>
        <v/>
      </c>
      <c r="L1624" s="13">
        <f>IF(B1624="","",YEAR(B1624))</f>
        <v/>
      </c>
      <c r="M1624" s="13">
        <f>IF(B1624="","",MONTH(B1624))</f>
        <v/>
      </c>
      <c r="N1624" s="9" t="n"/>
      <c r="O1624" s="9" t="n"/>
      <c r="P1624" s="9" t="n"/>
      <c r="Q1624" s="9" t="n"/>
    </row>
    <row r="1625">
      <c r="A1625" s="9" t="n"/>
      <c r="B1625" s="70" t="n"/>
      <c r="C1625" s="9" t="n"/>
      <c r="D1625" s="9" t="n"/>
      <c r="E1625" s="9" t="n"/>
      <c r="F1625" s="9" t="n"/>
      <c r="G1625" s="9" t="n"/>
      <c r="H1625" s="71" t="n"/>
      <c r="I1625" s="9" t="n"/>
      <c r="J1625" s="89">
        <f>IF(H1625="","",IF(I1625="Sí",ROUND(H1625*Configuracion!$B$11,0),0))</f>
        <v/>
      </c>
      <c r="K1625" s="89">
        <f>IF(H1625="","",H1625+J1625)</f>
        <v/>
      </c>
      <c r="L1625" s="13">
        <f>IF(B1625="","",YEAR(B1625))</f>
        <v/>
      </c>
      <c r="M1625" s="13">
        <f>IF(B1625="","",MONTH(B1625))</f>
        <v/>
      </c>
      <c r="N1625" s="9" t="n"/>
      <c r="O1625" s="9" t="n"/>
      <c r="P1625" s="9" t="n"/>
      <c r="Q1625" s="9" t="n"/>
    </row>
    <row r="1626">
      <c r="A1626" s="9" t="n"/>
      <c r="B1626" s="70" t="n"/>
      <c r="C1626" s="9" t="n"/>
      <c r="D1626" s="9" t="n"/>
      <c r="E1626" s="9" t="n"/>
      <c r="F1626" s="9" t="n"/>
      <c r="G1626" s="9" t="n"/>
      <c r="H1626" s="71" t="n"/>
      <c r="I1626" s="9" t="n"/>
      <c r="J1626" s="89">
        <f>IF(H1626="","",IF(I1626="Sí",ROUND(H1626*Configuracion!$B$11,0),0))</f>
        <v/>
      </c>
      <c r="K1626" s="89">
        <f>IF(H1626="","",H1626+J1626)</f>
        <v/>
      </c>
      <c r="L1626" s="13">
        <f>IF(B1626="","",YEAR(B1626))</f>
        <v/>
      </c>
      <c r="M1626" s="13">
        <f>IF(B1626="","",MONTH(B1626))</f>
        <v/>
      </c>
      <c r="N1626" s="9" t="n"/>
      <c r="O1626" s="9" t="n"/>
      <c r="P1626" s="9" t="n"/>
      <c r="Q1626" s="9" t="n"/>
    </row>
    <row r="1627">
      <c r="A1627" s="9" t="n"/>
      <c r="B1627" s="70" t="n"/>
      <c r="C1627" s="9" t="n"/>
      <c r="D1627" s="9" t="n"/>
      <c r="E1627" s="9" t="n"/>
      <c r="F1627" s="9" t="n"/>
      <c r="G1627" s="9" t="n"/>
      <c r="H1627" s="71" t="n"/>
      <c r="I1627" s="9" t="n"/>
      <c r="J1627" s="89">
        <f>IF(H1627="","",IF(I1627="Sí",ROUND(H1627*Configuracion!$B$11,0),0))</f>
        <v/>
      </c>
      <c r="K1627" s="89">
        <f>IF(H1627="","",H1627+J1627)</f>
        <v/>
      </c>
      <c r="L1627" s="13">
        <f>IF(B1627="","",YEAR(B1627))</f>
        <v/>
      </c>
      <c r="M1627" s="13">
        <f>IF(B1627="","",MONTH(B1627))</f>
        <v/>
      </c>
      <c r="N1627" s="9" t="n"/>
      <c r="O1627" s="9" t="n"/>
      <c r="P1627" s="9" t="n"/>
      <c r="Q1627" s="9" t="n"/>
    </row>
    <row r="1628">
      <c r="A1628" s="9" t="n"/>
      <c r="B1628" s="70" t="n"/>
      <c r="C1628" s="9" t="n"/>
      <c r="D1628" s="9" t="n"/>
      <c r="E1628" s="9" t="n"/>
      <c r="F1628" s="9" t="n"/>
      <c r="G1628" s="9" t="n"/>
      <c r="H1628" s="71" t="n"/>
      <c r="I1628" s="9" t="n"/>
      <c r="J1628" s="89">
        <f>IF(H1628="","",IF(I1628="Sí",ROUND(H1628*Configuracion!$B$11,0),0))</f>
        <v/>
      </c>
      <c r="K1628" s="89">
        <f>IF(H1628="","",H1628+J1628)</f>
        <v/>
      </c>
      <c r="L1628" s="13">
        <f>IF(B1628="","",YEAR(B1628))</f>
        <v/>
      </c>
      <c r="M1628" s="13">
        <f>IF(B1628="","",MONTH(B1628))</f>
        <v/>
      </c>
      <c r="N1628" s="9" t="n"/>
      <c r="O1628" s="9" t="n"/>
      <c r="P1628" s="9" t="n"/>
      <c r="Q1628" s="9" t="n"/>
    </row>
    <row r="1629">
      <c r="A1629" s="9" t="n"/>
      <c r="B1629" s="70" t="n"/>
      <c r="C1629" s="9" t="n"/>
      <c r="D1629" s="9" t="n"/>
      <c r="E1629" s="9" t="n"/>
      <c r="F1629" s="9" t="n"/>
      <c r="G1629" s="9" t="n"/>
      <c r="H1629" s="71" t="n"/>
      <c r="I1629" s="9" t="n"/>
      <c r="J1629" s="89">
        <f>IF(H1629="","",IF(I1629="Sí",ROUND(H1629*Configuracion!$B$11,0),0))</f>
        <v/>
      </c>
      <c r="K1629" s="89">
        <f>IF(H1629="","",H1629+J1629)</f>
        <v/>
      </c>
      <c r="L1629" s="13">
        <f>IF(B1629="","",YEAR(B1629))</f>
        <v/>
      </c>
      <c r="M1629" s="13">
        <f>IF(B1629="","",MONTH(B1629))</f>
        <v/>
      </c>
      <c r="N1629" s="9" t="n"/>
      <c r="O1629" s="9" t="n"/>
      <c r="P1629" s="9" t="n"/>
      <c r="Q1629" s="9" t="n"/>
    </row>
    <row r="1630">
      <c r="A1630" s="9" t="n"/>
      <c r="B1630" s="70" t="n"/>
      <c r="C1630" s="9" t="n"/>
      <c r="D1630" s="9" t="n"/>
      <c r="E1630" s="9" t="n"/>
      <c r="F1630" s="9" t="n"/>
      <c r="G1630" s="9" t="n"/>
      <c r="H1630" s="71" t="n"/>
      <c r="I1630" s="9" t="n"/>
      <c r="J1630" s="89">
        <f>IF(H1630="","",IF(I1630="Sí",ROUND(H1630*Configuracion!$B$11,0),0))</f>
        <v/>
      </c>
      <c r="K1630" s="89">
        <f>IF(H1630="","",H1630+J1630)</f>
        <v/>
      </c>
      <c r="L1630" s="13">
        <f>IF(B1630="","",YEAR(B1630))</f>
        <v/>
      </c>
      <c r="M1630" s="13">
        <f>IF(B1630="","",MONTH(B1630))</f>
        <v/>
      </c>
      <c r="N1630" s="9" t="n"/>
      <c r="O1630" s="9" t="n"/>
      <c r="P1630" s="9" t="n"/>
      <c r="Q1630" s="9" t="n"/>
    </row>
    <row r="1631">
      <c r="A1631" s="9" t="n"/>
      <c r="B1631" s="70" t="n"/>
      <c r="C1631" s="9" t="n"/>
      <c r="D1631" s="9" t="n"/>
      <c r="E1631" s="9" t="n"/>
      <c r="F1631" s="9" t="n"/>
      <c r="G1631" s="9" t="n"/>
      <c r="H1631" s="71" t="n"/>
      <c r="I1631" s="9" t="n"/>
      <c r="J1631" s="89">
        <f>IF(H1631="","",IF(I1631="Sí",ROUND(H1631*Configuracion!$B$11,0),0))</f>
        <v/>
      </c>
      <c r="K1631" s="89">
        <f>IF(H1631="","",H1631+J1631)</f>
        <v/>
      </c>
      <c r="L1631" s="13">
        <f>IF(B1631="","",YEAR(B1631))</f>
        <v/>
      </c>
      <c r="M1631" s="13">
        <f>IF(B1631="","",MONTH(B1631))</f>
        <v/>
      </c>
      <c r="N1631" s="9" t="n"/>
      <c r="O1631" s="9" t="n"/>
      <c r="P1631" s="9" t="n"/>
      <c r="Q1631" s="9" t="n"/>
    </row>
    <row r="1632">
      <c r="A1632" s="9" t="n"/>
      <c r="B1632" s="70" t="n"/>
      <c r="C1632" s="9" t="n"/>
      <c r="D1632" s="9" t="n"/>
      <c r="E1632" s="9" t="n"/>
      <c r="F1632" s="9" t="n"/>
      <c r="G1632" s="9" t="n"/>
      <c r="H1632" s="71" t="n"/>
      <c r="I1632" s="9" t="n"/>
      <c r="J1632" s="89">
        <f>IF(H1632="","",IF(I1632="Sí",ROUND(H1632*Configuracion!$B$11,0),0))</f>
        <v/>
      </c>
      <c r="K1632" s="89">
        <f>IF(H1632="","",H1632+J1632)</f>
        <v/>
      </c>
      <c r="L1632" s="13">
        <f>IF(B1632="","",YEAR(B1632))</f>
        <v/>
      </c>
      <c r="M1632" s="13">
        <f>IF(B1632="","",MONTH(B1632))</f>
        <v/>
      </c>
      <c r="N1632" s="9" t="n"/>
      <c r="O1632" s="9" t="n"/>
      <c r="P1632" s="9" t="n"/>
      <c r="Q1632" s="9" t="n"/>
    </row>
    <row r="1633">
      <c r="A1633" s="9" t="n"/>
      <c r="B1633" s="70" t="n"/>
      <c r="C1633" s="9" t="n"/>
      <c r="D1633" s="9" t="n"/>
      <c r="E1633" s="9" t="n"/>
      <c r="F1633" s="9" t="n"/>
      <c r="G1633" s="9" t="n"/>
      <c r="H1633" s="71" t="n"/>
      <c r="I1633" s="9" t="n"/>
      <c r="J1633" s="89">
        <f>IF(H1633="","",IF(I1633="Sí",ROUND(H1633*Configuracion!$B$11,0),0))</f>
        <v/>
      </c>
      <c r="K1633" s="89">
        <f>IF(H1633="","",H1633+J1633)</f>
        <v/>
      </c>
      <c r="L1633" s="13">
        <f>IF(B1633="","",YEAR(B1633))</f>
        <v/>
      </c>
      <c r="M1633" s="13">
        <f>IF(B1633="","",MONTH(B1633))</f>
        <v/>
      </c>
      <c r="N1633" s="9" t="n"/>
      <c r="O1633" s="9" t="n"/>
      <c r="P1633" s="9" t="n"/>
      <c r="Q1633" s="9" t="n"/>
    </row>
    <row r="1634">
      <c r="A1634" s="9" t="n"/>
      <c r="B1634" s="70" t="n"/>
      <c r="C1634" s="9" t="n"/>
      <c r="D1634" s="9" t="n"/>
      <c r="E1634" s="9" t="n"/>
      <c r="F1634" s="9" t="n"/>
      <c r="G1634" s="9" t="n"/>
      <c r="H1634" s="71" t="n"/>
      <c r="I1634" s="9" t="n"/>
      <c r="J1634" s="89">
        <f>IF(H1634="","",IF(I1634="Sí",ROUND(H1634*Configuracion!$B$11,0),0))</f>
        <v/>
      </c>
      <c r="K1634" s="89">
        <f>IF(H1634="","",H1634+J1634)</f>
        <v/>
      </c>
      <c r="L1634" s="13">
        <f>IF(B1634="","",YEAR(B1634))</f>
        <v/>
      </c>
      <c r="M1634" s="13">
        <f>IF(B1634="","",MONTH(B1634))</f>
        <v/>
      </c>
      <c r="N1634" s="9" t="n"/>
      <c r="O1634" s="9" t="n"/>
      <c r="P1634" s="9" t="n"/>
      <c r="Q1634" s="9" t="n"/>
    </row>
    <row r="1635">
      <c r="A1635" s="9" t="n"/>
      <c r="B1635" s="70" t="n"/>
      <c r="C1635" s="9" t="n"/>
      <c r="D1635" s="9" t="n"/>
      <c r="E1635" s="9" t="n"/>
      <c r="F1635" s="9" t="n"/>
      <c r="G1635" s="9" t="n"/>
      <c r="H1635" s="71" t="n"/>
      <c r="I1635" s="9" t="n"/>
      <c r="J1635" s="89">
        <f>IF(H1635="","",IF(I1635="Sí",ROUND(H1635*Configuracion!$B$11,0),0))</f>
        <v/>
      </c>
      <c r="K1635" s="89">
        <f>IF(H1635="","",H1635+J1635)</f>
        <v/>
      </c>
      <c r="L1635" s="13">
        <f>IF(B1635="","",YEAR(B1635))</f>
        <v/>
      </c>
      <c r="M1635" s="13">
        <f>IF(B1635="","",MONTH(B1635))</f>
        <v/>
      </c>
      <c r="N1635" s="9" t="n"/>
      <c r="O1635" s="9" t="n"/>
      <c r="P1635" s="9" t="n"/>
      <c r="Q1635" s="9" t="n"/>
    </row>
    <row r="1636">
      <c r="A1636" s="9" t="n"/>
      <c r="B1636" s="70" t="n"/>
      <c r="C1636" s="9" t="n"/>
      <c r="D1636" s="9" t="n"/>
      <c r="E1636" s="9" t="n"/>
      <c r="F1636" s="9" t="n"/>
      <c r="G1636" s="9" t="n"/>
      <c r="H1636" s="71" t="n"/>
      <c r="I1636" s="9" t="n"/>
      <c r="J1636" s="89">
        <f>IF(H1636="","",IF(I1636="Sí",ROUND(H1636*Configuracion!$B$11,0),0))</f>
        <v/>
      </c>
      <c r="K1636" s="89">
        <f>IF(H1636="","",H1636+J1636)</f>
        <v/>
      </c>
      <c r="L1636" s="13">
        <f>IF(B1636="","",YEAR(B1636))</f>
        <v/>
      </c>
      <c r="M1636" s="13">
        <f>IF(B1636="","",MONTH(B1636))</f>
        <v/>
      </c>
      <c r="N1636" s="9" t="n"/>
      <c r="O1636" s="9" t="n"/>
      <c r="P1636" s="9" t="n"/>
      <c r="Q1636" s="9" t="n"/>
    </row>
    <row r="1637">
      <c r="A1637" s="9" t="n"/>
      <c r="B1637" s="70" t="n"/>
      <c r="C1637" s="9" t="n"/>
      <c r="D1637" s="9" t="n"/>
      <c r="E1637" s="9" t="n"/>
      <c r="F1637" s="9" t="n"/>
      <c r="G1637" s="9" t="n"/>
      <c r="H1637" s="71" t="n"/>
      <c r="I1637" s="9" t="n"/>
      <c r="J1637" s="89">
        <f>IF(H1637="","",IF(I1637="Sí",ROUND(H1637*Configuracion!$B$11,0),0))</f>
        <v/>
      </c>
      <c r="K1637" s="89">
        <f>IF(H1637="","",H1637+J1637)</f>
        <v/>
      </c>
      <c r="L1637" s="13">
        <f>IF(B1637="","",YEAR(B1637))</f>
        <v/>
      </c>
      <c r="M1637" s="13">
        <f>IF(B1637="","",MONTH(B1637))</f>
        <v/>
      </c>
      <c r="N1637" s="9" t="n"/>
      <c r="O1637" s="9" t="n"/>
      <c r="P1637" s="9" t="n"/>
      <c r="Q1637" s="9" t="n"/>
    </row>
    <row r="1638">
      <c r="A1638" s="9" t="n"/>
      <c r="B1638" s="70" t="n"/>
      <c r="C1638" s="9" t="n"/>
      <c r="D1638" s="9" t="n"/>
      <c r="E1638" s="9" t="n"/>
      <c r="F1638" s="9" t="n"/>
      <c r="G1638" s="9" t="n"/>
      <c r="H1638" s="71" t="n"/>
      <c r="I1638" s="9" t="n"/>
      <c r="J1638" s="89">
        <f>IF(H1638="","",IF(I1638="Sí",ROUND(H1638*Configuracion!$B$11,0),0))</f>
        <v/>
      </c>
      <c r="K1638" s="89">
        <f>IF(H1638="","",H1638+J1638)</f>
        <v/>
      </c>
      <c r="L1638" s="13">
        <f>IF(B1638="","",YEAR(B1638))</f>
        <v/>
      </c>
      <c r="M1638" s="13">
        <f>IF(B1638="","",MONTH(B1638))</f>
        <v/>
      </c>
      <c r="N1638" s="9" t="n"/>
      <c r="O1638" s="9" t="n"/>
      <c r="P1638" s="9" t="n"/>
      <c r="Q1638" s="9" t="n"/>
    </row>
    <row r="1639">
      <c r="A1639" s="9" t="n"/>
      <c r="B1639" s="70" t="n"/>
      <c r="C1639" s="9" t="n"/>
      <c r="D1639" s="9" t="n"/>
      <c r="E1639" s="9" t="n"/>
      <c r="F1639" s="9" t="n"/>
      <c r="G1639" s="9" t="n"/>
      <c r="H1639" s="71" t="n"/>
      <c r="I1639" s="9" t="n"/>
      <c r="J1639" s="89">
        <f>IF(H1639="","",IF(I1639="Sí",ROUND(H1639*Configuracion!$B$11,0),0))</f>
        <v/>
      </c>
      <c r="K1639" s="89">
        <f>IF(H1639="","",H1639+J1639)</f>
        <v/>
      </c>
      <c r="L1639" s="13">
        <f>IF(B1639="","",YEAR(B1639))</f>
        <v/>
      </c>
      <c r="M1639" s="13">
        <f>IF(B1639="","",MONTH(B1639))</f>
        <v/>
      </c>
      <c r="N1639" s="9" t="n"/>
      <c r="O1639" s="9" t="n"/>
      <c r="P1639" s="9" t="n"/>
      <c r="Q1639" s="9" t="n"/>
    </row>
    <row r="1640">
      <c r="A1640" s="9" t="n"/>
      <c r="B1640" s="70" t="n"/>
      <c r="C1640" s="9" t="n"/>
      <c r="D1640" s="9" t="n"/>
      <c r="E1640" s="9" t="n"/>
      <c r="F1640" s="9" t="n"/>
      <c r="G1640" s="9" t="n"/>
      <c r="H1640" s="71" t="n"/>
      <c r="I1640" s="9" t="n"/>
      <c r="J1640" s="89">
        <f>IF(H1640="","",IF(I1640="Sí",ROUND(H1640*Configuracion!$B$11,0),0))</f>
        <v/>
      </c>
      <c r="K1640" s="89">
        <f>IF(H1640="","",H1640+J1640)</f>
        <v/>
      </c>
      <c r="L1640" s="13">
        <f>IF(B1640="","",YEAR(B1640))</f>
        <v/>
      </c>
      <c r="M1640" s="13">
        <f>IF(B1640="","",MONTH(B1640))</f>
        <v/>
      </c>
      <c r="N1640" s="9" t="n"/>
      <c r="O1640" s="9" t="n"/>
      <c r="P1640" s="9" t="n"/>
      <c r="Q1640" s="9" t="n"/>
    </row>
    <row r="1641">
      <c r="A1641" s="9" t="n"/>
      <c r="B1641" s="70" t="n"/>
      <c r="C1641" s="9" t="n"/>
      <c r="D1641" s="9" t="n"/>
      <c r="E1641" s="9" t="n"/>
      <c r="F1641" s="9" t="n"/>
      <c r="G1641" s="9" t="n"/>
      <c r="H1641" s="71" t="n"/>
      <c r="I1641" s="9" t="n"/>
      <c r="J1641" s="89">
        <f>IF(H1641="","",IF(I1641="Sí",ROUND(H1641*Configuracion!$B$11,0),0))</f>
        <v/>
      </c>
      <c r="K1641" s="89">
        <f>IF(H1641="","",H1641+J1641)</f>
        <v/>
      </c>
      <c r="L1641" s="13">
        <f>IF(B1641="","",YEAR(B1641))</f>
        <v/>
      </c>
      <c r="M1641" s="13">
        <f>IF(B1641="","",MONTH(B1641))</f>
        <v/>
      </c>
      <c r="N1641" s="9" t="n"/>
      <c r="O1641" s="9" t="n"/>
      <c r="P1641" s="9" t="n"/>
      <c r="Q1641" s="9" t="n"/>
    </row>
    <row r="1642">
      <c r="A1642" s="9" t="n"/>
      <c r="B1642" s="70" t="n"/>
      <c r="C1642" s="9" t="n"/>
      <c r="D1642" s="9" t="n"/>
      <c r="E1642" s="9" t="n"/>
      <c r="F1642" s="9" t="n"/>
      <c r="G1642" s="9" t="n"/>
      <c r="H1642" s="71" t="n"/>
      <c r="I1642" s="9" t="n"/>
      <c r="J1642" s="89">
        <f>IF(H1642="","",IF(I1642="Sí",ROUND(H1642*Configuracion!$B$11,0),0))</f>
        <v/>
      </c>
      <c r="K1642" s="89">
        <f>IF(H1642="","",H1642+J1642)</f>
        <v/>
      </c>
      <c r="L1642" s="13">
        <f>IF(B1642="","",YEAR(B1642))</f>
        <v/>
      </c>
      <c r="M1642" s="13">
        <f>IF(B1642="","",MONTH(B1642))</f>
        <v/>
      </c>
      <c r="N1642" s="9" t="n"/>
      <c r="O1642" s="9" t="n"/>
      <c r="P1642" s="9" t="n"/>
      <c r="Q1642" s="9" t="n"/>
    </row>
    <row r="1643">
      <c r="A1643" s="9" t="n"/>
      <c r="B1643" s="70" t="n"/>
      <c r="C1643" s="9" t="n"/>
      <c r="D1643" s="9" t="n"/>
      <c r="E1643" s="9" t="n"/>
      <c r="F1643" s="9" t="n"/>
      <c r="G1643" s="9" t="n"/>
      <c r="H1643" s="71" t="n"/>
      <c r="I1643" s="9" t="n"/>
      <c r="J1643" s="89">
        <f>IF(H1643="","",IF(I1643="Sí",ROUND(H1643*Configuracion!$B$11,0),0))</f>
        <v/>
      </c>
      <c r="K1643" s="89">
        <f>IF(H1643="","",H1643+J1643)</f>
        <v/>
      </c>
      <c r="L1643" s="13">
        <f>IF(B1643="","",YEAR(B1643))</f>
        <v/>
      </c>
      <c r="M1643" s="13">
        <f>IF(B1643="","",MONTH(B1643))</f>
        <v/>
      </c>
      <c r="N1643" s="9" t="n"/>
      <c r="O1643" s="9" t="n"/>
      <c r="P1643" s="9" t="n"/>
      <c r="Q1643" s="9" t="n"/>
    </row>
    <row r="1644">
      <c r="A1644" s="9" t="n"/>
      <c r="B1644" s="70" t="n"/>
      <c r="C1644" s="9" t="n"/>
      <c r="D1644" s="9" t="n"/>
      <c r="E1644" s="9" t="n"/>
      <c r="F1644" s="9" t="n"/>
      <c r="G1644" s="9" t="n"/>
      <c r="H1644" s="71" t="n"/>
      <c r="I1644" s="9" t="n"/>
      <c r="J1644" s="89">
        <f>IF(H1644="","",IF(I1644="Sí",ROUND(H1644*Configuracion!$B$11,0),0))</f>
        <v/>
      </c>
      <c r="K1644" s="89">
        <f>IF(H1644="","",H1644+J1644)</f>
        <v/>
      </c>
      <c r="L1644" s="13">
        <f>IF(B1644="","",YEAR(B1644))</f>
        <v/>
      </c>
      <c r="M1644" s="13">
        <f>IF(B1644="","",MONTH(B1644))</f>
        <v/>
      </c>
      <c r="N1644" s="9" t="n"/>
      <c r="O1644" s="9" t="n"/>
      <c r="P1644" s="9" t="n"/>
      <c r="Q1644" s="9" t="n"/>
    </row>
    <row r="1645">
      <c r="A1645" s="9" t="n"/>
      <c r="B1645" s="70" t="n"/>
      <c r="C1645" s="9" t="n"/>
      <c r="D1645" s="9" t="n"/>
      <c r="E1645" s="9" t="n"/>
      <c r="F1645" s="9" t="n"/>
      <c r="G1645" s="9" t="n"/>
      <c r="H1645" s="71" t="n"/>
      <c r="I1645" s="9" t="n"/>
      <c r="J1645" s="89">
        <f>IF(H1645="","",IF(I1645="Sí",ROUND(H1645*Configuracion!$B$11,0),0))</f>
        <v/>
      </c>
      <c r="K1645" s="89">
        <f>IF(H1645="","",H1645+J1645)</f>
        <v/>
      </c>
      <c r="L1645" s="13">
        <f>IF(B1645="","",YEAR(B1645))</f>
        <v/>
      </c>
      <c r="M1645" s="13">
        <f>IF(B1645="","",MONTH(B1645))</f>
        <v/>
      </c>
      <c r="N1645" s="9" t="n"/>
      <c r="O1645" s="9" t="n"/>
      <c r="P1645" s="9" t="n"/>
      <c r="Q1645" s="9" t="n"/>
    </row>
    <row r="1646">
      <c r="A1646" s="9" t="n"/>
      <c r="B1646" s="70" t="n"/>
      <c r="C1646" s="9" t="n"/>
      <c r="D1646" s="9" t="n"/>
      <c r="E1646" s="9" t="n"/>
      <c r="F1646" s="9" t="n"/>
      <c r="G1646" s="9" t="n"/>
      <c r="H1646" s="71" t="n"/>
      <c r="I1646" s="9" t="n"/>
      <c r="J1646" s="89">
        <f>IF(H1646="","",IF(I1646="Sí",ROUND(H1646*Configuracion!$B$11,0),0))</f>
        <v/>
      </c>
      <c r="K1646" s="89">
        <f>IF(H1646="","",H1646+J1646)</f>
        <v/>
      </c>
      <c r="L1646" s="13">
        <f>IF(B1646="","",YEAR(B1646))</f>
        <v/>
      </c>
      <c r="M1646" s="13">
        <f>IF(B1646="","",MONTH(B1646))</f>
        <v/>
      </c>
      <c r="N1646" s="9" t="n"/>
      <c r="O1646" s="9" t="n"/>
      <c r="P1646" s="9" t="n"/>
      <c r="Q1646" s="9" t="n"/>
    </row>
    <row r="1647">
      <c r="A1647" s="9" t="n"/>
      <c r="B1647" s="70" t="n"/>
      <c r="C1647" s="9" t="n"/>
      <c r="D1647" s="9" t="n"/>
      <c r="E1647" s="9" t="n"/>
      <c r="F1647" s="9" t="n"/>
      <c r="G1647" s="9" t="n"/>
      <c r="H1647" s="71" t="n"/>
      <c r="I1647" s="9" t="n"/>
      <c r="J1647" s="89">
        <f>IF(H1647="","",IF(I1647="Sí",ROUND(H1647*Configuracion!$B$11,0),0))</f>
        <v/>
      </c>
      <c r="K1647" s="89">
        <f>IF(H1647="","",H1647+J1647)</f>
        <v/>
      </c>
      <c r="L1647" s="13">
        <f>IF(B1647="","",YEAR(B1647))</f>
        <v/>
      </c>
      <c r="M1647" s="13">
        <f>IF(B1647="","",MONTH(B1647))</f>
        <v/>
      </c>
      <c r="N1647" s="9" t="n"/>
      <c r="O1647" s="9" t="n"/>
      <c r="P1647" s="9" t="n"/>
      <c r="Q1647" s="9" t="n"/>
    </row>
    <row r="1648">
      <c r="A1648" s="9" t="n"/>
      <c r="B1648" s="70" t="n"/>
      <c r="C1648" s="9" t="n"/>
      <c r="D1648" s="9" t="n"/>
      <c r="E1648" s="9" t="n"/>
      <c r="F1648" s="9" t="n"/>
      <c r="G1648" s="9" t="n"/>
      <c r="H1648" s="71" t="n"/>
      <c r="I1648" s="9" t="n"/>
      <c r="J1648" s="89">
        <f>IF(H1648="","",IF(I1648="Sí",ROUND(H1648*Configuracion!$B$11,0),0))</f>
        <v/>
      </c>
      <c r="K1648" s="89">
        <f>IF(H1648="","",H1648+J1648)</f>
        <v/>
      </c>
      <c r="L1648" s="13">
        <f>IF(B1648="","",YEAR(B1648))</f>
        <v/>
      </c>
      <c r="M1648" s="13">
        <f>IF(B1648="","",MONTH(B1648))</f>
        <v/>
      </c>
      <c r="N1648" s="9" t="n"/>
      <c r="O1648" s="9" t="n"/>
      <c r="P1648" s="9" t="n"/>
      <c r="Q1648" s="9" t="n"/>
    </row>
    <row r="1649">
      <c r="A1649" s="9" t="n"/>
      <c r="B1649" s="70" t="n"/>
      <c r="C1649" s="9" t="n"/>
      <c r="D1649" s="9" t="n"/>
      <c r="E1649" s="9" t="n"/>
      <c r="F1649" s="9" t="n"/>
      <c r="G1649" s="9" t="n"/>
      <c r="H1649" s="71" t="n"/>
      <c r="I1649" s="9" t="n"/>
      <c r="J1649" s="89">
        <f>IF(H1649="","",IF(I1649="Sí",ROUND(H1649*Configuracion!$B$11,0),0))</f>
        <v/>
      </c>
      <c r="K1649" s="89">
        <f>IF(H1649="","",H1649+J1649)</f>
        <v/>
      </c>
      <c r="L1649" s="13">
        <f>IF(B1649="","",YEAR(B1649))</f>
        <v/>
      </c>
      <c r="M1649" s="13">
        <f>IF(B1649="","",MONTH(B1649))</f>
        <v/>
      </c>
      <c r="N1649" s="9" t="n"/>
      <c r="O1649" s="9" t="n"/>
      <c r="P1649" s="9" t="n"/>
      <c r="Q1649" s="9" t="n"/>
    </row>
    <row r="1650">
      <c r="A1650" s="9" t="n"/>
      <c r="B1650" s="70" t="n"/>
      <c r="C1650" s="9" t="n"/>
      <c r="D1650" s="9" t="n"/>
      <c r="E1650" s="9" t="n"/>
      <c r="F1650" s="9" t="n"/>
      <c r="G1650" s="9" t="n"/>
      <c r="H1650" s="71" t="n"/>
      <c r="I1650" s="9" t="n"/>
      <c r="J1650" s="89">
        <f>IF(H1650="","",IF(I1650="Sí",ROUND(H1650*Configuracion!$B$11,0),0))</f>
        <v/>
      </c>
      <c r="K1650" s="89">
        <f>IF(H1650="","",H1650+J1650)</f>
        <v/>
      </c>
      <c r="L1650" s="13">
        <f>IF(B1650="","",YEAR(B1650))</f>
        <v/>
      </c>
      <c r="M1650" s="13">
        <f>IF(B1650="","",MONTH(B1650))</f>
        <v/>
      </c>
      <c r="N1650" s="9" t="n"/>
      <c r="O1650" s="9" t="n"/>
      <c r="P1650" s="9" t="n"/>
      <c r="Q1650" s="9" t="n"/>
    </row>
    <row r="1651">
      <c r="A1651" s="9" t="n"/>
      <c r="B1651" s="70" t="n"/>
      <c r="C1651" s="9" t="n"/>
      <c r="D1651" s="9" t="n"/>
      <c r="E1651" s="9" t="n"/>
      <c r="F1651" s="9" t="n"/>
      <c r="G1651" s="9" t="n"/>
      <c r="H1651" s="71" t="n"/>
      <c r="I1651" s="9" t="n"/>
      <c r="J1651" s="89">
        <f>IF(H1651="","",IF(I1651="Sí",ROUND(H1651*Configuracion!$B$11,0),0))</f>
        <v/>
      </c>
      <c r="K1651" s="89">
        <f>IF(H1651="","",H1651+J1651)</f>
        <v/>
      </c>
      <c r="L1651" s="13">
        <f>IF(B1651="","",YEAR(B1651))</f>
        <v/>
      </c>
      <c r="M1651" s="13">
        <f>IF(B1651="","",MONTH(B1651))</f>
        <v/>
      </c>
      <c r="N1651" s="9" t="n"/>
      <c r="O1651" s="9" t="n"/>
      <c r="P1651" s="9" t="n"/>
      <c r="Q1651" s="9" t="n"/>
    </row>
    <row r="1652">
      <c r="A1652" s="9" t="n"/>
      <c r="B1652" s="70" t="n"/>
      <c r="C1652" s="9" t="n"/>
      <c r="D1652" s="9" t="n"/>
      <c r="E1652" s="9" t="n"/>
      <c r="F1652" s="9" t="n"/>
      <c r="G1652" s="9" t="n"/>
      <c r="H1652" s="71" t="n"/>
      <c r="I1652" s="9" t="n"/>
      <c r="J1652" s="89">
        <f>IF(H1652="","",IF(I1652="Sí",ROUND(H1652*Configuracion!$B$11,0),0))</f>
        <v/>
      </c>
      <c r="K1652" s="89">
        <f>IF(H1652="","",H1652+J1652)</f>
        <v/>
      </c>
      <c r="L1652" s="13">
        <f>IF(B1652="","",YEAR(B1652))</f>
        <v/>
      </c>
      <c r="M1652" s="13">
        <f>IF(B1652="","",MONTH(B1652))</f>
        <v/>
      </c>
      <c r="N1652" s="9" t="n"/>
      <c r="O1652" s="9" t="n"/>
      <c r="P1652" s="9" t="n"/>
      <c r="Q1652" s="9" t="n"/>
    </row>
    <row r="1653">
      <c r="A1653" s="9" t="n"/>
      <c r="B1653" s="70" t="n"/>
      <c r="C1653" s="9" t="n"/>
      <c r="D1653" s="9" t="n"/>
      <c r="E1653" s="9" t="n"/>
      <c r="F1653" s="9" t="n"/>
      <c r="G1653" s="9" t="n"/>
      <c r="H1653" s="71" t="n"/>
      <c r="I1653" s="9" t="n"/>
      <c r="J1653" s="89">
        <f>IF(H1653="","",IF(I1653="Sí",ROUND(H1653*Configuracion!$B$11,0),0))</f>
        <v/>
      </c>
      <c r="K1653" s="89">
        <f>IF(H1653="","",H1653+J1653)</f>
        <v/>
      </c>
      <c r="L1653" s="13">
        <f>IF(B1653="","",YEAR(B1653))</f>
        <v/>
      </c>
      <c r="M1653" s="13">
        <f>IF(B1653="","",MONTH(B1653))</f>
        <v/>
      </c>
      <c r="N1653" s="9" t="n"/>
      <c r="O1653" s="9" t="n"/>
      <c r="P1653" s="9" t="n"/>
      <c r="Q1653" s="9" t="n"/>
    </row>
    <row r="1654">
      <c r="A1654" s="9" t="n"/>
      <c r="B1654" s="70" t="n"/>
      <c r="C1654" s="9" t="n"/>
      <c r="D1654" s="9" t="n"/>
      <c r="E1654" s="9" t="n"/>
      <c r="F1654" s="9" t="n"/>
      <c r="G1654" s="9" t="n"/>
      <c r="H1654" s="71" t="n"/>
      <c r="I1654" s="9" t="n"/>
      <c r="J1654" s="89">
        <f>IF(H1654="","",IF(I1654="Sí",ROUND(H1654*Configuracion!$B$11,0),0))</f>
        <v/>
      </c>
      <c r="K1654" s="89">
        <f>IF(H1654="","",H1654+J1654)</f>
        <v/>
      </c>
      <c r="L1654" s="13">
        <f>IF(B1654="","",YEAR(B1654))</f>
        <v/>
      </c>
      <c r="M1654" s="13">
        <f>IF(B1654="","",MONTH(B1654))</f>
        <v/>
      </c>
      <c r="N1654" s="9" t="n"/>
      <c r="O1654" s="9" t="n"/>
      <c r="P1654" s="9" t="n"/>
      <c r="Q1654" s="9" t="n"/>
    </row>
    <row r="1655">
      <c r="A1655" s="9" t="n"/>
      <c r="B1655" s="70" t="n"/>
      <c r="C1655" s="9" t="n"/>
      <c r="D1655" s="9" t="n"/>
      <c r="E1655" s="9" t="n"/>
      <c r="F1655" s="9" t="n"/>
      <c r="G1655" s="9" t="n"/>
      <c r="H1655" s="71" t="n"/>
      <c r="I1655" s="9" t="n"/>
      <c r="J1655" s="89">
        <f>IF(H1655="","",IF(I1655="Sí",ROUND(H1655*Configuracion!$B$11,0),0))</f>
        <v/>
      </c>
      <c r="K1655" s="89">
        <f>IF(H1655="","",H1655+J1655)</f>
        <v/>
      </c>
      <c r="L1655" s="13">
        <f>IF(B1655="","",YEAR(B1655))</f>
        <v/>
      </c>
      <c r="M1655" s="13">
        <f>IF(B1655="","",MONTH(B1655))</f>
        <v/>
      </c>
      <c r="N1655" s="9" t="n"/>
      <c r="O1655" s="9" t="n"/>
      <c r="P1655" s="9" t="n"/>
      <c r="Q1655" s="9" t="n"/>
    </row>
    <row r="1656">
      <c r="A1656" s="9" t="n"/>
      <c r="B1656" s="70" t="n"/>
      <c r="C1656" s="9" t="n"/>
      <c r="D1656" s="9" t="n"/>
      <c r="E1656" s="9" t="n"/>
      <c r="F1656" s="9" t="n"/>
      <c r="G1656" s="9" t="n"/>
      <c r="H1656" s="71" t="n"/>
      <c r="I1656" s="9" t="n"/>
      <c r="J1656" s="89">
        <f>IF(H1656="","",IF(I1656="Sí",ROUND(H1656*Configuracion!$B$11,0),0))</f>
        <v/>
      </c>
      <c r="K1656" s="89">
        <f>IF(H1656="","",H1656+J1656)</f>
        <v/>
      </c>
      <c r="L1656" s="13">
        <f>IF(B1656="","",YEAR(B1656))</f>
        <v/>
      </c>
      <c r="M1656" s="13">
        <f>IF(B1656="","",MONTH(B1656))</f>
        <v/>
      </c>
      <c r="N1656" s="9" t="n"/>
      <c r="O1656" s="9" t="n"/>
      <c r="P1656" s="9" t="n"/>
      <c r="Q1656" s="9" t="n"/>
    </row>
    <row r="1657">
      <c r="A1657" s="9" t="n"/>
      <c r="B1657" s="70" t="n"/>
      <c r="C1657" s="9" t="n"/>
      <c r="D1657" s="9" t="n"/>
      <c r="E1657" s="9" t="n"/>
      <c r="F1657" s="9" t="n"/>
      <c r="G1657" s="9" t="n"/>
      <c r="H1657" s="71" t="n"/>
      <c r="I1657" s="9" t="n"/>
      <c r="J1657" s="89">
        <f>IF(H1657="","",IF(I1657="Sí",ROUND(H1657*Configuracion!$B$11,0),0))</f>
        <v/>
      </c>
      <c r="K1657" s="89">
        <f>IF(H1657="","",H1657+J1657)</f>
        <v/>
      </c>
      <c r="L1657" s="13">
        <f>IF(B1657="","",YEAR(B1657))</f>
        <v/>
      </c>
      <c r="M1657" s="13">
        <f>IF(B1657="","",MONTH(B1657))</f>
        <v/>
      </c>
      <c r="N1657" s="9" t="n"/>
      <c r="O1657" s="9" t="n"/>
      <c r="P1657" s="9" t="n"/>
      <c r="Q1657" s="9" t="n"/>
    </row>
    <row r="1658">
      <c r="A1658" s="9" t="n"/>
      <c r="B1658" s="70" t="n"/>
      <c r="C1658" s="9" t="n"/>
      <c r="D1658" s="9" t="n"/>
      <c r="E1658" s="9" t="n"/>
      <c r="F1658" s="9" t="n"/>
      <c r="G1658" s="9" t="n"/>
      <c r="H1658" s="71" t="n"/>
      <c r="I1658" s="9" t="n"/>
      <c r="J1658" s="89">
        <f>IF(H1658="","",IF(I1658="Sí",ROUND(H1658*Configuracion!$B$11,0),0))</f>
        <v/>
      </c>
      <c r="K1658" s="89">
        <f>IF(H1658="","",H1658+J1658)</f>
        <v/>
      </c>
      <c r="L1658" s="13">
        <f>IF(B1658="","",YEAR(B1658))</f>
        <v/>
      </c>
      <c r="M1658" s="13">
        <f>IF(B1658="","",MONTH(B1658))</f>
        <v/>
      </c>
      <c r="N1658" s="9" t="n"/>
      <c r="O1658" s="9" t="n"/>
      <c r="P1658" s="9" t="n"/>
      <c r="Q1658" s="9" t="n"/>
    </row>
    <row r="1659">
      <c r="A1659" s="9" t="n"/>
      <c r="B1659" s="70" t="n"/>
      <c r="C1659" s="9" t="n"/>
      <c r="D1659" s="9" t="n"/>
      <c r="E1659" s="9" t="n"/>
      <c r="F1659" s="9" t="n"/>
      <c r="G1659" s="9" t="n"/>
      <c r="H1659" s="71" t="n"/>
      <c r="I1659" s="9" t="n"/>
      <c r="J1659" s="89">
        <f>IF(H1659="","",IF(I1659="Sí",ROUND(H1659*Configuracion!$B$11,0),0))</f>
        <v/>
      </c>
      <c r="K1659" s="89">
        <f>IF(H1659="","",H1659+J1659)</f>
        <v/>
      </c>
      <c r="L1659" s="13">
        <f>IF(B1659="","",YEAR(B1659))</f>
        <v/>
      </c>
      <c r="M1659" s="13">
        <f>IF(B1659="","",MONTH(B1659))</f>
        <v/>
      </c>
      <c r="N1659" s="9" t="n"/>
      <c r="O1659" s="9" t="n"/>
      <c r="P1659" s="9" t="n"/>
      <c r="Q1659" s="9" t="n"/>
    </row>
    <row r="1660">
      <c r="A1660" s="9" t="n"/>
      <c r="B1660" s="70" t="n"/>
      <c r="C1660" s="9" t="n"/>
      <c r="D1660" s="9" t="n"/>
      <c r="E1660" s="9" t="n"/>
      <c r="F1660" s="9" t="n"/>
      <c r="G1660" s="9" t="n"/>
      <c r="H1660" s="71" t="n"/>
      <c r="I1660" s="9" t="n"/>
      <c r="J1660" s="89">
        <f>IF(H1660="","",IF(I1660="Sí",ROUND(H1660*Configuracion!$B$11,0),0))</f>
        <v/>
      </c>
      <c r="K1660" s="89">
        <f>IF(H1660="","",H1660+J1660)</f>
        <v/>
      </c>
      <c r="L1660" s="13">
        <f>IF(B1660="","",YEAR(B1660))</f>
        <v/>
      </c>
      <c r="M1660" s="13">
        <f>IF(B1660="","",MONTH(B1660))</f>
        <v/>
      </c>
      <c r="N1660" s="9" t="n"/>
      <c r="O1660" s="9" t="n"/>
      <c r="P1660" s="9" t="n"/>
      <c r="Q1660" s="9" t="n"/>
    </row>
    <row r="1661">
      <c r="A1661" s="9" t="n"/>
      <c r="B1661" s="70" t="n"/>
      <c r="C1661" s="9" t="n"/>
      <c r="D1661" s="9" t="n"/>
      <c r="E1661" s="9" t="n"/>
      <c r="F1661" s="9" t="n"/>
      <c r="G1661" s="9" t="n"/>
      <c r="H1661" s="71" t="n"/>
      <c r="I1661" s="9" t="n"/>
      <c r="J1661" s="89">
        <f>IF(H1661="","",IF(I1661="Sí",ROUND(H1661*Configuracion!$B$11,0),0))</f>
        <v/>
      </c>
      <c r="K1661" s="89">
        <f>IF(H1661="","",H1661+J1661)</f>
        <v/>
      </c>
      <c r="L1661" s="13">
        <f>IF(B1661="","",YEAR(B1661))</f>
        <v/>
      </c>
      <c r="M1661" s="13">
        <f>IF(B1661="","",MONTH(B1661))</f>
        <v/>
      </c>
      <c r="N1661" s="9" t="n"/>
      <c r="O1661" s="9" t="n"/>
      <c r="P1661" s="9" t="n"/>
      <c r="Q1661" s="9" t="n"/>
    </row>
    <row r="1662">
      <c r="A1662" s="9" t="n"/>
      <c r="B1662" s="70" t="n"/>
      <c r="C1662" s="9" t="n"/>
      <c r="D1662" s="9" t="n"/>
      <c r="E1662" s="9" t="n"/>
      <c r="F1662" s="9" t="n"/>
      <c r="G1662" s="9" t="n"/>
      <c r="H1662" s="71" t="n"/>
      <c r="I1662" s="9" t="n"/>
      <c r="J1662" s="89">
        <f>IF(H1662="","",IF(I1662="Sí",ROUND(H1662*Configuracion!$B$11,0),0))</f>
        <v/>
      </c>
      <c r="K1662" s="89">
        <f>IF(H1662="","",H1662+J1662)</f>
        <v/>
      </c>
      <c r="L1662" s="13">
        <f>IF(B1662="","",YEAR(B1662))</f>
        <v/>
      </c>
      <c r="M1662" s="13">
        <f>IF(B1662="","",MONTH(B1662))</f>
        <v/>
      </c>
      <c r="N1662" s="9" t="n"/>
      <c r="O1662" s="9" t="n"/>
      <c r="P1662" s="9" t="n"/>
      <c r="Q1662" s="9" t="n"/>
    </row>
    <row r="1663">
      <c r="A1663" s="9" t="n"/>
      <c r="B1663" s="70" t="n"/>
      <c r="C1663" s="9" t="n"/>
      <c r="D1663" s="9" t="n"/>
      <c r="E1663" s="9" t="n"/>
      <c r="F1663" s="9" t="n"/>
      <c r="G1663" s="9" t="n"/>
      <c r="H1663" s="71" t="n"/>
      <c r="I1663" s="9" t="n"/>
      <c r="J1663" s="89">
        <f>IF(H1663="","",IF(I1663="Sí",ROUND(H1663*Configuracion!$B$11,0),0))</f>
        <v/>
      </c>
      <c r="K1663" s="89">
        <f>IF(H1663="","",H1663+J1663)</f>
        <v/>
      </c>
      <c r="L1663" s="13">
        <f>IF(B1663="","",YEAR(B1663))</f>
        <v/>
      </c>
      <c r="M1663" s="13">
        <f>IF(B1663="","",MONTH(B1663))</f>
        <v/>
      </c>
      <c r="N1663" s="9" t="n"/>
      <c r="O1663" s="9" t="n"/>
      <c r="P1663" s="9" t="n"/>
      <c r="Q1663" s="9" t="n"/>
    </row>
    <row r="1664">
      <c r="A1664" s="9" t="n"/>
      <c r="B1664" s="70" t="n"/>
      <c r="C1664" s="9" t="n"/>
      <c r="D1664" s="9" t="n"/>
      <c r="E1664" s="9" t="n"/>
      <c r="F1664" s="9" t="n"/>
      <c r="G1664" s="9" t="n"/>
      <c r="H1664" s="71" t="n"/>
      <c r="I1664" s="9" t="n"/>
      <c r="J1664" s="89">
        <f>IF(H1664="","",IF(I1664="Sí",ROUND(H1664*Configuracion!$B$11,0),0))</f>
        <v/>
      </c>
      <c r="K1664" s="89">
        <f>IF(H1664="","",H1664+J1664)</f>
        <v/>
      </c>
      <c r="L1664" s="13">
        <f>IF(B1664="","",YEAR(B1664))</f>
        <v/>
      </c>
      <c r="M1664" s="13">
        <f>IF(B1664="","",MONTH(B1664))</f>
        <v/>
      </c>
      <c r="N1664" s="9" t="n"/>
      <c r="O1664" s="9" t="n"/>
      <c r="P1664" s="9" t="n"/>
      <c r="Q1664" s="9" t="n"/>
    </row>
    <row r="1665">
      <c r="A1665" s="9" t="n"/>
      <c r="B1665" s="70" t="n"/>
      <c r="C1665" s="9" t="n"/>
      <c r="D1665" s="9" t="n"/>
      <c r="E1665" s="9" t="n"/>
      <c r="F1665" s="9" t="n"/>
      <c r="G1665" s="9" t="n"/>
      <c r="H1665" s="71" t="n"/>
      <c r="I1665" s="9" t="n"/>
      <c r="J1665" s="89">
        <f>IF(H1665="","",IF(I1665="Sí",ROUND(H1665*Configuracion!$B$11,0),0))</f>
        <v/>
      </c>
      <c r="K1665" s="89">
        <f>IF(H1665="","",H1665+J1665)</f>
        <v/>
      </c>
      <c r="L1665" s="13">
        <f>IF(B1665="","",YEAR(B1665))</f>
        <v/>
      </c>
      <c r="M1665" s="13">
        <f>IF(B1665="","",MONTH(B1665))</f>
        <v/>
      </c>
      <c r="N1665" s="9" t="n"/>
      <c r="O1665" s="9" t="n"/>
      <c r="P1665" s="9" t="n"/>
      <c r="Q1665" s="9" t="n"/>
    </row>
    <row r="1666">
      <c r="A1666" s="9" t="n"/>
      <c r="B1666" s="70" t="n"/>
      <c r="C1666" s="9" t="n"/>
      <c r="D1666" s="9" t="n"/>
      <c r="E1666" s="9" t="n"/>
      <c r="F1666" s="9" t="n"/>
      <c r="G1666" s="9" t="n"/>
      <c r="H1666" s="71" t="n"/>
      <c r="I1666" s="9" t="n"/>
      <c r="J1666" s="89">
        <f>IF(H1666="","",IF(I1666="Sí",ROUND(H1666*Configuracion!$B$11,0),0))</f>
        <v/>
      </c>
      <c r="K1666" s="89">
        <f>IF(H1666="","",H1666+J1666)</f>
        <v/>
      </c>
      <c r="L1666" s="13">
        <f>IF(B1666="","",YEAR(B1666))</f>
        <v/>
      </c>
      <c r="M1666" s="13">
        <f>IF(B1666="","",MONTH(B1666))</f>
        <v/>
      </c>
      <c r="N1666" s="9" t="n"/>
      <c r="O1666" s="9" t="n"/>
      <c r="P1666" s="9" t="n"/>
      <c r="Q1666" s="9" t="n"/>
    </row>
    <row r="1667">
      <c r="A1667" s="9" t="n"/>
      <c r="B1667" s="70" t="n"/>
      <c r="C1667" s="9" t="n"/>
      <c r="D1667" s="9" t="n"/>
      <c r="E1667" s="9" t="n"/>
      <c r="F1667" s="9" t="n"/>
      <c r="G1667" s="9" t="n"/>
      <c r="H1667" s="71" t="n"/>
      <c r="I1667" s="9" t="n"/>
      <c r="J1667" s="89">
        <f>IF(H1667="","",IF(I1667="Sí",ROUND(H1667*Configuracion!$B$11,0),0))</f>
        <v/>
      </c>
      <c r="K1667" s="89">
        <f>IF(H1667="","",H1667+J1667)</f>
        <v/>
      </c>
      <c r="L1667" s="13">
        <f>IF(B1667="","",YEAR(B1667))</f>
        <v/>
      </c>
      <c r="M1667" s="13">
        <f>IF(B1667="","",MONTH(B1667))</f>
        <v/>
      </c>
      <c r="N1667" s="9" t="n"/>
      <c r="O1667" s="9" t="n"/>
      <c r="P1667" s="9" t="n"/>
      <c r="Q1667" s="9" t="n"/>
    </row>
    <row r="1668">
      <c r="A1668" s="9" t="n"/>
      <c r="B1668" s="70" t="n"/>
      <c r="C1668" s="9" t="n"/>
      <c r="D1668" s="9" t="n"/>
      <c r="E1668" s="9" t="n"/>
      <c r="F1668" s="9" t="n"/>
      <c r="G1668" s="9" t="n"/>
      <c r="H1668" s="71" t="n"/>
      <c r="I1668" s="9" t="n"/>
      <c r="J1668" s="89">
        <f>IF(H1668="","",IF(I1668="Sí",ROUND(H1668*Configuracion!$B$11,0),0))</f>
        <v/>
      </c>
      <c r="K1668" s="89">
        <f>IF(H1668="","",H1668+J1668)</f>
        <v/>
      </c>
      <c r="L1668" s="13">
        <f>IF(B1668="","",YEAR(B1668))</f>
        <v/>
      </c>
      <c r="M1668" s="13">
        <f>IF(B1668="","",MONTH(B1668))</f>
        <v/>
      </c>
      <c r="N1668" s="9" t="n"/>
      <c r="O1668" s="9" t="n"/>
      <c r="P1668" s="9" t="n"/>
      <c r="Q1668" s="9" t="n"/>
    </row>
    <row r="1669">
      <c r="A1669" s="9" t="n"/>
      <c r="B1669" s="70" t="n"/>
      <c r="C1669" s="9" t="n"/>
      <c r="D1669" s="9" t="n"/>
      <c r="E1669" s="9" t="n"/>
      <c r="F1669" s="9" t="n"/>
      <c r="G1669" s="9" t="n"/>
      <c r="H1669" s="71" t="n"/>
      <c r="I1669" s="9" t="n"/>
      <c r="J1669" s="89">
        <f>IF(H1669="","",IF(I1669="Sí",ROUND(H1669*Configuracion!$B$11,0),0))</f>
        <v/>
      </c>
      <c r="K1669" s="89">
        <f>IF(H1669="","",H1669+J1669)</f>
        <v/>
      </c>
      <c r="L1669" s="13">
        <f>IF(B1669="","",YEAR(B1669))</f>
        <v/>
      </c>
      <c r="M1669" s="13">
        <f>IF(B1669="","",MONTH(B1669))</f>
        <v/>
      </c>
      <c r="N1669" s="9" t="n"/>
      <c r="O1669" s="9" t="n"/>
      <c r="P1669" s="9" t="n"/>
      <c r="Q1669" s="9" t="n"/>
    </row>
    <row r="1670">
      <c r="A1670" s="9" t="n"/>
      <c r="B1670" s="70" t="n"/>
      <c r="C1670" s="9" t="n"/>
      <c r="D1670" s="9" t="n"/>
      <c r="E1670" s="9" t="n"/>
      <c r="F1670" s="9" t="n"/>
      <c r="G1670" s="9" t="n"/>
      <c r="H1670" s="71" t="n"/>
      <c r="I1670" s="9" t="n"/>
      <c r="J1670" s="89">
        <f>IF(H1670="","",IF(I1670="Sí",ROUND(H1670*Configuracion!$B$11,0),0))</f>
        <v/>
      </c>
      <c r="K1670" s="89">
        <f>IF(H1670="","",H1670+J1670)</f>
        <v/>
      </c>
      <c r="L1670" s="13">
        <f>IF(B1670="","",YEAR(B1670))</f>
        <v/>
      </c>
      <c r="M1670" s="13">
        <f>IF(B1670="","",MONTH(B1670))</f>
        <v/>
      </c>
      <c r="N1670" s="9" t="n"/>
      <c r="O1670" s="9" t="n"/>
      <c r="P1670" s="9" t="n"/>
      <c r="Q1670" s="9" t="n"/>
    </row>
    <row r="1671">
      <c r="A1671" s="9" t="n"/>
      <c r="B1671" s="70" t="n"/>
      <c r="C1671" s="9" t="n"/>
      <c r="D1671" s="9" t="n"/>
      <c r="E1671" s="9" t="n"/>
      <c r="F1671" s="9" t="n"/>
      <c r="G1671" s="9" t="n"/>
      <c r="H1671" s="71" t="n"/>
      <c r="I1671" s="9" t="n"/>
      <c r="J1671" s="89">
        <f>IF(H1671="","",IF(I1671="Sí",ROUND(H1671*Configuracion!$B$11,0),0))</f>
        <v/>
      </c>
      <c r="K1671" s="89">
        <f>IF(H1671="","",H1671+J1671)</f>
        <v/>
      </c>
      <c r="L1671" s="13">
        <f>IF(B1671="","",YEAR(B1671))</f>
        <v/>
      </c>
      <c r="M1671" s="13">
        <f>IF(B1671="","",MONTH(B1671))</f>
        <v/>
      </c>
      <c r="N1671" s="9" t="n"/>
      <c r="O1671" s="9" t="n"/>
      <c r="P1671" s="9" t="n"/>
      <c r="Q1671" s="9" t="n"/>
    </row>
    <row r="1672">
      <c r="A1672" s="9" t="n"/>
      <c r="B1672" s="70" t="n"/>
      <c r="C1672" s="9" t="n"/>
      <c r="D1672" s="9" t="n"/>
      <c r="E1672" s="9" t="n"/>
      <c r="F1672" s="9" t="n"/>
      <c r="G1672" s="9" t="n"/>
      <c r="H1672" s="71" t="n"/>
      <c r="I1672" s="9" t="n"/>
      <c r="J1672" s="89">
        <f>IF(H1672="","",IF(I1672="Sí",ROUND(H1672*Configuracion!$B$11,0),0))</f>
        <v/>
      </c>
      <c r="K1672" s="89">
        <f>IF(H1672="","",H1672+J1672)</f>
        <v/>
      </c>
      <c r="L1672" s="13">
        <f>IF(B1672="","",YEAR(B1672))</f>
        <v/>
      </c>
      <c r="M1672" s="13">
        <f>IF(B1672="","",MONTH(B1672))</f>
        <v/>
      </c>
      <c r="N1672" s="9" t="n"/>
      <c r="O1672" s="9" t="n"/>
      <c r="P1672" s="9" t="n"/>
      <c r="Q1672" s="9" t="n"/>
    </row>
    <row r="1673">
      <c r="A1673" s="9" t="n"/>
      <c r="B1673" s="70" t="n"/>
      <c r="C1673" s="9" t="n"/>
      <c r="D1673" s="9" t="n"/>
      <c r="E1673" s="9" t="n"/>
      <c r="F1673" s="9" t="n"/>
      <c r="G1673" s="9" t="n"/>
      <c r="H1673" s="71" t="n"/>
      <c r="I1673" s="9" t="n"/>
      <c r="J1673" s="89">
        <f>IF(H1673="","",IF(I1673="Sí",ROUND(H1673*Configuracion!$B$11,0),0))</f>
        <v/>
      </c>
      <c r="K1673" s="89">
        <f>IF(H1673="","",H1673+J1673)</f>
        <v/>
      </c>
      <c r="L1673" s="13">
        <f>IF(B1673="","",YEAR(B1673))</f>
        <v/>
      </c>
      <c r="M1673" s="13">
        <f>IF(B1673="","",MONTH(B1673))</f>
        <v/>
      </c>
      <c r="N1673" s="9" t="n"/>
      <c r="O1673" s="9" t="n"/>
      <c r="P1673" s="9" t="n"/>
      <c r="Q1673" s="9" t="n"/>
    </row>
    <row r="1674">
      <c r="A1674" s="9" t="n"/>
      <c r="B1674" s="70" t="n"/>
      <c r="C1674" s="9" t="n"/>
      <c r="D1674" s="9" t="n"/>
      <c r="E1674" s="9" t="n"/>
      <c r="F1674" s="9" t="n"/>
      <c r="G1674" s="9" t="n"/>
      <c r="H1674" s="71" t="n"/>
      <c r="I1674" s="9" t="n"/>
      <c r="J1674" s="89">
        <f>IF(H1674="","",IF(I1674="Sí",ROUND(H1674*Configuracion!$B$11,0),0))</f>
        <v/>
      </c>
      <c r="K1674" s="89">
        <f>IF(H1674="","",H1674+J1674)</f>
        <v/>
      </c>
      <c r="L1674" s="13">
        <f>IF(B1674="","",YEAR(B1674))</f>
        <v/>
      </c>
      <c r="M1674" s="13">
        <f>IF(B1674="","",MONTH(B1674))</f>
        <v/>
      </c>
      <c r="N1674" s="9" t="n"/>
      <c r="O1674" s="9" t="n"/>
      <c r="P1674" s="9" t="n"/>
      <c r="Q1674" s="9" t="n"/>
    </row>
    <row r="1675">
      <c r="A1675" s="9" t="n"/>
      <c r="B1675" s="70" t="n"/>
      <c r="C1675" s="9" t="n"/>
      <c r="D1675" s="9" t="n"/>
      <c r="E1675" s="9" t="n"/>
      <c r="F1675" s="9" t="n"/>
      <c r="G1675" s="9" t="n"/>
      <c r="H1675" s="71" t="n"/>
      <c r="I1675" s="9" t="n"/>
      <c r="J1675" s="89">
        <f>IF(H1675="","",IF(I1675="Sí",ROUND(H1675*Configuracion!$B$11,0),0))</f>
        <v/>
      </c>
      <c r="K1675" s="89">
        <f>IF(H1675="","",H1675+J1675)</f>
        <v/>
      </c>
      <c r="L1675" s="13">
        <f>IF(B1675="","",YEAR(B1675))</f>
        <v/>
      </c>
      <c r="M1675" s="13">
        <f>IF(B1675="","",MONTH(B1675))</f>
        <v/>
      </c>
      <c r="N1675" s="9" t="n"/>
      <c r="O1675" s="9" t="n"/>
      <c r="P1675" s="9" t="n"/>
      <c r="Q1675" s="9" t="n"/>
    </row>
    <row r="1676">
      <c r="A1676" s="9" t="n"/>
      <c r="B1676" s="70" t="n"/>
      <c r="C1676" s="9" t="n"/>
      <c r="D1676" s="9" t="n"/>
      <c r="E1676" s="9" t="n"/>
      <c r="F1676" s="9" t="n"/>
      <c r="G1676" s="9" t="n"/>
      <c r="H1676" s="71" t="n"/>
      <c r="I1676" s="9" t="n"/>
      <c r="J1676" s="89">
        <f>IF(H1676="","",IF(I1676="Sí",ROUND(H1676*Configuracion!$B$11,0),0))</f>
        <v/>
      </c>
      <c r="K1676" s="89">
        <f>IF(H1676="","",H1676+J1676)</f>
        <v/>
      </c>
      <c r="L1676" s="13">
        <f>IF(B1676="","",YEAR(B1676))</f>
        <v/>
      </c>
      <c r="M1676" s="13">
        <f>IF(B1676="","",MONTH(B1676))</f>
        <v/>
      </c>
      <c r="N1676" s="9" t="n"/>
      <c r="O1676" s="9" t="n"/>
      <c r="P1676" s="9" t="n"/>
      <c r="Q1676" s="9" t="n"/>
    </row>
    <row r="1677">
      <c r="A1677" s="9" t="n"/>
      <c r="B1677" s="70" t="n"/>
      <c r="C1677" s="9" t="n"/>
      <c r="D1677" s="9" t="n"/>
      <c r="E1677" s="9" t="n"/>
      <c r="F1677" s="9" t="n"/>
      <c r="G1677" s="9" t="n"/>
      <c r="H1677" s="71" t="n"/>
      <c r="I1677" s="9" t="n"/>
      <c r="J1677" s="89">
        <f>IF(H1677="","",IF(I1677="Sí",ROUND(H1677*Configuracion!$B$11,0),0))</f>
        <v/>
      </c>
      <c r="K1677" s="89">
        <f>IF(H1677="","",H1677+J1677)</f>
        <v/>
      </c>
      <c r="L1677" s="13">
        <f>IF(B1677="","",YEAR(B1677))</f>
        <v/>
      </c>
      <c r="M1677" s="13">
        <f>IF(B1677="","",MONTH(B1677))</f>
        <v/>
      </c>
      <c r="N1677" s="9" t="n"/>
      <c r="O1677" s="9" t="n"/>
      <c r="P1677" s="9" t="n"/>
      <c r="Q1677" s="9" t="n"/>
    </row>
    <row r="1678">
      <c r="A1678" s="9" t="n"/>
      <c r="B1678" s="70" t="n"/>
      <c r="C1678" s="9" t="n"/>
      <c r="D1678" s="9" t="n"/>
      <c r="E1678" s="9" t="n"/>
      <c r="F1678" s="9" t="n"/>
      <c r="G1678" s="9" t="n"/>
      <c r="H1678" s="71" t="n"/>
      <c r="I1678" s="9" t="n"/>
      <c r="J1678" s="89">
        <f>IF(H1678="","",IF(I1678="Sí",ROUND(H1678*Configuracion!$B$11,0),0))</f>
        <v/>
      </c>
      <c r="K1678" s="89">
        <f>IF(H1678="","",H1678+J1678)</f>
        <v/>
      </c>
      <c r="L1678" s="13">
        <f>IF(B1678="","",YEAR(B1678))</f>
        <v/>
      </c>
      <c r="M1678" s="13">
        <f>IF(B1678="","",MONTH(B1678))</f>
        <v/>
      </c>
      <c r="N1678" s="9" t="n"/>
      <c r="O1678" s="9" t="n"/>
      <c r="P1678" s="9" t="n"/>
      <c r="Q1678" s="9" t="n"/>
    </row>
    <row r="1679">
      <c r="A1679" s="9" t="n"/>
      <c r="B1679" s="70" t="n"/>
      <c r="C1679" s="9" t="n"/>
      <c r="D1679" s="9" t="n"/>
      <c r="E1679" s="9" t="n"/>
      <c r="F1679" s="9" t="n"/>
      <c r="G1679" s="9" t="n"/>
      <c r="H1679" s="71" t="n"/>
      <c r="I1679" s="9" t="n"/>
      <c r="J1679" s="89">
        <f>IF(H1679="","",IF(I1679="Sí",ROUND(H1679*Configuracion!$B$11,0),0))</f>
        <v/>
      </c>
      <c r="K1679" s="89">
        <f>IF(H1679="","",H1679+J1679)</f>
        <v/>
      </c>
      <c r="L1679" s="13">
        <f>IF(B1679="","",YEAR(B1679))</f>
        <v/>
      </c>
      <c r="M1679" s="13">
        <f>IF(B1679="","",MONTH(B1679))</f>
        <v/>
      </c>
      <c r="N1679" s="9" t="n"/>
      <c r="O1679" s="9" t="n"/>
      <c r="P1679" s="9" t="n"/>
      <c r="Q1679" s="9" t="n"/>
    </row>
    <row r="1680">
      <c r="A1680" s="9" t="n"/>
      <c r="B1680" s="70" t="n"/>
      <c r="C1680" s="9" t="n"/>
      <c r="D1680" s="9" t="n"/>
      <c r="E1680" s="9" t="n"/>
      <c r="F1680" s="9" t="n"/>
      <c r="G1680" s="9" t="n"/>
      <c r="H1680" s="71" t="n"/>
      <c r="I1680" s="9" t="n"/>
      <c r="J1680" s="89">
        <f>IF(H1680="","",IF(I1680="Sí",ROUND(H1680*Configuracion!$B$11,0),0))</f>
        <v/>
      </c>
      <c r="K1680" s="89">
        <f>IF(H1680="","",H1680+J1680)</f>
        <v/>
      </c>
      <c r="L1680" s="13">
        <f>IF(B1680="","",YEAR(B1680))</f>
        <v/>
      </c>
      <c r="M1680" s="13">
        <f>IF(B1680="","",MONTH(B1680))</f>
        <v/>
      </c>
      <c r="N1680" s="9" t="n"/>
      <c r="O1680" s="9" t="n"/>
      <c r="P1680" s="9" t="n"/>
      <c r="Q1680" s="9" t="n"/>
    </row>
    <row r="1681">
      <c r="A1681" s="9" t="n"/>
      <c r="B1681" s="70" t="n"/>
      <c r="C1681" s="9" t="n"/>
      <c r="D1681" s="9" t="n"/>
      <c r="E1681" s="9" t="n"/>
      <c r="F1681" s="9" t="n"/>
      <c r="G1681" s="9" t="n"/>
      <c r="H1681" s="71" t="n"/>
      <c r="I1681" s="9" t="n"/>
      <c r="J1681" s="89">
        <f>IF(H1681="","",IF(I1681="Sí",ROUND(H1681*Configuracion!$B$11,0),0))</f>
        <v/>
      </c>
      <c r="K1681" s="89">
        <f>IF(H1681="","",H1681+J1681)</f>
        <v/>
      </c>
      <c r="L1681" s="13">
        <f>IF(B1681="","",YEAR(B1681))</f>
        <v/>
      </c>
      <c r="M1681" s="13">
        <f>IF(B1681="","",MONTH(B1681))</f>
        <v/>
      </c>
      <c r="N1681" s="9" t="n"/>
      <c r="O1681" s="9" t="n"/>
      <c r="P1681" s="9" t="n"/>
      <c r="Q1681" s="9" t="n"/>
    </row>
    <row r="1682">
      <c r="A1682" s="9" t="n"/>
      <c r="B1682" s="70" t="n"/>
      <c r="C1682" s="9" t="n"/>
      <c r="D1682" s="9" t="n"/>
      <c r="E1682" s="9" t="n"/>
      <c r="F1682" s="9" t="n"/>
      <c r="G1682" s="9" t="n"/>
      <c r="H1682" s="71" t="n"/>
      <c r="I1682" s="9" t="n"/>
      <c r="J1682" s="89">
        <f>IF(H1682="","",IF(I1682="Sí",ROUND(H1682*Configuracion!$B$11,0),0))</f>
        <v/>
      </c>
      <c r="K1682" s="89">
        <f>IF(H1682="","",H1682+J1682)</f>
        <v/>
      </c>
      <c r="L1682" s="13">
        <f>IF(B1682="","",YEAR(B1682))</f>
        <v/>
      </c>
      <c r="M1682" s="13">
        <f>IF(B1682="","",MONTH(B1682))</f>
        <v/>
      </c>
      <c r="N1682" s="9" t="n"/>
      <c r="O1682" s="9" t="n"/>
      <c r="P1682" s="9" t="n"/>
      <c r="Q1682" s="9" t="n"/>
    </row>
    <row r="1683">
      <c r="A1683" s="9" t="n"/>
      <c r="B1683" s="70" t="n"/>
      <c r="C1683" s="9" t="n"/>
      <c r="D1683" s="9" t="n"/>
      <c r="E1683" s="9" t="n"/>
      <c r="F1683" s="9" t="n"/>
      <c r="G1683" s="9" t="n"/>
      <c r="H1683" s="71" t="n"/>
      <c r="I1683" s="9" t="n"/>
      <c r="J1683" s="89">
        <f>IF(H1683="","",IF(I1683="Sí",ROUND(H1683*Configuracion!$B$11,0),0))</f>
        <v/>
      </c>
      <c r="K1683" s="89">
        <f>IF(H1683="","",H1683+J1683)</f>
        <v/>
      </c>
      <c r="L1683" s="13">
        <f>IF(B1683="","",YEAR(B1683))</f>
        <v/>
      </c>
      <c r="M1683" s="13">
        <f>IF(B1683="","",MONTH(B1683))</f>
        <v/>
      </c>
      <c r="N1683" s="9" t="n"/>
      <c r="O1683" s="9" t="n"/>
      <c r="P1683" s="9" t="n"/>
      <c r="Q1683" s="9" t="n"/>
    </row>
    <row r="1684">
      <c r="A1684" s="9" t="n"/>
      <c r="B1684" s="70" t="n"/>
      <c r="C1684" s="9" t="n"/>
      <c r="D1684" s="9" t="n"/>
      <c r="E1684" s="9" t="n"/>
      <c r="F1684" s="9" t="n"/>
      <c r="G1684" s="9" t="n"/>
      <c r="H1684" s="71" t="n"/>
      <c r="I1684" s="9" t="n"/>
      <c r="J1684" s="89">
        <f>IF(H1684="","",IF(I1684="Sí",ROUND(H1684*Configuracion!$B$11,0),0))</f>
        <v/>
      </c>
      <c r="K1684" s="89">
        <f>IF(H1684="","",H1684+J1684)</f>
        <v/>
      </c>
      <c r="L1684" s="13">
        <f>IF(B1684="","",YEAR(B1684))</f>
        <v/>
      </c>
      <c r="M1684" s="13">
        <f>IF(B1684="","",MONTH(B1684))</f>
        <v/>
      </c>
      <c r="N1684" s="9" t="n"/>
      <c r="O1684" s="9" t="n"/>
      <c r="P1684" s="9" t="n"/>
      <c r="Q1684" s="9" t="n"/>
    </row>
    <row r="1685">
      <c r="A1685" s="9" t="n"/>
      <c r="B1685" s="70" t="n"/>
      <c r="C1685" s="9" t="n"/>
      <c r="D1685" s="9" t="n"/>
      <c r="E1685" s="9" t="n"/>
      <c r="F1685" s="9" t="n"/>
      <c r="G1685" s="9" t="n"/>
      <c r="H1685" s="71" t="n"/>
      <c r="I1685" s="9" t="n"/>
      <c r="J1685" s="89">
        <f>IF(H1685="","",IF(I1685="Sí",ROUND(H1685*Configuracion!$B$11,0),0))</f>
        <v/>
      </c>
      <c r="K1685" s="89">
        <f>IF(H1685="","",H1685+J1685)</f>
        <v/>
      </c>
      <c r="L1685" s="13">
        <f>IF(B1685="","",YEAR(B1685))</f>
        <v/>
      </c>
      <c r="M1685" s="13">
        <f>IF(B1685="","",MONTH(B1685))</f>
        <v/>
      </c>
      <c r="N1685" s="9" t="n"/>
      <c r="O1685" s="9" t="n"/>
      <c r="P1685" s="9" t="n"/>
      <c r="Q1685" s="9" t="n"/>
    </row>
    <row r="1686">
      <c r="A1686" s="9" t="n"/>
      <c r="B1686" s="70" t="n"/>
      <c r="C1686" s="9" t="n"/>
      <c r="D1686" s="9" t="n"/>
      <c r="E1686" s="9" t="n"/>
      <c r="F1686" s="9" t="n"/>
      <c r="G1686" s="9" t="n"/>
      <c r="H1686" s="71" t="n"/>
      <c r="I1686" s="9" t="n"/>
      <c r="J1686" s="89">
        <f>IF(H1686="","",IF(I1686="Sí",ROUND(H1686*Configuracion!$B$11,0),0))</f>
        <v/>
      </c>
      <c r="K1686" s="89">
        <f>IF(H1686="","",H1686+J1686)</f>
        <v/>
      </c>
      <c r="L1686" s="13">
        <f>IF(B1686="","",YEAR(B1686))</f>
        <v/>
      </c>
      <c r="M1686" s="13">
        <f>IF(B1686="","",MONTH(B1686))</f>
        <v/>
      </c>
      <c r="N1686" s="9" t="n"/>
      <c r="O1686" s="9" t="n"/>
      <c r="P1686" s="9" t="n"/>
      <c r="Q1686" s="9" t="n"/>
    </row>
    <row r="1687">
      <c r="A1687" s="9" t="n"/>
      <c r="B1687" s="70" t="n"/>
      <c r="C1687" s="9" t="n"/>
      <c r="D1687" s="9" t="n"/>
      <c r="E1687" s="9" t="n"/>
      <c r="F1687" s="9" t="n"/>
      <c r="G1687" s="9" t="n"/>
      <c r="H1687" s="71" t="n"/>
      <c r="I1687" s="9" t="n"/>
      <c r="J1687" s="89">
        <f>IF(H1687="","",IF(I1687="Sí",ROUND(H1687*Configuracion!$B$11,0),0))</f>
        <v/>
      </c>
      <c r="K1687" s="89">
        <f>IF(H1687="","",H1687+J1687)</f>
        <v/>
      </c>
      <c r="L1687" s="13">
        <f>IF(B1687="","",YEAR(B1687))</f>
        <v/>
      </c>
      <c r="M1687" s="13">
        <f>IF(B1687="","",MONTH(B1687))</f>
        <v/>
      </c>
      <c r="N1687" s="9" t="n"/>
      <c r="O1687" s="9" t="n"/>
      <c r="P1687" s="9" t="n"/>
      <c r="Q1687" s="9" t="n"/>
    </row>
    <row r="1688">
      <c r="A1688" s="9" t="n"/>
      <c r="B1688" s="70" t="n"/>
      <c r="C1688" s="9" t="n"/>
      <c r="D1688" s="9" t="n"/>
      <c r="E1688" s="9" t="n"/>
      <c r="F1688" s="9" t="n"/>
      <c r="G1688" s="9" t="n"/>
      <c r="H1688" s="71" t="n"/>
      <c r="I1688" s="9" t="n"/>
      <c r="J1688" s="89">
        <f>IF(H1688="","",IF(I1688="Sí",ROUND(H1688*Configuracion!$B$11,0),0))</f>
        <v/>
      </c>
      <c r="K1688" s="89">
        <f>IF(H1688="","",H1688+J1688)</f>
        <v/>
      </c>
      <c r="L1688" s="13">
        <f>IF(B1688="","",YEAR(B1688))</f>
        <v/>
      </c>
      <c r="M1688" s="13">
        <f>IF(B1688="","",MONTH(B1688))</f>
        <v/>
      </c>
      <c r="N1688" s="9" t="n"/>
      <c r="O1688" s="9" t="n"/>
      <c r="P1688" s="9" t="n"/>
      <c r="Q1688" s="9" t="n"/>
    </row>
    <row r="1689">
      <c r="A1689" s="9" t="n"/>
      <c r="B1689" s="70" t="n"/>
      <c r="C1689" s="9" t="n"/>
      <c r="D1689" s="9" t="n"/>
      <c r="E1689" s="9" t="n"/>
      <c r="F1689" s="9" t="n"/>
      <c r="G1689" s="9" t="n"/>
      <c r="H1689" s="71" t="n"/>
      <c r="I1689" s="9" t="n"/>
      <c r="J1689" s="89">
        <f>IF(H1689="","",IF(I1689="Sí",ROUND(H1689*Configuracion!$B$11,0),0))</f>
        <v/>
      </c>
      <c r="K1689" s="89">
        <f>IF(H1689="","",H1689+J1689)</f>
        <v/>
      </c>
      <c r="L1689" s="13">
        <f>IF(B1689="","",YEAR(B1689))</f>
        <v/>
      </c>
      <c r="M1689" s="13">
        <f>IF(B1689="","",MONTH(B1689))</f>
        <v/>
      </c>
      <c r="N1689" s="9" t="n"/>
      <c r="O1689" s="9" t="n"/>
      <c r="P1689" s="9" t="n"/>
      <c r="Q1689" s="9" t="n"/>
    </row>
    <row r="1690">
      <c r="A1690" s="9" t="n"/>
      <c r="B1690" s="70" t="n"/>
      <c r="C1690" s="9" t="n"/>
      <c r="D1690" s="9" t="n"/>
      <c r="E1690" s="9" t="n"/>
      <c r="F1690" s="9" t="n"/>
      <c r="G1690" s="9" t="n"/>
      <c r="H1690" s="71" t="n"/>
      <c r="I1690" s="9" t="n"/>
      <c r="J1690" s="89">
        <f>IF(H1690="","",IF(I1690="Sí",ROUND(H1690*Configuracion!$B$11,0),0))</f>
        <v/>
      </c>
      <c r="K1690" s="89">
        <f>IF(H1690="","",H1690+J1690)</f>
        <v/>
      </c>
      <c r="L1690" s="13">
        <f>IF(B1690="","",YEAR(B1690))</f>
        <v/>
      </c>
      <c r="M1690" s="13">
        <f>IF(B1690="","",MONTH(B1690))</f>
        <v/>
      </c>
      <c r="N1690" s="9" t="n"/>
      <c r="O1690" s="9" t="n"/>
      <c r="P1690" s="9" t="n"/>
      <c r="Q1690" s="9" t="n"/>
    </row>
    <row r="1691">
      <c r="A1691" s="9" t="n"/>
      <c r="B1691" s="70" t="n"/>
      <c r="C1691" s="9" t="n"/>
      <c r="D1691" s="9" t="n"/>
      <c r="E1691" s="9" t="n"/>
      <c r="F1691" s="9" t="n"/>
      <c r="G1691" s="9" t="n"/>
      <c r="H1691" s="71" t="n"/>
      <c r="I1691" s="9" t="n"/>
      <c r="J1691" s="89">
        <f>IF(H1691="","",IF(I1691="Sí",ROUND(H1691*Configuracion!$B$11,0),0))</f>
        <v/>
      </c>
      <c r="K1691" s="89">
        <f>IF(H1691="","",H1691+J1691)</f>
        <v/>
      </c>
      <c r="L1691" s="13">
        <f>IF(B1691="","",YEAR(B1691))</f>
        <v/>
      </c>
      <c r="M1691" s="13">
        <f>IF(B1691="","",MONTH(B1691))</f>
        <v/>
      </c>
      <c r="N1691" s="9" t="n"/>
      <c r="O1691" s="9" t="n"/>
      <c r="P1691" s="9" t="n"/>
      <c r="Q1691" s="9" t="n"/>
    </row>
    <row r="1692">
      <c r="A1692" s="9" t="n"/>
      <c r="B1692" s="70" t="n"/>
      <c r="C1692" s="9" t="n"/>
      <c r="D1692" s="9" t="n"/>
      <c r="E1692" s="9" t="n"/>
      <c r="F1692" s="9" t="n"/>
      <c r="G1692" s="9" t="n"/>
      <c r="H1692" s="71" t="n"/>
      <c r="I1692" s="9" t="n"/>
      <c r="J1692" s="89">
        <f>IF(H1692="","",IF(I1692="Sí",ROUND(H1692*Configuracion!$B$11,0),0))</f>
        <v/>
      </c>
      <c r="K1692" s="89">
        <f>IF(H1692="","",H1692+J1692)</f>
        <v/>
      </c>
      <c r="L1692" s="13">
        <f>IF(B1692="","",YEAR(B1692))</f>
        <v/>
      </c>
      <c r="M1692" s="13">
        <f>IF(B1692="","",MONTH(B1692))</f>
        <v/>
      </c>
      <c r="N1692" s="9" t="n"/>
      <c r="O1692" s="9" t="n"/>
      <c r="P1692" s="9" t="n"/>
      <c r="Q1692" s="9" t="n"/>
    </row>
    <row r="1693">
      <c r="A1693" s="9" t="n"/>
      <c r="B1693" s="70" t="n"/>
      <c r="C1693" s="9" t="n"/>
      <c r="D1693" s="9" t="n"/>
      <c r="E1693" s="9" t="n"/>
      <c r="F1693" s="9" t="n"/>
      <c r="G1693" s="9" t="n"/>
      <c r="H1693" s="71" t="n"/>
      <c r="I1693" s="9" t="n"/>
      <c r="J1693" s="89">
        <f>IF(H1693="","",IF(I1693="Sí",ROUND(H1693*Configuracion!$B$11,0),0))</f>
        <v/>
      </c>
      <c r="K1693" s="89">
        <f>IF(H1693="","",H1693+J1693)</f>
        <v/>
      </c>
      <c r="L1693" s="13">
        <f>IF(B1693="","",YEAR(B1693))</f>
        <v/>
      </c>
      <c r="M1693" s="13">
        <f>IF(B1693="","",MONTH(B1693))</f>
        <v/>
      </c>
      <c r="N1693" s="9" t="n"/>
      <c r="O1693" s="9" t="n"/>
      <c r="P1693" s="9" t="n"/>
      <c r="Q1693" s="9" t="n"/>
    </row>
    <row r="1694">
      <c r="A1694" s="9" t="n"/>
      <c r="B1694" s="70" t="n"/>
      <c r="C1694" s="9" t="n"/>
      <c r="D1694" s="9" t="n"/>
      <c r="E1694" s="9" t="n"/>
      <c r="F1694" s="9" t="n"/>
      <c r="G1694" s="9" t="n"/>
      <c r="H1694" s="71" t="n"/>
      <c r="I1694" s="9" t="n"/>
      <c r="J1694" s="89">
        <f>IF(H1694="","",IF(I1694="Sí",ROUND(H1694*Configuracion!$B$11,0),0))</f>
        <v/>
      </c>
      <c r="K1694" s="89">
        <f>IF(H1694="","",H1694+J1694)</f>
        <v/>
      </c>
      <c r="L1694" s="13">
        <f>IF(B1694="","",YEAR(B1694))</f>
        <v/>
      </c>
      <c r="M1694" s="13">
        <f>IF(B1694="","",MONTH(B1694))</f>
        <v/>
      </c>
      <c r="N1694" s="9" t="n"/>
      <c r="O1694" s="9" t="n"/>
      <c r="P1694" s="9" t="n"/>
      <c r="Q1694" s="9" t="n"/>
    </row>
    <row r="1695">
      <c r="A1695" s="9" t="n"/>
      <c r="B1695" s="70" t="n"/>
      <c r="C1695" s="9" t="n"/>
      <c r="D1695" s="9" t="n"/>
      <c r="E1695" s="9" t="n"/>
      <c r="F1695" s="9" t="n"/>
      <c r="G1695" s="9" t="n"/>
      <c r="H1695" s="71" t="n"/>
      <c r="I1695" s="9" t="n"/>
      <c r="J1695" s="89">
        <f>IF(H1695="","",IF(I1695="Sí",ROUND(H1695*Configuracion!$B$11,0),0))</f>
        <v/>
      </c>
      <c r="K1695" s="89">
        <f>IF(H1695="","",H1695+J1695)</f>
        <v/>
      </c>
      <c r="L1695" s="13">
        <f>IF(B1695="","",YEAR(B1695))</f>
        <v/>
      </c>
      <c r="M1695" s="13">
        <f>IF(B1695="","",MONTH(B1695))</f>
        <v/>
      </c>
      <c r="N1695" s="9" t="n"/>
      <c r="O1695" s="9" t="n"/>
      <c r="P1695" s="9" t="n"/>
      <c r="Q1695" s="9" t="n"/>
    </row>
    <row r="1696">
      <c r="A1696" s="9" t="n"/>
      <c r="B1696" s="70" t="n"/>
      <c r="C1696" s="9" t="n"/>
      <c r="D1696" s="9" t="n"/>
      <c r="E1696" s="9" t="n"/>
      <c r="F1696" s="9" t="n"/>
      <c r="G1696" s="9" t="n"/>
      <c r="H1696" s="71" t="n"/>
      <c r="I1696" s="9" t="n"/>
      <c r="J1696" s="89">
        <f>IF(H1696="","",IF(I1696="Sí",ROUND(H1696*Configuracion!$B$11,0),0))</f>
        <v/>
      </c>
      <c r="K1696" s="89">
        <f>IF(H1696="","",H1696+J1696)</f>
        <v/>
      </c>
      <c r="L1696" s="13">
        <f>IF(B1696="","",YEAR(B1696))</f>
        <v/>
      </c>
      <c r="M1696" s="13">
        <f>IF(B1696="","",MONTH(B1696))</f>
        <v/>
      </c>
      <c r="N1696" s="9" t="n"/>
      <c r="O1696" s="9" t="n"/>
      <c r="P1696" s="9" t="n"/>
      <c r="Q1696" s="9" t="n"/>
    </row>
    <row r="1697">
      <c r="A1697" s="9" t="n"/>
      <c r="B1697" s="70" t="n"/>
      <c r="C1697" s="9" t="n"/>
      <c r="D1697" s="9" t="n"/>
      <c r="E1697" s="9" t="n"/>
      <c r="F1697" s="9" t="n"/>
      <c r="G1697" s="9" t="n"/>
      <c r="H1697" s="71" t="n"/>
      <c r="I1697" s="9" t="n"/>
      <c r="J1697" s="89">
        <f>IF(H1697="","",IF(I1697="Sí",ROUND(H1697*Configuracion!$B$11,0),0))</f>
        <v/>
      </c>
      <c r="K1697" s="89">
        <f>IF(H1697="","",H1697+J1697)</f>
        <v/>
      </c>
      <c r="L1697" s="13">
        <f>IF(B1697="","",YEAR(B1697))</f>
        <v/>
      </c>
      <c r="M1697" s="13">
        <f>IF(B1697="","",MONTH(B1697))</f>
        <v/>
      </c>
      <c r="N1697" s="9" t="n"/>
      <c r="O1697" s="9" t="n"/>
      <c r="P1697" s="9" t="n"/>
      <c r="Q1697" s="9" t="n"/>
    </row>
    <row r="1698">
      <c r="A1698" s="9" t="n"/>
      <c r="B1698" s="70" t="n"/>
      <c r="C1698" s="9" t="n"/>
      <c r="D1698" s="9" t="n"/>
      <c r="E1698" s="9" t="n"/>
      <c r="F1698" s="9" t="n"/>
      <c r="G1698" s="9" t="n"/>
      <c r="H1698" s="71" t="n"/>
      <c r="I1698" s="9" t="n"/>
      <c r="J1698" s="89">
        <f>IF(H1698="","",IF(I1698="Sí",ROUND(H1698*Configuracion!$B$11,0),0))</f>
        <v/>
      </c>
      <c r="K1698" s="89">
        <f>IF(H1698="","",H1698+J1698)</f>
        <v/>
      </c>
      <c r="L1698" s="13">
        <f>IF(B1698="","",YEAR(B1698))</f>
        <v/>
      </c>
      <c r="M1698" s="13">
        <f>IF(B1698="","",MONTH(B1698))</f>
        <v/>
      </c>
      <c r="N1698" s="9" t="n"/>
      <c r="O1698" s="9" t="n"/>
      <c r="P1698" s="9" t="n"/>
      <c r="Q1698" s="9" t="n"/>
    </row>
    <row r="1699">
      <c r="A1699" s="9" t="n"/>
      <c r="B1699" s="70" t="n"/>
      <c r="C1699" s="9" t="n"/>
      <c r="D1699" s="9" t="n"/>
      <c r="E1699" s="9" t="n"/>
      <c r="F1699" s="9" t="n"/>
      <c r="G1699" s="9" t="n"/>
      <c r="H1699" s="71" t="n"/>
      <c r="I1699" s="9" t="n"/>
      <c r="J1699" s="89">
        <f>IF(H1699="","",IF(I1699="Sí",ROUND(H1699*Configuracion!$B$11,0),0))</f>
        <v/>
      </c>
      <c r="K1699" s="89">
        <f>IF(H1699="","",H1699+J1699)</f>
        <v/>
      </c>
      <c r="L1699" s="13">
        <f>IF(B1699="","",YEAR(B1699))</f>
        <v/>
      </c>
      <c r="M1699" s="13">
        <f>IF(B1699="","",MONTH(B1699))</f>
        <v/>
      </c>
      <c r="N1699" s="9" t="n"/>
      <c r="O1699" s="9" t="n"/>
      <c r="P1699" s="9" t="n"/>
      <c r="Q1699" s="9" t="n"/>
    </row>
    <row r="1700">
      <c r="A1700" s="9" t="n"/>
      <c r="B1700" s="70" t="n"/>
      <c r="C1700" s="9" t="n"/>
      <c r="D1700" s="9" t="n"/>
      <c r="E1700" s="9" t="n"/>
      <c r="F1700" s="9" t="n"/>
      <c r="G1700" s="9" t="n"/>
      <c r="H1700" s="71" t="n"/>
      <c r="I1700" s="9" t="n"/>
      <c r="J1700" s="89">
        <f>IF(H1700="","",IF(I1700="Sí",ROUND(H1700*Configuracion!$B$11,0),0))</f>
        <v/>
      </c>
      <c r="K1700" s="89">
        <f>IF(H1700="","",H1700+J1700)</f>
        <v/>
      </c>
      <c r="L1700" s="13">
        <f>IF(B1700="","",YEAR(B1700))</f>
        <v/>
      </c>
      <c r="M1700" s="13">
        <f>IF(B1700="","",MONTH(B1700))</f>
        <v/>
      </c>
      <c r="N1700" s="9" t="n"/>
      <c r="O1700" s="9" t="n"/>
      <c r="P1700" s="9" t="n"/>
      <c r="Q1700" s="9" t="n"/>
    </row>
    <row r="1701">
      <c r="A1701" s="9" t="n"/>
      <c r="B1701" s="70" t="n"/>
      <c r="C1701" s="9" t="n"/>
      <c r="D1701" s="9" t="n"/>
      <c r="E1701" s="9" t="n"/>
      <c r="F1701" s="9" t="n"/>
      <c r="G1701" s="9" t="n"/>
      <c r="H1701" s="71" t="n"/>
      <c r="I1701" s="9" t="n"/>
      <c r="J1701" s="89">
        <f>IF(H1701="","",IF(I1701="Sí",ROUND(H1701*Configuracion!$B$11,0),0))</f>
        <v/>
      </c>
      <c r="K1701" s="89">
        <f>IF(H1701="","",H1701+J1701)</f>
        <v/>
      </c>
      <c r="L1701" s="13">
        <f>IF(B1701="","",YEAR(B1701))</f>
        <v/>
      </c>
      <c r="M1701" s="13">
        <f>IF(B1701="","",MONTH(B1701))</f>
        <v/>
      </c>
      <c r="N1701" s="9" t="n"/>
      <c r="O1701" s="9" t="n"/>
      <c r="P1701" s="9" t="n"/>
      <c r="Q1701" s="9" t="n"/>
    </row>
    <row r="1702">
      <c r="A1702" s="9" t="n"/>
      <c r="B1702" s="70" t="n"/>
      <c r="C1702" s="9" t="n"/>
      <c r="D1702" s="9" t="n"/>
      <c r="E1702" s="9" t="n"/>
      <c r="F1702" s="9" t="n"/>
      <c r="G1702" s="9" t="n"/>
      <c r="H1702" s="71" t="n"/>
      <c r="I1702" s="9" t="n"/>
      <c r="J1702" s="89">
        <f>IF(H1702="","",IF(I1702="Sí",ROUND(H1702*Configuracion!$B$11,0),0))</f>
        <v/>
      </c>
      <c r="K1702" s="89">
        <f>IF(H1702="","",H1702+J1702)</f>
        <v/>
      </c>
      <c r="L1702" s="13">
        <f>IF(B1702="","",YEAR(B1702))</f>
        <v/>
      </c>
      <c r="M1702" s="13">
        <f>IF(B1702="","",MONTH(B1702))</f>
        <v/>
      </c>
      <c r="N1702" s="9" t="n"/>
      <c r="O1702" s="9" t="n"/>
      <c r="P1702" s="9" t="n"/>
      <c r="Q1702" s="9" t="n"/>
    </row>
    <row r="1703">
      <c r="A1703" s="9" t="n"/>
      <c r="B1703" s="70" t="n"/>
      <c r="C1703" s="9" t="n"/>
      <c r="D1703" s="9" t="n"/>
      <c r="E1703" s="9" t="n"/>
      <c r="F1703" s="9" t="n"/>
      <c r="G1703" s="9" t="n"/>
      <c r="H1703" s="71" t="n"/>
      <c r="I1703" s="9" t="n"/>
      <c r="J1703" s="89">
        <f>IF(H1703="","",IF(I1703="Sí",ROUND(H1703*Configuracion!$B$11,0),0))</f>
        <v/>
      </c>
      <c r="K1703" s="89">
        <f>IF(H1703="","",H1703+J1703)</f>
        <v/>
      </c>
      <c r="L1703" s="13">
        <f>IF(B1703="","",YEAR(B1703))</f>
        <v/>
      </c>
      <c r="M1703" s="13">
        <f>IF(B1703="","",MONTH(B1703))</f>
        <v/>
      </c>
      <c r="N1703" s="9" t="n"/>
      <c r="O1703" s="9" t="n"/>
      <c r="P1703" s="9" t="n"/>
      <c r="Q1703" s="9" t="n"/>
    </row>
    <row r="1704">
      <c r="A1704" s="9" t="n"/>
      <c r="B1704" s="70" t="n"/>
      <c r="C1704" s="9" t="n"/>
      <c r="D1704" s="9" t="n"/>
      <c r="E1704" s="9" t="n"/>
      <c r="F1704" s="9" t="n"/>
      <c r="G1704" s="9" t="n"/>
      <c r="H1704" s="71" t="n"/>
      <c r="I1704" s="9" t="n"/>
      <c r="J1704" s="89">
        <f>IF(H1704="","",IF(I1704="Sí",ROUND(H1704*Configuracion!$B$11,0),0))</f>
        <v/>
      </c>
      <c r="K1704" s="89">
        <f>IF(H1704="","",H1704+J1704)</f>
        <v/>
      </c>
      <c r="L1704" s="13">
        <f>IF(B1704="","",YEAR(B1704))</f>
        <v/>
      </c>
      <c r="M1704" s="13">
        <f>IF(B1704="","",MONTH(B1704))</f>
        <v/>
      </c>
      <c r="N1704" s="9" t="n"/>
      <c r="O1704" s="9" t="n"/>
      <c r="P1704" s="9" t="n"/>
      <c r="Q1704" s="9" t="n"/>
    </row>
    <row r="1705">
      <c r="A1705" s="9" t="n"/>
      <c r="B1705" s="70" t="n"/>
      <c r="C1705" s="9" t="n"/>
      <c r="D1705" s="9" t="n"/>
      <c r="E1705" s="9" t="n"/>
      <c r="F1705" s="9" t="n"/>
      <c r="G1705" s="9" t="n"/>
      <c r="H1705" s="71" t="n"/>
      <c r="I1705" s="9" t="n"/>
      <c r="J1705" s="89">
        <f>IF(H1705="","",IF(I1705="Sí",ROUND(H1705*Configuracion!$B$11,0),0))</f>
        <v/>
      </c>
      <c r="K1705" s="89">
        <f>IF(H1705="","",H1705+J1705)</f>
        <v/>
      </c>
      <c r="L1705" s="13">
        <f>IF(B1705="","",YEAR(B1705))</f>
        <v/>
      </c>
      <c r="M1705" s="13">
        <f>IF(B1705="","",MONTH(B1705))</f>
        <v/>
      </c>
      <c r="N1705" s="9" t="n"/>
      <c r="O1705" s="9" t="n"/>
      <c r="P1705" s="9" t="n"/>
      <c r="Q1705" s="9" t="n"/>
    </row>
    <row r="1706">
      <c r="A1706" s="9" t="n"/>
      <c r="B1706" s="70" t="n"/>
      <c r="C1706" s="9" t="n"/>
      <c r="D1706" s="9" t="n"/>
      <c r="E1706" s="9" t="n"/>
      <c r="F1706" s="9" t="n"/>
      <c r="G1706" s="9" t="n"/>
      <c r="H1706" s="71" t="n"/>
      <c r="I1706" s="9" t="n"/>
      <c r="J1706" s="89">
        <f>IF(H1706="","",IF(I1706="Sí",ROUND(H1706*Configuracion!$B$11,0),0))</f>
        <v/>
      </c>
      <c r="K1706" s="89">
        <f>IF(H1706="","",H1706+J1706)</f>
        <v/>
      </c>
      <c r="L1706" s="13">
        <f>IF(B1706="","",YEAR(B1706))</f>
        <v/>
      </c>
      <c r="M1706" s="13">
        <f>IF(B1706="","",MONTH(B1706))</f>
        <v/>
      </c>
      <c r="N1706" s="9" t="n"/>
      <c r="O1706" s="9" t="n"/>
      <c r="P1706" s="9" t="n"/>
      <c r="Q1706" s="9" t="n"/>
    </row>
    <row r="1707">
      <c r="A1707" s="9" t="n"/>
      <c r="B1707" s="70" t="n"/>
      <c r="C1707" s="9" t="n"/>
      <c r="D1707" s="9" t="n"/>
      <c r="E1707" s="9" t="n"/>
      <c r="F1707" s="9" t="n"/>
      <c r="G1707" s="9" t="n"/>
      <c r="H1707" s="71" t="n"/>
      <c r="I1707" s="9" t="n"/>
      <c r="J1707" s="89">
        <f>IF(H1707="","",IF(I1707="Sí",ROUND(H1707*Configuracion!$B$11,0),0))</f>
        <v/>
      </c>
      <c r="K1707" s="89">
        <f>IF(H1707="","",H1707+J1707)</f>
        <v/>
      </c>
      <c r="L1707" s="13">
        <f>IF(B1707="","",YEAR(B1707))</f>
        <v/>
      </c>
      <c r="M1707" s="13">
        <f>IF(B1707="","",MONTH(B1707))</f>
        <v/>
      </c>
      <c r="N1707" s="9" t="n"/>
      <c r="O1707" s="9" t="n"/>
      <c r="P1707" s="9" t="n"/>
      <c r="Q1707" s="9" t="n"/>
    </row>
    <row r="1708">
      <c r="A1708" s="9" t="n"/>
      <c r="B1708" s="70" t="n"/>
      <c r="C1708" s="9" t="n"/>
      <c r="D1708" s="9" t="n"/>
      <c r="E1708" s="9" t="n"/>
      <c r="F1708" s="9" t="n"/>
      <c r="G1708" s="9" t="n"/>
      <c r="H1708" s="71" t="n"/>
      <c r="I1708" s="9" t="n"/>
      <c r="J1708" s="89">
        <f>IF(H1708="","",IF(I1708="Sí",ROUND(H1708*Configuracion!$B$11,0),0))</f>
        <v/>
      </c>
      <c r="K1708" s="89">
        <f>IF(H1708="","",H1708+J1708)</f>
        <v/>
      </c>
      <c r="L1708" s="13">
        <f>IF(B1708="","",YEAR(B1708))</f>
        <v/>
      </c>
      <c r="M1708" s="13">
        <f>IF(B1708="","",MONTH(B1708))</f>
        <v/>
      </c>
      <c r="N1708" s="9" t="n"/>
      <c r="O1708" s="9" t="n"/>
      <c r="P1708" s="9" t="n"/>
      <c r="Q1708" s="9" t="n"/>
    </row>
    <row r="1709">
      <c r="A1709" s="9" t="n"/>
      <c r="B1709" s="70" t="n"/>
      <c r="C1709" s="9" t="n"/>
      <c r="D1709" s="9" t="n"/>
      <c r="E1709" s="9" t="n"/>
      <c r="F1709" s="9" t="n"/>
      <c r="G1709" s="9" t="n"/>
      <c r="H1709" s="71" t="n"/>
      <c r="I1709" s="9" t="n"/>
      <c r="J1709" s="89">
        <f>IF(H1709="","",IF(I1709="Sí",ROUND(H1709*Configuracion!$B$11,0),0))</f>
        <v/>
      </c>
      <c r="K1709" s="89">
        <f>IF(H1709="","",H1709+J1709)</f>
        <v/>
      </c>
      <c r="L1709" s="13">
        <f>IF(B1709="","",YEAR(B1709))</f>
        <v/>
      </c>
      <c r="M1709" s="13">
        <f>IF(B1709="","",MONTH(B1709))</f>
        <v/>
      </c>
      <c r="N1709" s="9" t="n"/>
      <c r="O1709" s="9" t="n"/>
      <c r="P1709" s="9" t="n"/>
      <c r="Q1709" s="9" t="n"/>
    </row>
    <row r="1710">
      <c r="A1710" s="9" t="n"/>
      <c r="B1710" s="70" t="n"/>
      <c r="C1710" s="9" t="n"/>
      <c r="D1710" s="9" t="n"/>
      <c r="E1710" s="9" t="n"/>
      <c r="F1710" s="9" t="n"/>
      <c r="G1710" s="9" t="n"/>
      <c r="H1710" s="71" t="n"/>
      <c r="I1710" s="9" t="n"/>
      <c r="J1710" s="89">
        <f>IF(H1710="","",IF(I1710="Sí",ROUND(H1710*Configuracion!$B$11,0),0))</f>
        <v/>
      </c>
      <c r="K1710" s="89">
        <f>IF(H1710="","",H1710+J1710)</f>
        <v/>
      </c>
      <c r="L1710" s="13">
        <f>IF(B1710="","",YEAR(B1710))</f>
        <v/>
      </c>
      <c r="M1710" s="13">
        <f>IF(B1710="","",MONTH(B1710))</f>
        <v/>
      </c>
      <c r="N1710" s="9" t="n"/>
      <c r="O1710" s="9" t="n"/>
      <c r="P1710" s="9" t="n"/>
      <c r="Q1710" s="9" t="n"/>
    </row>
    <row r="1711">
      <c r="A1711" s="9" t="n"/>
      <c r="B1711" s="70" t="n"/>
      <c r="C1711" s="9" t="n"/>
      <c r="D1711" s="9" t="n"/>
      <c r="E1711" s="9" t="n"/>
      <c r="F1711" s="9" t="n"/>
      <c r="G1711" s="9" t="n"/>
      <c r="H1711" s="71" t="n"/>
      <c r="I1711" s="9" t="n"/>
      <c r="J1711" s="89">
        <f>IF(H1711="","",IF(I1711="Sí",ROUND(H1711*Configuracion!$B$11,0),0))</f>
        <v/>
      </c>
      <c r="K1711" s="89">
        <f>IF(H1711="","",H1711+J1711)</f>
        <v/>
      </c>
      <c r="L1711" s="13">
        <f>IF(B1711="","",YEAR(B1711))</f>
        <v/>
      </c>
      <c r="M1711" s="13">
        <f>IF(B1711="","",MONTH(B1711))</f>
        <v/>
      </c>
      <c r="N1711" s="9" t="n"/>
      <c r="O1711" s="9" t="n"/>
      <c r="P1711" s="9" t="n"/>
      <c r="Q1711" s="9" t="n"/>
    </row>
    <row r="1712">
      <c r="A1712" s="9" t="n"/>
      <c r="B1712" s="70" t="n"/>
      <c r="C1712" s="9" t="n"/>
      <c r="D1712" s="9" t="n"/>
      <c r="E1712" s="9" t="n"/>
      <c r="F1712" s="9" t="n"/>
      <c r="G1712" s="9" t="n"/>
      <c r="H1712" s="71" t="n"/>
      <c r="I1712" s="9" t="n"/>
      <c r="J1712" s="89">
        <f>IF(H1712="","",IF(I1712="Sí",ROUND(H1712*Configuracion!$B$11,0),0))</f>
        <v/>
      </c>
      <c r="K1712" s="89">
        <f>IF(H1712="","",H1712+J1712)</f>
        <v/>
      </c>
      <c r="L1712" s="13">
        <f>IF(B1712="","",YEAR(B1712))</f>
        <v/>
      </c>
      <c r="M1712" s="13">
        <f>IF(B1712="","",MONTH(B1712))</f>
        <v/>
      </c>
      <c r="N1712" s="9" t="n"/>
      <c r="O1712" s="9" t="n"/>
      <c r="P1712" s="9" t="n"/>
      <c r="Q1712" s="9" t="n"/>
    </row>
    <row r="1713">
      <c r="A1713" s="9" t="n"/>
      <c r="B1713" s="70" t="n"/>
      <c r="C1713" s="9" t="n"/>
      <c r="D1713" s="9" t="n"/>
      <c r="E1713" s="9" t="n"/>
      <c r="F1713" s="9" t="n"/>
      <c r="G1713" s="9" t="n"/>
      <c r="H1713" s="71" t="n"/>
      <c r="I1713" s="9" t="n"/>
      <c r="J1713" s="89">
        <f>IF(H1713="","",IF(I1713="Sí",ROUND(H1713*Configuracion!$B$11,0),0))</f>
        <v/>
      </c>
      <c r="K1713" s="89">
        <f>IF(H1713="","",H1713+J1713)</f>
        <v/>
      </c>
      <c r="L1713" s="13">
        <f>IF(B1713="","",YEAR(B1713))</f>
        <v/>
      </c>
      <c r="M1713" s="13">
        <f>IF(B1713="","",MONTH(B1713))</f>
        <v/>
      </c>
      <c r="N1713" s="9" t="n"/>
      <c r="O1713" s="9" t="n"/>
      <c r="P1713" s="9" t="n"/>
      <c r="Q1713" s="9" t="n"/>
    </row>
    <row r="1714">
      <c r="A1714" s="9" t="n"/>
      <c r="B1714" s="70" t="n"/>
      <c r="C1714" s="9" t="n"/>
      <c r="D1714" s="9" t="n"/>
      <c r="E1714" s="9" t="n"/>
      <c r="F1714" s="9" t="n"/>
      <c r="G1714" s="9" t="n"/>
      <c r="H1714" s="71" t="n"/>
      <c r="I1714" s="9" t="n"/>
      <c r="J1714" s="89">
        <f>IF(H1714="","",IF(I1714="Sí",ROUND(H1714*Configuracion!$B$11,0),0))</f>
        <v/>
      </c>
      <c r="K1714" s="89">
        <f>IF(H1714="","",H1714+J1714)</f>
        <v/>
      </c>
      <c r="L1714" s="13">
        <f>IF(B1714="","",YEAR(B1714))</f>
        <v/>
      </c>
      <c r="M1714" s="13">
        <f>IF(B1714="","",MONTH(B1714))</f>
        <v/>
      </c>
      <c r="N1714" s="9" t="n"/>
      <c r="O1714" s="9" t="n"/>
      <c r="P1714" s="9" t="n"/>
      <c r="Q1714" s="9" t="n"/>
    </row>
    <row r="1715">
      <c r="A1715" s="9" t="n"/>
      <c r="B1715" s="70" t="n"/>
      <c r="C1715" s="9" t="n"/>
      <c r="D1715" s="9" t="n"/>
      <c r="E1715" s="9" t="n"/>
      <c r="F1715" s="9" t="n"/>
      <c r="G1715" s="9" t="n"/>
      <c r="H1715" s="71" t="n"/>
      <c r="I1715" s="9" t="n"/>
      <c r="J1715" s="89">
        <f>IF(H1715="","",IF(I1715="Sí",ROUND(H1715*Configuracion!$B$11,0),0))</f>
        <v/>
      </c>
      <c r="K1715" s="89">
        <f>IF(H1715="","",H1715+J1715)</f>
        <v/>
      </c>
      <c r="L1715" s="13">
        <f>IF(B1715="","",YEAR(B1715))</f>
        <v/>
      </c>
      <c r="M1715" s="13">
        <f>IF(B1715="","",MONTH(B1715))</f>
        <v/>
      </c>
      <c r="N1715" s="9" t="n"/>
      <c r="O1715" s="9" t="n"/>
      <c r="P1715" s="9" t="n"/>
      <c r="Q1715" s="9" t="n"/>
    </row>
    <row r="1716">
      <c r="A1716" s="9" t="n"/>
      <c r="B1716" s="70" t="n"/>
      <c r="C1716" s="9" t="n"/>
      <c r="D1716" s="9" t="n"/>
      <c r="E1716" s="9" t="n"/>
      <c r="F1716" s="9" t="n"/>
      <c r="G1716" s="9" t="n"/>
      <c r="H1716" s="71" t="n"/>
      <c r="I1716" s="9" t="n"/>
      <c r="J1716" s="89">
        <f>IF(H1716="","",IF(I1716="Sí",ROUND(H1716*Configuracion!$B$11,0),0))</f>
        <v/>
      </c>
      <c r="K1716" s="89">
        <f>IF(H1716="","",H1716+J1716)</f>
        <v/>
      </c>
      <c r="L1716" s="13">
        <f>IF(B1716="","",YEAR(B1716))</f>
        <v/>
      </c>
      <c r="M1716" s="13">
        <f>IF(B1716="","",MONTH(B1716))</f>
        <v/>
      </c>
      <c r="N1716" s="9" t="n"/>
      <c r="O1716" s="9" t="n"/>
      <c r="P1716" s="9" t="n"/>
      <c r="Q1716" s="9" t="n"/>
    </row>
    <row r="1717">
      <c r="A1717" s="9" t="n"/>
      <c r="B1717" s="70" t="n"/>
      <c r="C1717" s="9" t="n"/>
      <c r="D1717" s="9" t="n"/>
      <c r="E1717" s="9" t="n"/>
      <c r="F1717" s="9" t="n"/>
      <c r="G1717" s="9" t="n"/>
      <c r="H1717" s="71" t="n"/>
      <c r="I1717" s="9" t="n"/>
      <c r="J1717" s="89">
        <f>IF(H1717="","",IF(I1717="Sí",ROUND(H1717*Configuracion!$B$11,0),0))</f>
        <v/>
      </c>
      <c r="K1717" s="89">
        <f>IF(H1717="","",H1717+J1717)</f>
        <v/>
      </c>
      <c r="L1717" s="13">
        <f>IF(B1717="","",YEAR(B1717))</f>
        <v/>
      </c>
      <c r="M1717" s="13">
        <f>IF(B1717="","",MONTH(B1717))</f>
        <v/>
      </c>
      <c r="N1717" s="9" t="n"/>
      <c r="O1717" s="9" t="n"/>
      <c r="P1717" s="9" t="n"/>
      <c r="Q1717" s="9" t="n"/>
    </row>
    <row r="1718">
      <c r="A1718" s="9" t="n"/>
      <c r="B1718" s="70" t="n"/>
      <c r="C1718" s="9" t="n"/>
      <c r="D1718" s="9" t="n"/>
      <c r="E1718" s="9" t="n"/>
      <c r="F1718" s="9" t="n"/>
      <c r="G1718" s="9" t="n"/>
      <c r="H1718" s="71" t="n"/>
      <c r="I1718" s="9" t="n"/>
      <c r="J1718" s="89">
        <f>IF(H1718="","",IF(I1718="Sí",ROUND(H1718*Configuracion!$B$11,0),0))</f>
        <v/>
      </c>
      <c r="K1718" s="89">
        <f>IF(H1718="","",H1718+J1718)</f>
        <v/>
      </c>
      <c r="L1718" s="13">
        <f>IF(B1718="","",YEAR(B1718))</f>
        <v/>
      </c>
      <c r="M1718" s="13">
        <f>IF(B1718="","",MONTH(B1718))</f>
        <v/>
      </c>
      <c r="N1718" s="9" t="n"/>
      <c r="O1718" s="9" t="n"/>
      <c r="P1718" s="9" t="n"/>
      <c r="Q1718" s="9" t="n"/>
    </row>
    <row r="1719">
      <c r="A1719" s="9" t="n"/>
      <c r="B1719" s="70" t="n"/>
      <c r="C1719" s="9" t="n"/>
      <c r="D1719" s="9" t="n"/>
      <c r="E1719" s="9" t="n"/>
      <c r="F1719" s="9" t="n"/>
      <c r="G1719" s="9" t="n"/>
      <c r="H1719" s="71" t="n"/>
      <c r="I1719" s="9" t="n"/>
      <c r="J1719" s="89">
        <f>IF(H1719="","",IF(I1719="Sí",ROUND(H1719*Configuracion!$B$11,0),0))</f>
        <v/>
      </c>
      <c r="K1719" s="89">
        <f>IF(H1719="","",H1719+J1719)</f>
        <v/>
      </c>
      <c r="L1719" s="13">
        <f>IF(B1719="","",YEAR(B1719))</f>
        <v/>
      </c>
      <c r="M1719" s="13">
        <f>IF(B1719="","",MONTH(B1719))</f>
        <v/>
      </c>
      <c r="N1719" s="9" t="n"/>
      <c r="O1719" s="9" t="n"/>
      <c r="P1719" s="9" t="n"/>
      <c r="Q1719" s="9" t="n"/>
    </row>
    <row r="1720">
      <c r="A1720" s="9" t="n"/>
      <c r="B1720" s="70" t="n"/>
      <c r="C1720" s="9" t="n"/>
      <c r="D1720" s="9" t="n"/>
      <c r="E1720" s="9" t="n"/>
      <c r="F1720" s="9" t="n"/>
      <c r="G1720" s="9" t="n"/>
      <c r="H1720" s="71" t="n"/>
      <c r="I1720" s="9" t="n"/>
      <c r="J1720" s="89">
        <f>IF(H1720="","",IF(I1720="Sí",ROUND(H1720*Configuracion!$B$11,0),0))</f>
        <v/>
      </c>
      <c r="K1720" s="89">
        <f>IF(H1720="","",H1720+J1720)</f>
        <v/>
      </c>
      <c r="L1720" s="13">
        <f>IF(B1720="","",YEAR(B1720))</f>
        <v/>
      </c>
      <c r="M1720" s="13">
        <f>IF(B1720="","",MONTH(B1720))</f>
        <v/>
      </c>
      <c r="N1720" s="9" t="n"/>
      <c r="O1720" s="9" t="n"/>
      <c r="P1720" s="9" t="n"/>
      <c r="Q1720" s="9" t="n"/>
    </row>
    <row r="1721">
      <c r="A1721" s="9" t="n"/>
      <c r="B1721" s="70" t="n"/>
      <c r="C1721" s="9" t="n"/>
      <c r="D1721" s="9" t="n"/>
      <c r="E1721" s="9" t="n"/>
      <c r="F1721" s="9" t="n"/>
      <c r="G1721" s="9" t="n"/>
      <c r="H1721" s="71" t="n"/>
      <c r="I1721" s="9" t="n"/>
      <c r="J1721" s="89">
        <f>IF(H1721="","",IF(I1721="Sí",ROUND(H1721*Configuracion!$B$11,0),0))</f>
        <v/>
      </c>
      <c r="K1721" s="89">
        <f>IF(H1721="","",H1721+J1721)</f>
        <v/>
      </c>
      <c r="L1721" s="13">
        <f>IF(B1721="","",YEAR(B1721))</f>
        <v/>
      </c>
      <c r="M1721" s="13">
        <f>IF(B1721="","",MONTH(B1721))</f>
        <v/>
      </c>
      <c r="N1721" s="9" t="n"/>
      <c r="O1721" s="9" t="n"/>
      <c r="P1721" s="9" t="n"/>
      <c r="Q1721" s="9" t="n"/>
    </row>
    <row r="1722">
      <c r="A1722" s="9" t="n"/>
      <c r="B1722" s="70" t="n"/>
      <c r="C1722" s="9" t="n"/>
      <c r="D1722" s="9" t="n"/>
      <c r="E1722" s="9" t="n"/>
      <c r="F1722" s="9" t="n"/>
      <c r="G1722" s="9" t="n"/>
      <c r="H1722" s="71" t="n"/>
      <c r="I1722" s="9" t="n"/>
      <c r="J1722" s="89">
        <f>IF(H1722="","",IF(I1722="Sí",ROUND(H1722*Configuracion!$B$11,0),0))</f>
        <v/>
      </c>
      <c r="K1722" s="89">
        <f>IF(H1722="","",H1722+J1722)</f>
        <v/>
      </c>
      <c r="L1722" s="13">
        <f>IF(B1722="","",YEAR(B1722))</f>
        <v/>
      </c>
      <c r="M1722" s="13">
        <f>IF(B1722="","",MONTH(B1722))</f>
        <v/>
      </c>
      <c r="N1722" s="9" t="n"/>
      <c r="O1722" s="9" t="n"/>
      <c r="P1722" s="9" t="n"/>
      <c r="Q1722" s="9" t="n"/>
    </row>
    <row r="1723">
      <c r="A1723" s="9" t="n"/>
      <c r="B1723" s="70" t="n"/>
      <c r="C1723" s="9" t="n"/>
      <c r="D1723" s="9" t="n"/>
      <c r="E1723" s="9" t="n"/>
      <c r="F1723" s="9" t="n"/>
      <c r="G1723" s="9" t="n"/>
      <c r="H1723" s="71" t="n"/>
      <c r="I1723" s="9" t="n"/>
      <c r="J1723" s="89">
        <f>IF(H1723="","",IF(I1723="Sí",ROUND(H1723*Configuracion!$B$11,0),0))</f>
        <v/>
      </c>
      <c r="K1723" s="89">
        <f>IF(H1723="","",H1723+J1723)</f>
        <v/>
      </c>
      <c r="L1723" s="13">
        <f>IF(B1723="","",YEAR(B1723))</f>
        <v/>
      </c>
      <c r="M1723" s="13">
        <f>IF(B1723="","",MONTH(B1723))</f>
        <v/>
      </c>
      <c r="N1723" s="9" t="n"/>
      <c r="O1723" s="9" t="n"/>
      <c r="P1723" s="9" t="n"/>
      <c r="Q1723" s="9" t="n"/>
    </row>
    <row r="1724">
      <c r="A1724" s="9" t="n"/>
      <c r="B1724" s="70" t="n"/>
      <c r="C1724" s="9" t="n"/>
      <c r="D1724" s="9" t="n"/>
      <c r="E1724" s="9" t="n"/>
      <c r="F1724" s="9" t="n"/>
      <c r="G1724" s="9" t="n"/>
      <c r="H1724" s="71" t="n"/>
      <c r="I1724" s="9" t="n"/>
      <c r="J1724" s="89">
        <f>IF(H1724="","",IF(I1724="Sí",ROUND(H1724*Configuracion!$B$11,0),0))</f>
        <v/>
      </c>
      <c r="K1724" s="89">
        <f>IF(H1724="","",H1724+J1724)</f>
        <v/>
      </c>
      <c r="L1724" s="13">
        <f>IF(B1724="","",YEAR(B1724))</f>
        <v/>
      </c>
      <c r="M1724" s="13">
        <f>IF(B1724="","",MONTH(B1724))</f>
        <v/>
      </c>
      <c r="N1724" s="9" t="n"/>
      <c r="O1724" s="9" t="n"/>
      <c r="P1724" s="9" t="n"/>
      <c r="Q1724" s="9" t="n"/>
    </row>
    <row r="1725">
      <c r="A1725" s="9" t="n"/>
      <c r="B1725" s="70" t="n"/>
      <c r="C1725" s="9" t="n"/>
      <c r="D1725" s="9" t="n"/>
      <c r="E1725" s="9" t="n"/>
      <c r="F1725" s="9" t="n"/>
      <c r="G1725" s="9" t="n"/>
      <c r="H1725" s="71" t="n"/>
      <c r="I1725" s="9" t="n"/>
      <c r="J1725" s="89">
        <f>IF(H1725="","",IF(I1725="Sí",ROUND(H1725*Configuracion!$B$11,0),0))</f>
        <v/>
      </c>
      <c r="K1725" s="89">
        <f>IF(H1725="","",H1725+J1725)</f>
        <v/>
      </c>
      <c r="L1725" s="13">
        <f>IF(B1725="","",YEAR(B1725))</f>
        <v/>
      </c>
      <c r="M1725" s="13">
        <f>IF(B1725="","",MONTH(B1725))</f>
        <v/>
      </c>
      <c r="N1725" s="9" t="n"/>
      <c r="O1725" s="9" t="n"/>
      <c r="P1725" s="9" t="n"/>
      <c r="Q1725" s="9" t="n"/>
    </row>
    <row r="1726">
      <c r="A1726" s="9" t="n"/>
      <c r="B1726" s="70" t="n"/>
      <c r="C1726" s="9" t="n"/>
      <c r="D1726" s="9" t="n"/>
      <c r="E1726" s="9" t="n"/>
      <c r="F1726" s="9" t="n"/>
      <c r="G1726" s="9" t="n"/>
      <c r="H1726" s="71" t="n"/>
      <c r="I1726" s="9" t="n"/>
      <c r="J1726" s="89">
        <f>IF(H1726="","",IF(I1726="Sí",ROUND(H1726*Configuracion!$B$11,0),0))</f>
        <v/>
      </c>
      <c r="K1726" s="89">
        <f>IF(H1726="","",H1726+J1726)</f>
        <v/>
      </c>
      <c r="L1726" s="13">
        <f>IF(B1726="","",YEAR(B1726))</f>
        <v/>
      </c>
      <c r="M1726" s="13">
        <f>IF(B1726="","",MONTH(B1726))</f>
        <v/>
      </c>
      <c r="N1726" s="9" t="n"/>
      <c r="O1726" s="9" t="n"/>
      <c r="P1726" s="9" t="n"/>
      <c r="Q1726" s="9" t="n"/>
    </row>
    <row r="1727">
      <c r="A1727" s="9" t="n"/>
      <c r="B1727" s="70" t="n"/>
      <c r="C1727" s="9" t="n"/>
      <c r="D1727" s="9" t="n"/>
      <c r="E1727" s="9" t="n"/>
      <c r="F1727" s="9" t="n"/>
      <c r="G1727" s="9" t="n"/>
      <c r="H1727" s="71" t="n"/>
      <c r="I1727" s="9" t="n"/>
      <c r="J1727" s="89">
        <f>IF(H1727="","",IF(I1727="Sí",ROUND(H1727*Configuracion!$B$11,0),0))</f>
        <v/>
      </c>
      <c r="K1727" s="89">
        <f>IF(H1727="","",H1727+J1727)</f>
        <v/>
      </c>
      <c r="L1727" s="13">
        <f>IF(B1727="","",YEAR(B1727))</f>
        <v/>
      </c>
      <c r="M1727" s="13">
        <f>IF(B1727="","",MONTH(B1727))</f>
        <v/>
      </c>
      <c r="N1727" s="9" t="n"/>
      <c r="O1727" s="9" t="n"/>
      <c r="P1727" s="9" t="n"/>
      <c r="Q1727" s="9" t="n"/>
    </row>
    <row r="1728">
      <c r="A1728" s="9" t="n"/>
      <c r="B1728" s="70" t="n"/>
      <c r="C1728" s="9" t="n"/>
      <c r="D1728" s="9" t="n"/>
      <c r="E1728" s="9" t="n"/>
      <c r="F1728" s="9" t="n"/>
      <c r="G1728" s="9" t="n"/>
      <c r="H1728" s="71" t="n"/>
      <c r="I1728" s="9" t="n"/>
      <c r="J1728" s="89">
        <f>IF(H1728="","",IF(I1728="Sí",ROUND(H1728*Configuracion!$B$11,0),0))</f>
        <v/>
      </c>
      <c r="K1728" s="89">
        <f>IF(H1728="","",H1728+J1728)</f>
        <v/>
      </c>
      <c r="L1728" s="13">
        <f>IF(B1728="","",YEAR(B1728))</f>
        <v/>
      </c>
      <c r="M1728" s="13">
        <f>IF(B1728="","",MONTH(B1728))</f>
        <v/>
      </c>
      <c r="N1728" s="9" t="n"/>
      <c r="O1728" s="9" t="n"/>
      <c r="P1728" s="9" t="n"/>
      <c r="Q1728" s="9" t="n"/>
    </row>
    <row r="1729">
      <c r="A1729" s="9" t="n"/>
      <c r="B1729" s="70" t="n"/>
      <c r="C1729" s="9" t="n"/>
      <c r="D1729" s="9" t="n"/>
      <c r="E1729" s="9" t="n"/>
      <c r="F1729" s="9" t="n"/>
      <c r="G1729" s="9" t="n"/>
      <c r="H1729" s="71" t="n"/>
      <c r="I1729" s="9" t="n"/>
      <c r="J1729" s="89">
        <f>IF(H1729="","",IF(I1729="Sí",ROUND(H1729*Configuracion!$B$11,0),0))</f>
        <v/>
      </c>
      <c r="K1729" s="89">
        <f>IF(H1729="","",H1729+J1729)</f>
        <v/>
      </c>
      <c r="L1729" s="13">
        <f>IF(B1729="","",YEAR(B1729))</f>
        <v/>
      </c>
      <c r="M1729" s="13">
        <f>IF(B1729="","",MONTH(B1729))</f>
        <v/>
      </c>
      <c r="N1729" s="9" t="n"/>
      <c r="O1729" s="9" t="n"/>
      <c r="P1729" s="9" t="n"/>
      <c r="Q1729" s="9" t="n"/>
    </row>
    <row r="1730">
      <c r="A1730" s="9" t="n"/>
      <c r="B1730" s="70" t="n"/>
      <c r="C1730" s="9" t="n"/>
      <c r="D1730" s="9" t="n"/>
      <c r="E1730" s="9" t="n"/>
      <c r="F1730" s="9" t="n"/>
      <c r="G1730" s="9" t="n"/>
      <c r="H1730" s="71" t="n"/>
      <c r="I1730" s="9" t="n"/>
      <c r="J1730" s="89">
        <f>IF(H1730="","",IF(I1730="Sí",ROUND(H1730*Configuracion!$B$11,0),0))</f>
        <v/>
      </c>
      <c r="K1730" s="89">
        <f>IF(H1730="","",H1730+J1730)</f>
        <v/>
      </c>
      <c r="L1730" s="13">
        <f>IF(B1730="","",YEAR(B1730))</f>
        <v/>
      </c>
      <c r="M1730" s="13">
        <f>IF(B1730="","",MONTH(B1730))</f>
        <v/>
      </c>
      <c r="N1730" s="9" t="n"/>
      <c r="O1730" s="9" t="n"/>
      <c r="P1730" s="9" t="n"/>
      <c r="Q1730" s="9" t="n"/>
    </row>
    <row r="1731">
      <c r="A1731" s="9" t="n"/>
      <c r="B1731" s="70" t="n"/>
      <c r="C1731" s="9" t="n"/>
      <c r="D1731" s="9" t="n"/>
      <c r="E1731" s="9" t="n"/>
      <c r="F1731" s="9" t="n"/>
      <c r="G1731" s="9" t="n"/>
      <c r="H1731" s="71" t="n"/>
      <c r="I1731" s="9" t="n"/>
      <c r="J1731" s="89">
        <f>IF(H1731="","",IF(I1731="Sí",ROUND(H1731*Configuracion!$B$11,0),0))</f>
        <v/>
      </c>
      <c r="K1731" s="89">
        <f>IF(H1731="","",H1731+J1731)</f>
        <v/>
      </c>
      <c r="L1731" s="13">
        <f>IF(B1731="","",YEAR(B1731))</f>
        <v/>
      </c>
      <c r="M1731" s="13">
        <f>IF(B1731="","",MONTH(B1731))</f>
        <v/>
      </c>
      <c r="N1731" s="9" t="n"/>
      <c r="O1731" s="9" t="n"/>
      <c r="P1731" s="9" t="n"/>
      <c r="Q1731" s="9" t="n"/>
    </row>
    <row r="1732">
      <c r="A1732" s="9" t="n"/>
      <c r="B1732" s="70" t="n"/>
      <c r="C1732" s="9" t="n"/>
      <c r="D1732" s="9" t="n"/>
      <c r="E1732" s="9" t="n"/>
      <c r="F1732" s="9" t="n"/>
      <c r="G1732" s="9" t="n"/>
      <c r="H1732" s="71" t="n"/>
      <c r="I1732" s="9" t="n"/>
      <c r="J1732" s="89">
        <f>IF(H1732="","",IF(I1732="Sí",ROUND(H1732*Configuracion!$B$11,0),0))</f>
        <v/>
      </c>
      <c r="K1732" s="89">
        <f>IF(H1732="","",H1732+J1732)</f>
        <v/>
      </c>
      <c r="L1732" s="13">
        <f>IF(B1732="","",YEAR(B1732))</f>
        <v/>
      </c>
      <c r="M1732" s="13">
        <f>IF(B1732="","",MONTH(B1732))</f>
        <v/>
      </c>
      <c r="N1732" s="9" t="n"/>
      <c r="O1732" s="9" t="n"/>
      <c r="P1732" s="9" t="n"/>
      <c r="Q1732" s="9" t="n"/>
    </row>
    <row r="1733">
      <c r="A1733" s="9" t="n"/>
      <c r="B1733" s="70" t="n"/>
      <c r="C1733" s="9" t="n"/>
      <c r="D1733" s="9" t="n"/>
      <c r="E1733" s="9" t="n"/>
      <c r="F1733" s="9" t="n"/>
      <c r="G1733" s="9" t="n"/>
      <c r="H1733" s="71" t="n"/>
      <c r="I1733" s="9" t="n"/>
      <c r="J1733" s="89">
        <f>IF(H1733="","",IF(I1733="Sí",ROUND(H1733*Configuracion!$B$11,0),0))</f>
        <v/>
      </c>
      <c r="K1733" s="89">
        <f>IF(H1733="","",H1733+J1733)</f>
        <v/>
      </c>
      <c r="L1733" s="13">
        <f>IF(B1733="","",YEAR(B1733))</f>
        <v/>
      </c>
      <c r="M1733" s="13">
        <f>IF(B1733="","",MONTH(B1733))</f>
        <v/>
      </c>
      <c r="N1733" s="9" t="n"/>
      <c r="O1733" s="9" t="n"/>
      <c r="P1733" s="9" t="n"/>
      <c r="Q1733" s="9" t="n"/>
    </row>
    <row r="1734">
      <c r="A1734" s="9" t="n"/>
      <c r="B1734" s="70" t="n"/>
      <c r="C1734" s="9" t="n"/>
      <c r="D1734" s="9" t="n"/>
      <c r="E1734" s="9" t="n"/>
      <c r="F1734" s="9" t="n"/>
      <c r="G1734" s="9" t="n"/>
      <c r="H1734" s="71" t="n"/>
      <c r="I1734" s="9" t="n"/>
      <c r="J1734" s="89">
        <f>IF(H1734="","",IF(I1734="Sí",ROUND(H1734*Configuracion!$B$11,0),0))</f>
        <v/>
      </c>
      <c r="K1734" s="89">
        <f>IF(H1734="","",H1734+J1734)</f>
        <v/>
      </c>
      <c r="L1734" s="13">
        <f>IF(B1734="","",YEAR(B1734))</f>
        <v/>
      </c>
      <c r="M1734" s="13">
        <f>IF(B1734="","",MONTH(B1734))</f>
        <v/>
      </c>
      <c r="N1734" s="9" t="n"/>
      <c r="O1734" s="9" t="n"/>
      <c r="P1734" s="9" t="n"/>
      <c r="Q1734" s="9" t="n"/>
    </row>
    <row r="1735">
      <c r="A1735" s="9" t="n"/>
      <c r="B1735" s="70" t="n"/>
      <c r="C1735" s="9" t="n"/>
      <c r="D1735" s="9" t="n"/>
      <c r="E1735" s="9" t="n"/>
      <c r="F1735" s="9" t="n"/>
      <c r="G1735" s="9" t="n"/>
      <c r="H1735" s="71" t="n"/>
      <c r="I1735" s="9" t="n"/>
      <c r="J1735" s="89">
        <f>IF(H1735="","",IF(I1735="Sí",ROUND(H1735*Configuracion!$B$11,0),0))</f>
        <v/>
      </c>
      <c r="K1735" s="89">
        <f>IF(H1735="","",H1735+J1735)</f>
        <v/>
      </c>
      <c r="L1735" s="13">
        <f>IF(B1735="","",YEAR(B1735))</f>
        <v/>
      </c>
      <c r="M1735" s="13">
        <f>IF(B1735="","",MONTH(B1735))</f>
        <v/>
      </c>
      <c r="N1735" s="9" t="n"/>
      <c r="O1735" s="9" t="n"/>
      <c r="P1735" s="9" t="n"/>
      <c r="Q1735" s="9" t="n"/>
    </row>
    <row r="1736">
      <c r="A1736" s="9" t="n"/>
      <c r="B1736" s="70" t="n"/>
      <c r="C1736" s="9" t="n"/>
      <c r="D1736" s="9" t="n"/>
      <c r="E1736" s="9" t="n"/>
      <c r="F1736" s="9" t="n"/>
      <c r="G1736" s="9" t="n"/>
      <c r="H1736" s="71" t="n"/>
      <c r="I1736" s="9" t="n"/>
      <c r="J1736" s="89">
        <f>IF(H1736="","",IF(I1736="Sí",ROUND(H1736*Configuracion!$B$11,0),0))</f>
        <v/>
      </c>
      <c r="K1736" s="89">
        <f>IF(H1736="","",H1736+J1736)</f>
        <v/>
      </c>
      <c r="L1736" s="13">
        <f>IF(B1736="","",YEAR(B1736))</f>
        <v/>
      </c>
      <c r="M1736" s="13">
        <f>IF(B1736="","",MONTH(B1736))</f>
        <v/>
      </c>
      <c r="N1736" s="9" t="n"/>
      <c r="O1736" s="9" t="n"/>
      <c r="P1736" s="9" t="n"/>
      <c r="Q1736" s="9" t="n"/>
    </row>
    <row r="1737">
      <c r="A1737" s="9" t="n"/>
      <c r="B1737" s="70" t="n"/>
      <c r="C1737" s="9" t="n"/>
      <c r="D1737" s="9" t="n"/>
      <c r="E1737" s="9" t="n"/>
      <c r="F1737" s="9" t="n"/>
      <c r="G1737" s="9" t="n"/>
      <c r="H1737" s="71" t="n"/>
      <c r="I1737" s="9" t="n"/>
      <c r="J1737" s="89">
        <f>IF(H1737="","",IF(I1737="Sí",ROUND(H1737*Configuracion!$B$11,0),0))</f>
        <v/>
      </c>
      <c r="K1737" s="89">
        <f>IF(H1737="","",H1737+J1737)</f>
        <v/>
      </c>
      <c r="L1737" s="13">
        <f>IF(B1737="","",YEAR(B1737))</f>
        <v/>
      </c>
      <c r="M1737" s="13">
        <f>IF(B1737="","",MONTH(B1737))</f>
        <v/>
      </c>
      <c r="N1737" s="9" t="n"/>
      <c r="O1737" s="9" t="n"/>
      <c r="P1737" s="9" t="n"/>
      <c r="Q1737" s="9" t="n"/>
    </row>
    <row r="1738">
      <c r="A1738" s="9" t="n"/>
      <c r="B1738" s="70" t="n"/>
      <c r="C1738" s="9" t="n"/>
      <c r="D1738" s="9" t="n"/>
      <c r="E1738" s="9" t="n"/>
      <c r="F1738" s="9" t="n"/>
      <c r="G1738" s="9" t="n"/>
      <c r="H1738" s="71" t="n"/>
      <c r="I1738" s="9" t="n"/>
      <c r="J1738" s="89">
        <f>IF(H1738="","",IF(I1738="Sí",ROUND(H1738*Configuracion!$B$11,0),0))</f>
        <v/>
      </c>
      <c r="K1738" s="89">
        <f>IF(H1738="","",H1738+J1738)</f>
        <v/>
      </c>
      <c r="L1738" s="13">
        <f>IF(B1738="","",YEAR(B1738))</f>
        <v/>
      </c>
      <c r="M1738" s="13">
        <f>IF(B1738="","",MONTH(B1738))</f>
        <v/>
      </c>
      <c r="N1738" s="9" t="n"/>
      <c r="O1738" s="9" t="n"/>
      <c r="P1738" s="9" t="n"/>
      <c r="Q1738" s="9" t="n"/>
    </row>
    <row r="1739">
      <c r="A1739" s="9" t="n"/>
      <c r="B1739" s="70" t="n"/>
      <c r="C1739" s="9" t="n"/>
      <c r="D1739" s="9" t="n"/>
      <c r="E1739" s="9" t="n"/>
      <c r="F1739" s="9" t="n"/>
      <c r="G1739" s="9" t="n"/>
      <c r="H1739" s="71" t="n"/>
      <c r="I1739" s="9" t="n"/>
      <c r="J1739" s="89">
        <f>IF(H1739="","",IF(I1739="Sí",ROUND(H1739*Configuracion!$B$11,0),0))</f>
        <v/>
      </c>
      <c r="K1739" s="89">
        <f>IF(H1739="","",H1739+J1739)</f>
        <v/>
      </c>
      <c r="L1739" s="13">
        <f>IF(B1739="","",YEAR(B1739))</f>
        <v/>
      </c>
      <c r="M1739" s="13">
        <f>IF(B1739="","",MONTH(B1739))</f>
        <v/>
      </c>
      <c r="N1739" s="9" t="n"/>
      <c r="O1739" s="9" t="n"/>
      <c r="P1739" s="9" t="n"/>
      <c r="Q1739" s="9" t="n"/>
    </row>
    <row r="1740">
      <c r="A1740" s="9" t="n"/>
      <c r="B1740" s="70" t="n"/>
      <c r="C1740" s="9" t="n"/>
      <c r="D1740" s="9" t="n"/>
      <c r="E1740" s="9" t="n"/>
      <c r="F1740" s="9" t="n"/>
      <c r="G1740" s="9" t="n"/>
      <c r="H1740" s="71" t="n"/>
      <c r="I1740" s="9" t="n"/>
      <c r="J1740" s="89">
        <f>IF(H1740="","",IF(I1740="Sí",ROUND(H1740*Configuracion!$B$11,0),0))</f>
        <v/>
      </c>
      <c r="K1740" s="89">
        <f>IF(H1740="","",H1740+J1740)</f>
        <v/>
      </c>
      <c r="L1740" s="13">
        <f>IF(B1740="","",YEAR(B1740))</f>
        <v/>
      </c>
      <c r="M1740" s="13">
        <f>IF(B1740="","",MONTH(B1740))</f>
        <v/>
      </c>
      <c r="N1740" s="9" t="n"/>
      <c r="O1740" s="9" t="n"/>
      <c r="P1740" s="9" t="n"/>
      <c r="Q1740" s="9" t="n"/>
    </row>
    <row r="1741">
      <c r="A1741" s="9" t="n"/>
      <c r="B1741" s="70" t="n"/>
      <c r="C1741" s="9" t="n"/>
      <c r="D1741" s="9" t="n"/>
      <c r="E1741" s="9" t="n"/>
      <c r="F1741" s="9" t="n"/>
      <c r="G1741" s="9" t="n"/>
      <c r="H1741" s="71" t="n"/>
      <c r="I1741" s="9" t="n"/>
      <c r="J1741" s="89">
        <f>IF(H1741="","",IF(I1741="Sí",ROUND(H1741*Configuracion!$B$11,0),0))</f>
        <v/>
      </c>
      <c r="K1741" s="89">
        <f>IF(H1741="","",H1741+J1741)</f>
        <v/>
      </c>
      <c r="L1741" s="13">
        <f>IF(B1741="","",YEAR(B1741))</f>
        <v/>
      </c>
      <c r="M1741" s="13">
        <f>IF(B1741="","",MONTH(B1741))</f>
        <v/>
      </c>
      <c r="N1741" s="9" t="n"/>
      <c r="O1741" s="9" t="n"/>
      <c r="P1741" s="9" t="n"/>
      <c r="Q1741" s="9" t="n"/>
    </row>
    <row r="1742">
      <c r="A1742" s="9" t="n"/>
      <c r="B1742" s="70" t="n"/>
      <c r="C1742" s="9" t="n"/>
      <c r="D1742" s="9" t="n"/>
      <c r="E1742" s="9" t="n"/>
      <c r="F1742" s="9" t="n"/>
      <c r="G1742" s="9" t="n"/>
      <c r="H1742" s="71" t="n"/>
      <c r="I1742" s="9" t="n"/>
      <c r="J1742" s="89">
        <f>IF(H1742="","",IF(I1742="Sí",ROUND(H1742*Configuracion!$B$11,0),0))</f>
        <v/>
      </c>
      <c r="K1742" s="89">
        <f>IF(H1742="","",H1742+J1742)</f>
        <v/>
      </c>
      <c r="L1742" s="13">
        <f>IF(B1742="","",YEAR(B1742))</f>
        <v/>
      </c>
      <c r="M1742" s="13">
        <f>IF(B1742="","",MONTH(B1742))</f>
        <v/>
      </c>
      <c r="N1742" s="9" t="n"/>
      <c r="O1742" s="9" t="n"/>
      <c r="P1742" s="9" t="n"/>
      <c r="Q1742" s="9" t="n"/>
    </row>
    <row r="1743">
      <c r="A1743" s="9" t="n"/>
      <c r="B1743" s="70" t="n"/>
      <c r="C1743" s="9" t="n"/>
      <c r="D1743" s="9" t="n"/>
      <c r="E1743" s="9" t="n"/>
      <c r="F1743" s="9" t="n"/>
      <c r="G1743" s="9" t="n"/>
      <c r="H1743" s="71" t="n"/>
      <c r="I1743" s="9" t="n"/>
      <c r="J1743" s="89">
        <f>IF(H1743="","",IF(I1743="Sí",ROUND(H1743*Configuracion!$B$11,0),0))</f>
        <v/>
      </c>
      <c r="K1743" s="89">
        <f>IF(H1743="","",H1743+J1743)</f>
        <v/>
      </c>
      <c r="L1743" s="13">
        <f>IF(B1743="","",YEAR(B1743))</f>
        <v/>
      </c>
      <c r="M1743" s="13">
        <f>IF(B1743="","",MONTH(B1743))</f>
        <v/>
      </c>
      <c r="N1743" s="9" t="n"/>
      <c r="O1743" s="9" t="n"/>
      <c r="P1743" s="9" t="n"/>
      <c r="Q1743" s="9" t="n"/>
    </row>
    <row r="1744">
      <c r="A1744" s="9" t="n"/>
      <c r="B1744" s="70" t="n"/>
      <c r="C1744" s="9" t="n"/>
      <c r="D1744" s="9" t="n"/>
      <c r="E1744" s="9" t="n"/>
      <c r="F1744" s="9" t="n"/>
      <c r="G1744" s="9" t="n"/>
      <c r="H1744" s="71" t="n"/>
      <c r="I1744" s="9" t="n"/>
      <c r="J1744" s="89">
        <f>IF(H1744="","",IF(I1744="Sí",ROUND(H1744*Configuracion!$B$11,0),0))</f>
        <v/>
      </c>
      <c r="K1744" s="89">
        <f>IF(H1744="","",H1744+J1744)</f>
        <v/>
      </c>
      <c r="L1744" s="13">
        <f>IF(B1744="","",YEAR(B1744))</f>
        <v/>
      </c>
      <c r="M1744" s="13">
        <f>IF(B1744="","",MONTH(B1744))</f>
        <v/>
      </c>
      <c r="N1744" s="9" t="n"/>
      <c r="O1744" s="9" t="n"/>
      <c r="P1744" s="9" t="n"/>
      <c r="Q1744" s="9" t="n"/>
    </row>
    <row r="1745">
      <c r="A1745" s="9" t="n"/>
      <c r="B1745" s="70" t="n"/>
      <c r="C1745" s="9" t="n"/>
      <c r="D1745" s="9" t="n"/>
      <c r="E1745" s="9" t="n"/>
      <c r="F1745" s="9" t="n"/>
      <c r="G1745" s="9" t="n"/>
      <c r="H1745" s="71" t="n"/>
      <c r="I1745" s="9" t="n"/>
      <c r="J1745" s="89">
        <f>IF(H1745="","",IF(I1745="Sí",ROUND(H1745*Configuracion!$B$11,0),0))</f>
        <v/>
      </c>
      <c r="K1745" s="89">
        <f>IF(H1745="","",H1745+J1745)</f>
        <v/>
      </c>
      <c r="L1745" s="13">
        <f>IF(B1745="","",YEAR(B1745))</f>
        <v/>
      </c>
      <c r="M1745" s="13">
        <f>IF(B1745="","",MONTH(B1745))</f>
        <v/>
      </c>
      <c r="N1745" s="9" t="n"/>
      <c r="O1745" s="9" t="n"/>
      <c r="P1745" s="9" t="n"/>
      <c r="Q1745" s="9" t="n"/>
    </row>
    <row r="1746">
      <c r="A1746" s="9" t="n"/>
      <c r="B1746" s="70" t="n"/>
      <c r="C1746" s="9" t="n"/>
      <c r="D1746" s="9" t="n"/>
      <c r="E1746" s="9" t="n"/>
      <c r="F1746" s="9" t="n"/>
      <c r="G1746" s="9" t="n"/>
      <c r="H1746" s="71" t="n"/>
      <c r="I1746" s="9" t="n"/>
      <c r="J1746" s="89">
        <f>IF(H1746="","",IF(I1746="Sí",ROUND(H1746*Configuracion!$B$11,0),0))</f>
        <v/>
      </c>
      <c r="K1746" s="89">
        <f>IF(H1746="","",H1746+J1746)</f>
        <v/>
      </c>
      <c r="L1746" s="13">
        <f>IF(B1746="","",YEAR(B1746))</f>
        <v/>
      </c>
      <c r="M1746" s="13">
        <f>IF(B1746="","",MONTH(B1746))</f>
        <v/>
      </c>
      <c r="N1746" s="9" t="n"/>
      <c r="O1746" s="9" t="n"/>
      <c r="P1746" s="9" t="n"/>
      <c r="Q1746" s="9" t="n"/>
    </row>
    <row r="1747">
      <c r="A1747" s="9" t="n"/>
      <c r="B1747" s="70" t="n"/>
      <c r="C1747" s="9" t="n"/>
      <c r="D1747" s="9" t="n"/>
      <c r="E1747" s="9" t="n"/>
      <c r="F1747" s="9" t="n"/>
      <c r="G1747" s="9" t="n"/>
      <c r="H1747" s="71" t="n"/>
      <c r="I1747" s="9" t="n"/>
      <c r="J1747" s="89">
        <f>IF(H1747="","",IF(I1747="Sí",ROUND(H1747*Configuracion!$B$11,0),0))</f>
        <v/>
      </c>
      <c r="K1747" s="89">
        <f>IF(H1747="","",H1747+J1747)</f>
        <v/>
      </c>
      <c r="L1747" s="13">
        <f>IF(B1747="","",YEAR(B1747))</f>
        <v/>
      </c>
      <c r="M1747" s="13">
        <f>IF(B1747="","",MONTH(B1747))</f>
        <v/>
      </c>
      <c r="N1747" s="9" t="n"/>
      <c r="O1747" s="9" t="n"/>
      <c r="P1747" s="9" t="n"/>
      <c r="Q1747" s="9" t="n"/>
    </row>
    <row r="1748">
      <c r="A1748" s="9" t="n"/>
      <c r="B1748" s="70" t="n"/>
      <c r="C1748" s="9" t="n"/>
      <c r="D1748" s="9" t="n"/>
      <c r="E1748" s="9" t="n"/>
      <c r="F1748" s="9" t="n"/>
      <c r="G1748" s="9" t="n"/>
      <c r="H1748" s="71" t="n"/>
      <c r="I1748" s="9" t="n"/>
      <c r="J1748" s="89">
        <f>IF(H1748="","",IF(I1748="Sí",ROUND(H1748*Configuracion!$B$11,0),0))</f>
        <v/>
      </c>
      <c r="K1748" s="89">
        <f>IF(H1748="","",H1748+J1748)</f>
        <v/>
      </c>
      <c r="L1748" s="13">
        <f>IF(B1748="","",YEAR(B1748))</f>
        <v/>
      </c>
      <c r="M1748" s="13">
        <f>IF(B1748="","",MONTH(B1748))</f>
        <v/>
      </c>
      <c r="N1748" s="9" t="n"/>
      <c r="O1748" s="9" t="n"/>
      <c r="P1748" s="9" t="n"/>
      <c r="Q1748" s="9" t="n"/>
    </row>
    <row r="1749">
      <c r="A1749" s="9" t="n"/>
      <c r="B1749" s="70" t="n"/>
      <c r="C1749" s="9" t="n"/>
      <c r="D1749" s="9" t="n"/>
      <c r="E1749" s="9" t="n"/>
      <c r="F1749" s="9" t="n"/>
      <c r="G1749" s="9" t="n"/>
      <c r="H1749" s="71" t="n"/>
      <c r="I1749" s="9" t="n"/>
      <c r="J1749" s="89">
        <f>IF(H1749="","",IF(I1749="Sí",ROUND(H1749*Configuracion!$B$11,0),0))</f>
        <v/>
      </c>
      <c r="K1749" s="89">
        <f>IF(H1749="","",H1749+J1749)</f>
        <v/>
      </c>
      <c r="L1749" s="13">
        <f>IF(B1749="","",YEAR(B1749))</f>
        <v/>
      </c>
      <c r="M1749" s="13">
        <f>IF(B1749="","",MONTH(B1749))</f>
        <v/>
      </c>
      <c r="N1749" s="9" t="n"/>
      <c r="O1749" s="9" t="n"/>
      <c r="P1749" s="9" t="n"/>
      <c r="Q1749" s="9" t="n"/>
    </row>
    <row r="1750">
      <c r="A1750" s="9" t="n"/>
      <c r="B1750" s="70" t="n"/>
      <c r="C1750" s="9" t="n"/>
      <c r="D1750" s="9" t="n"/>
      <c r="E1750" s="9" t="n"/>
      <c r="F1750" s="9" t="n"/>
      <c r="G1750" s="9" t="n"/>
      <c r="H1750" s="71" t="n"/>
      <c r="I1750" s="9" t="n"/>
      <c r="J1750" s="89">
        <f>IF(H1750="","",IF(I1750="Sí",ROUND(H1750*Configuracion!$B$11,0),0))</f>
        <v/>
      </c>
      <c r="K1750" s="89">
        <f>IF(H1750="","",H1750+J1750)</f>
        <v/>
      </c>
      <c r="L1750" s="13">
        <f>IF(B1750="","",YEAR(B1750))</f>
        <v/>
      </c>
      <c r="M1750" s="13">
        <f>IF(B1750="","",MONTH(B1750))</f>
        <v/>
      </c>
      <c r="N1750" s="9" t="n"/>
      <c r="O1750" s="9" t="n"/>
      <c r="P1750" s="9" t="n"/>
      <c r="Q1750" s="9" t="n"/>
    </row>
    <row r="1751">
      <c r="A1751" s="9" t="n"/>
      <c r="B1751" s="70" t="n"/>
      <c r="C1751" s="9" t="n"/>
      <c r="D1751" s="9" t="n"/>
      <c r="E1751" s="9" t="n"/>
      <c r="F1751" s="9" t="n"/>
      <c r="G1751" s="9" t="n"/>
      <c r="H1751" s="71" t="n"/>
      <c r="I1751" s="9" t="n"/>
      <c r="J1751" s="89">
        <f>IF(H1751="","",IF(I1751="Sí",ROUND(H1751*Configuracion!$B$11,0),0))</f>
        <v/>
      </c>
      <c r="K1751" s="89">
        <f>IF(H1751="","",H1751+J1751)</f>
        <v/>
      </c>
      <c r="L1751" s="13">
        <f>IF(B1751="","",YEAR(B1751))</f>
        <v/>
      </c>
      <c r="M1751" s="13">
        <f>IF(B1751="","",MONTH(B1751))</f>
        <v/>
      </c>
      <c r="N1751" s="9" t="n"/>
      <c r="O1751" s="9" t="n"/>
      <c r="P1751" s="9" t="n"/>
      <c r="Q1751" s="9" t="n"/>
    </row>
    <row r="1752">
      <c r="A1752" s="9" t="n"/>
      <c r="B1752" s="70" t="n"/>
      <c r="C1752" s="9" t="n"/>
      <c r="D1752" s="9" t="n"/>
      <c r="E1752" s="9" t="n"/>
      <c r="F1752" s="9" t="n"/>
      <c r="G1752" s="9" t="n"/>
      <c r="H1752" s="71" t="n"/>
      <c r="I1752" s="9" t="n"/>
      <c r="J1752" s="89">
        <f>IF(H1752="","",IF(I1752="Sí",ROUND(H1752*Configuracion!$B$11,0),0))</f>
        <v/>
      </c>
      <c r="K1752" s="89">
        <f>IF(H1752="","",H1752+J1752)</f>
        <v/>
      </c>
      <c r="L1752" s="13">
        <f>IF(B1752="","",YEAR(B1752))</f>
        <v/>
      </c>
      <c r="M1752" s="13">
        <f>IF(B1752="","",MONTH(B1752))</f>
        <v/>
      </c>
      <c r="N1752" s="9" t="n"/>
      <c r="O1752" s="9" t="n"/>
      <c r="P1752" s="9" t="n"/>
      <c r="Q1752" s="9" t="n"/>
    </row>
    <row r="1753">
      <c r="A1753" s="9" t="n"/>
      <c r="B1753" s="70" t="n"/>
      <c r="C1753" s="9" t="n"/>
      <c r="D1753" s="9" t="n"/>
      <c r="E1753" s="9" t="n"/>
      <c r="F1753" s="9" t="n"/>
      <c r="G1753" s="9" t="n"/>
      <c r="H1753" s="71" t="n"/>
      <c r="I1753" s="9" t="n"/>
      <c r="J1753" s="89">
        <f>IF(H1753="","",IF(I1753="Sí",ROUND(H1753*Configuracion!$B$11,0),0))</f>
        <v/>
      </c>
      <c r="K1753" s="89">
        <f>IF(H1753="","",H1753+J1753)</f>
        <v/>
      </c>
      <c r="L1753" s="13">
        <f>IF(B1753="","",YEAR(B1753))</f>
        <v/>
      </c>
      <c r="M1753" s="13">
        <f>IF(B1753="","",MONTH(B1753))</f>
        <v/>
      </c>
      <c r="N1753" s="9" t="n"/>
      <c r="O1753" s="9" t="n"/>
      <c r="P1753" s="9" t="n"/>
      <c r="Q1753" s="9" t="n"/>
    </row>
    <row r="1754">
      <c r="A1754" s="9" t="n"/>
      <c r="B1754" s="70" t="n"/>
      <c r="C1754" s="9" t="n"/>
      <c r="D1754" s="9" t="n"/>
      <c r="E1754" s="9" t="n"/>
      <c r="F1754" s="9" t="n"/>
      <c r="G1754" s="9" t="n"/>
      <c r="H1754" s="71" t="n"/>
      <c r="I1754" s="9" t="n"/>
      <c r="J1754" s="89">
        <f>IF(H1754="","",IF(I1754="Sí",ROUND(H1754*Configuracion!$B$11,0),0))</f>
        <v/>
      </c>
      <c r="K1754" s="89">
        <f>IF(H1754="","",H1754+J1754)</f>
        <v/>
      </c>
      <c r="L1754" s="13">
        <f>IF(B1754="","",YEAR(B1754))</f>
        <v/>
      </c>
      <c r="M1754" s="13">
        <f>IF(B1754="","",MONTH(B1754))</f>
        <v/>
      </c>
      <c r="N1754" s="9" t="n"/>
      <c r="O1754" s="9" t="n"/>
      <c r="P1754" s="9" t="n"/>
      <c r="Q1754" s="9" t="n"/>
    </row>
    <row r="1755">
      <c r="A1755" s="9" t="n"/>
      <c r="B1755" s="70" t="n"/>
      <c r="C1755" s="9" t="n"/>
      <c r="D1755" s="9" t="n"/>
      <c r="E1755" s="9" t="n"/>
      <c r="F1755" s="9" t="n"/>
      <c r="G1755" s="9" t="n"/>
      <c r="H1755" s="71" t="n"/>
      <c r="I1755" s="9" t="n"/>
      <c r="J1755" s="89">
        <f>IF(H1755="","",IF(I1755="Sí",ROUND(H1755*Configuracion!$B$11,0),0))</f>
        <v/>
      </c>
      <c r="K1755" s="89">
        <f>IF(H1755="","",H1755+J1755)</f>
        <v/>
      </c>
      <c r="L1755" s="13">
        <f>IF(B1755="","",YEAR(B1755))</f>
        <v/>
      </c>
      <c r="M1755" s="13">
        <f>IF(B1755="","",MONTH(B1755))</f>
        <v/>
      </c>
      <c r="N1755" s="9" t="n"/>
      <c r="O1755" s="9" t="n"/>
      <c r="P1755" s="9" t="n"/>
      <c r="Q1755" s="9" t="n"/>
    </row>
    <row r="1756">
      <c r="A1756" s="9" t="n"/>
      <c r="B1756" s="70" t="n"/>
      <c r="C1756" s="9" t="n"/>
      <c r="D1756" s="9" t="n"/>
      <c r="E1756" s="9" t="n"/>
      <c r="F1756" s="9" t="n"/>
      <c r="G1756" s="9" t="n"/>
      <c r="H1756" s="71" t="n"/>
      <c r="I1756" s="9" t="n"/>
      <c r="J1756" s="89">
        <f>IF(H1756="","",IF(I1756="Sí",ROUND(H1756*Configuracion!$B$11,0),0))</f>
        <v/>
      </c>
      <c r="K1756" s="89">
        <f>IF(H1756="","",H1756+J1756)</f>
        <v/>
      </c>
      <c r="L1756" s="13">
        <f>IF(B1756="","",YEAR(B1756))</f>
        <v/>
      </c>
      <c r="M1756" s="13">
        <f>IF(B1756="","",MONTH(B1756))</f>
        <v/>
      </c>
      <c r="N1756" s="9" t="n"/>
      <c r="O1756" s="9" t="n"/>
      <c r="P1756" s="9" t="n"/>
      <c r="Q1756" s="9" t="n"/>
    </row>
    <row r="1757">
      <c r="A1757" s="9" t="n"/>
      <c r="B1757" s="70" t="n"/>
      <c r="C1757" s="9" t="n"/>
      <c r="D1757" s="9" t="n"/>
      <c r="E1757" s="9" t="n"/>
      <c r="F1757" s="9" t="n"/>
      <c r="G1757" s="9" t="n"/>
      <c r="H1757" s="71" t="n"/>
      <c r="I1757" s="9" t="n"/>
      <c r="J1757" s="89">
        <f>IF(H1757="","",IF(I1757="Sí",ROUND(H1757*Configuracion!$B$11,0),0))</f>
        <v/>
      </c>
      <c r="K1757" s="89">
        <f>IF(H1757="","",H1757+J1757)</f>
        <v/>
      </c>
      <c r="L1757" s="13">
        <f>IF(B1757="","",YEAR(B1757))</f>
        <v/>
      </c>
      <c r="M1757" s="13">
        <f>IF(B1757="","",MONTH(B1757))</f>
        <v/>
      </c>
      <c r="N1757" s="9" t="n"/>
      <c r="O1757" s="9" t="n"/>
      <c r="P1757" s="9" t="n"/>
      <c r="Q1757" s="9" t="n"/>
    </row>
    <row r="1758">
      <c r="A1758" s="9" t="n"/>
      <c r="B1758" s="70" t="n"/>
      <c r="C1758" s="9" t="n"/>
      <c r="D1758" s="9" t="n"/>
      <c r="E1758" s="9" t="n"/>
      <c r="F1758" s="9" t="n"/>
      <c r="G1758" s="9" t="n"/>
      <c r="H1758" s="71" t="n"/>
      <c r="I1758" s="9" t="n"/>
      <c r="J1758" s="89">
        <f>IF(H1758="","",IF(I1758="Sí",ROUND(H1758*Configuracion!$B$11,0),0))</f>
        <v/>
      </c>
      <c r="K1758" s="89">
        <f>IF(H1758="","",H1758+J1758)</f>
        <v/>
      </c>
      <c r="L1758" s="13">
        <f>IF(B1758="","",YEAR(B1758))</f>
        <v/>
      </c>
      <c r="M1758" s="13">
        <f>IF(B1758="","",MONTH(B1758))</f>
        <v/>
      </c>
      <c r="N1758" s="9" t="n"/>
      <c r="O1758" s="9" t="n"/>
      <c r="P1758" s="9" t="n"/>
      <c r="Q1758" s="9" t="n"/>
    </row>
    <row r="1759">
      <c r="A1759" s="9" t="n"/>
      <c r="B1759" s="70" t="n"/>
      <c r="C1759" s="9" t="n"/>
      <c r="D1759" s="9" t="n"/>
      <c r="E1759" s="9" t="n"/>
      <c r="F1759" s="9" t="n"/>
      <c r="G1759" s="9" t="n"/>
      <c r="H1759" s="71" t="n"/>
      <c r="I1759" s="9" t="n"/>
      <c r="J1759" s="89">
        <f>IF(H1759="","",IF(I1759="Sí",ROUND(H1759*Configuracion!$B$11,0),0))</f>
        <v/>
      </c>
      <c r="K1759" s="89">
        <f>IF(H1759="","",H1759+J1759)</f>
        <v/>
      </c>
      <c r="L1759" s="13">
        <f>IF(B1759="","",YEAR(B1759))</f>
        <v/>
      </c>
      <c r="M1759" s="13">
        <f>IF(B1759="","",MONTH(B1759))</f>
        <v/>
      </c>
      <c r="N1759" s="9" t="n"/>
      <c r="O1759" s="9" t="n"/>
      <c r="P1759" s="9" t="n"/>
      <c r="Q1759" s="9" t="n"/>
    </row>
    <row r="1760">
      <c r="A1760" s="9" t="n"/>
      <c r="B1760" s="70" t="n"/>
      <c r="C1760" s="9" t="n"/>
      <c r="D1760" s="9" t="n"/>
      <c r="E1760" s="9" t="n"/>
      <c r="F1760" s="9" t="n"/>
      <c r="G1760" s="9" t="n"/>
      <c r="H1760" s="71" t="n"/>
      <c r="I1760" s="9" t="n"/>
      <c r="J1760" s="89">
        <f>IF(H1760="","",IF(I1760="Sí",ROUND(H1760*Configuracion!$B$11,0),0))</f>
        <v/>
      </c>
      <c r="K1760" s="89">
        <f>IF(H1760="","",H1760+J1760)</f>
        <v/>
      </c>
      <c r="L1760" s="13">
        <f>IF(B1760="","",YEAR(B1760))</f>
        <v/>
      </c>
      <c r="M1760" s="13">
        <f>IF(B1760="","",MONTH(B1760))</f>
        <v/>
      </c>
      <c r="N1760" s="9" t="n"/>
      <c r="O1760" s="9" t="n"/>
      <c r="P1760" s="9" t="n"/>
      <c r="Q1760" s="9" t="n"/>
    </row>
    <row r="1761">
      <c r="A1761" s="9" t="n"/>
      <c r="B1761" s="70" t="n"/>
      <c r="C1761" s="9" t="n"/>
      <c r="D1761" s="9" t="n"/>
      <c r="E1761" s="9" t="n"/>
      <c r="F1761" s="9" t="n"/>
      <c r="G1761" s="9" t="n"/>
      <c r="H1761" s="71" t="n"/>
      <c r="I1761" s="9" t="n"/>
      <c r="J1761" s="89">
        <f>IF(H1761="","",IF(I1761="Sí",ROUND(H1761*Configuracion!$B$11,0),0))</f>
        <v/>
      </c>
      <c r="K1761" s="89">
        <f>IF(H1761="","",H1761+J1761)</f>
        <v/>
      </c>
      <c r="L1761" s="13">
        <f>IF(B1761="","",YEAR(B1761))</f>
        <v/>
      </c>
      <c r="M1761" s="13">
        <f>IF(B1761="","",MONTH(B1761))</f>
        <v/>
      </c>
      <c r="N1761" s="9" t="n"/>
      <c r="O1761" s="9" t="n"/>
      <c r="P1761" s="9" t="n"/>
      <c r="Q1761" s="9" t="n"/>
    </row>
    <row r="1762">
      <c r="A1762" s="9" t="n"/>
      <c r="B1762" s="70" t="n"/>
      <c r="C1762" s="9" t="n"/>
      <c r="D1762" s="9" t="n"/>
      <c r="E1762" s="9" t="n"/>
      <c r="F1762" s="9" t="n"/>
      <c r="G1762" s="9" t="n"/>
      <c r="H1762" s="71" t="n"/>
      <c r="I1762" s="9" t="n"/>
      <c r="J1762" s="89">
        <f>IF(H1762="","",IF(I1762="Sí",ROUND(H1762*Configuracion!$B$11,0),0))</f>
        <v/>
      </c>
      <c r="K1762" s="89">
        <f>IF(H1762="","",H1762+J1762)</f>
        <v/>
      </c>
      <c r="L1762" s="13">
        <f>IF(B1762="","",YEAR(B1762))</f>
        <v/>
      </c>
      <c r="M1762" s="13">
        <f>IF(B1762="","",MONTH(B1762))</f>
        <v/>
      </c>
      <c r="N1762" s="9" t="n"/>
      <c r="O1762" s="9" t="n"/>
      <c r="P1762" s="9" t="n"/>
      <c r="Q1762" s="9" t="n"/>
    </row>
    <row r="1763">
      <c r="A1763" s="9" t="n"/>
      <c r="B1763" s="70" t="n"/>
      <c r="C1763" s="9" t="n"/>
      <c r="D1763" s="9" t="n"/>
      <c r="E1763" s="9" t="n"/>
      <c r="F1763" s="9" t="n"/>
      <c r="G1763" s="9" t="n"/>
      <c r="H1763" s="71" t="n"/>
      <c r="I1763" s="9" t="n"/>
      <c r="J1763" s="89">
        <f>IF(H1763="","",IF(I1763="Sí",ROUND(H1763*Configuracion!$B$11,0),0))</f>
        <v/>
      </c>
      <c r="K1763" s="89">
        <f>IF(H1763="","",H1763+J1763)</f>
        <v/>
      </c>
      <c r="L1763" s="13">
        <f>IF(B1763="","",YEAR(B1763))</f>
        <v/>
      </c>
      <c r="M1763" s="13">
        <f>IF(B1763="","",MONTH(B1763))</f>
        <v/>
      </c>
      <c r="N1763" s="9" t="n"/>
      <c r="O1763" s="9" t="n"/>
      <c r="P1763" s="9" t="n"/>
      <c r="Q1763" s="9" t="n"/>
    </row>
    <row r="1764">
      <c r="A1764" s="9" t="n"/>
      <c r="B1764" s="70" t="n"/>
      <c r="C1764" s="9" t="n"/>
      <c r="D1764" s="9" t="n"/>
      <c r="E1764" s="9" t="n"/>
      <c r="F1764" s="9" t="n"/>
      <c r="G1764" s="9" t="n"/>
      <c r="H1764" s="71" t="n"/>
      <c r="I1764" s="9" t="n"/>
      <c r="J1764" s="89">
        <f>IF(H1764="","",IF(I1764="Sí",ROUND(H1764*Configuracion!$B$11,0),0))</f>
        <v/>
      </c>
      <c r="K1764" s="89">
        <f>IF(H1764="","",H1764+J1764)</f>
        <v/>
      </c>
      <c r="L1764" s="13">
        <f>IF(B1764="","",YEAR(B1764))</f>
        <v/>
      </c>
      <c r="M1764" s="13">
        <f>IF(B1764="","",MONTH(B1764))</f>
        <v/>
      </c>
      <c r="N1764" s="9" t="n"/>
      <c r="O1764" s="9" t="n"/>
      <c r="P1764" s="9" t="n"/>
      <c r="Q1764" s="9" t="n"/>
    </row>
    <row r="1765">
      <c r="A1765" s="9" t="n"/>
      <c r="B1765" s="70" t="n"/>
      <c r="C1765" s="9" t="n"/>
      <c r="D1765" s="9" t="n"/>
      <c r="E1765" s="9" t="n"/>
      <c r="F1765" s="9" t="n"/>
      <c r="G1765" s="9" t="n"/>
      <c r="H1765" s="71" t="n"/>
      <c r="I1765" s="9" t="n"/>
      <c r="J1765" s="89">
        <f>IF(H1765="","",IF(I1765="Sí",ROUND(H1765*Configuracion!$B$11,0),0))</f>
        <v/>
      </c>
      <c r="K1765" s="89">
        <f>IF(H1765="","",H1765+J1765)</f>
        <v/>
      </c>
      <c r="L1765" s="13">
        <f>IF(B1765="","",YEAR(B1765))</f>
        <v/>
      </c>
      <c r="M1765" s="13">
        <f>IF(B1765="","",MONTH(B1765))</f>
        <v/>
      </c>
      <c r="N1765" s="9" t="n"/>
      <c r="O1765" s="9" t="n"/>
      <c r="P1765" s="9" t="n"/>
      <c r="Q1765" s="9" t="n"/>
    </row>
    <row r="1766">
      <c r="A1766" s="9" t="n"/>
      <c r="B1766" s="70" t="n"/>
      <c r="C1766" s="9" t="n"/>
      <c r="D1766" s="9" t="n"/>
      <c r="E1766" s="9" t="n"/>
      <c r="F1766" s="9" t="n"/>
      <c r="G1766" s="9" t="n"/>
      <c r="H1766" s="71" t="n"/>
      <c r="I1766" s="9" t="n"/>
      <c r="J1766" s="89">
        <f>IF(H1766="","",IF(I1766="Sí",ROUND(H1766*Configuracion!$B$11,0),0))</f>
        <v/>
      </c>
      <c r="K1766" s="89">
        <f>IF(H1766="","",H1766+J1766)</f>
        <v/>
      </c>
      <c r="L1766" s="13">
        <f>IF(B1766="","",YEAR(B1766))</f>
        <v/>
      </c>
      <c r="M1766" s="13">
        <f>IF(B1766="","",MONTH(B1766))</f>
        <v/>
      </c>
      <c r="N1766" s="9" t="n"/>
      <c r="O1766" s="9" t="n"/>
      <c r="P1766" s="9" t="n"/>
      <c r="Q1766" s="9" t="n"/>
    </row>
    <row r="1767">
      <c r="A1767" s="9" t="n"/>
      <c r="B1767" s="70" t="n"/>
      <c r="C1767" s="9" t="n"/>
      <c r="D1767" s="9" t="n"/>
      <c r="E1767" s="9" t="n"/>
      <c r="F1767" s="9" t="n"/>
      <c r="G1767" s="9" t="n"/>
      <c r="H1767" s="71" t="n"/>
      <c r="I1767" s="9" t="n"/>
      <c r="J1767" s="89">
        <f>IF(H1767="","",IF(I1767="Sí",ROUND(H1767*Configuracion!$B$11,0),0))</f>
        <v/>
      </c>
      <c r="K1767" s="89">
        <f>IF(H1767="","",H1767+J1767)</f>
        <v/>
      </c>
      <c r="L1767" s="13">
        <f>IF(B1767="","",YEAR(B1767))</f>
        <v/>
      </c>
      <c r="M1767" s="13">
        <f>IF(B1767="","",MONTH(B1767))</f>
        <v/>
      </c>
      <c r="N1767" s="9" t="n"/>
      <c r="O1767" s="9" t="n"/>
      <c r="P1767" s="9" t="n"/>
      <c r="Q1767" s="9" t="n"/>
    </row>
    <row r="1768">
      <c r="A1768" s="9" t="n"/>
      <c r="B1768" s="70" t="n"/>
      <c r="C1768" s="9" t="n"/>
      <c r="D1768" s="9" t="n"/>
      <c r="E1768" s="9" t="n"/>
      <c r="F1768" s="9" t="n"/>
      <c r="G1768" s="9" t="n"/>
      <c r="H1768" s="71" t="n"/>
      <c r="I1768" s="9" t="n"/>
      <c r="J1768" s="89">
        <f>IF(H1768="","",IF(I1768="Sí",ROUND(H1768*Configuracion!$B$11,0),0))</f>
        <v/>
      </c>
      <c r="K1768" s="89">
        <f>IF(H1768="","",H1768+J1768)</f>
        <v/>
      </c>
      <c r="L1768" s="13">
        <f>IF(B1768="","",YEAR(B1768))</f>
        <v/>
      </c>
      <c r="M1768" s="13">
        <f>IF(B1768="","",MONTH(B1768))</f>
        <v/>
      </c>
      <c r="N1768" s="9" t="n"/>
      <c r="O1768" s="9" t="n"/>
      <c r="P1768" s="9" t="n"/>
      <c r="Q1768" s="9" t="n"/>
    </row>
    <row r="1769">
      <c r="A1769" s="9" t="n"/>
      <c r="B1769" s="70" t="n"/>
      <c r="C1769" s="9" t="n"/>
      <c r="D1769" s="9" t="n"/>
      <c r="E1769" s="9" t="n"/>
      <c r="F1769" s="9" t="n"/>
      <c r="G1769" s="9" t="n"/>
      <c r="H1769" s="71" t="n"/>
      <c r="I1769" s="9" t="n"/>
      <c r="J1769" s="89">
        <f>IF(H1769="","",IF(I1769="Sí",ROUND(H1769*Configuracion!$B$11,0),0))</f>
        <v/>
      </c>
      <c r="K1769" s="89">
        <f>IF(H1769="","",H1769+J1769)</f>
        <v/>
      </c>
      <c r="L1769" s="13">
        <f>IF(B1769="","",YEAR(B1769))</f>
        <v/>
      </c>
      <c r="M1769" s="13">
        <f>IF(B1769="","",MONTH(B1769))</f>
        <v/>
      </c>
      <c r="N1769" s="9" t="n"/>
      <c r="O1769" s="9" t="n"/>
      <c r="P1769" s="9" t="n"/>
      <c r="Q1769" s="9" t="n"/>
    </row>
    <row r="1770">
      <c r="A1770" s="9" t="n"/>
      <c r="B1770" s="70" t="n"/>
      <c r="C1770" s="9" t="n"/>
      <c r="D1770" s="9" t="n"/>
      <c r="E1770" s="9" t="n"/>
      <c r="F1770" s="9" t="n"/>
      <c r="G1770" s="9" t="n"/>
      <c r="H1770" s="71" t="n"/>
      <c r="I1770" s="9" t="n"/>
      <c r="J1770" s="89">
        <f>IF(H1770="","",IF(I1770="Sí",ROUND(H1770*Configuracion!$B$11,0),0))</f>
        <v/>
      </c>
      <c r="K1770" s="89">
        <f>IF(H1770="","",H1770+J1770)</f>
        <v/>
      </c>
      <c r="L1770" s="13">
        <f>IF(B1770="","",YEAR(B1770))</f>
        <v/>
      </c>
      <c r="M1770" s="13">
        <f>IF(B1770="","",MONTH(B1770))</f>
        <v/>
      </c>
      <c r="N1770" s="9" t="n"/>
      <c r="O1770" s="9" t="n"/>
      <c r="P1770" s="9" t="n"/>
      <c r="Q1770" s="9" t="n"/>
    </row>
    <row r="1771">
      <c r="A1771" s="9" t="n"/>
      <c r="B1771" s="70" t="n"/>
      <c r="C1771" s="9" t="n"/>
      <c r="D1771" s="9" t="n"/>
      <c r="E1771" s="9" t="n"/>
      <c r="F1771" s="9" t="n"/>
      <c r="G1771" s="9" t="n"/>
      <c r="H1771" s="71" t="n"/>
      <c r="I1771" s="9" t="n"/>
      <c r="J1771" s="89">
        <f>IF(H1771="","",IF(I1771="Sí",ROUND(H1771*Configuracion!$B$11,0),0))</f>
        <v/>
      </c>
      <c r="K1771" s="89">
        <f>IF(H1771="","",H1771+J1771)</f>
        <v/>
      </c>
      <c r="L1771" s="13">
        <f>IF(B1771="","",YEAR(B1771))</f>
        <v/>
      </c>
      <c r="M1771" s="13">
        <f>IF(B1771="","",MONTH(B1771))</f>
        <v/>
      </c>
      <c r="N1771" s="9" t="n"/>
      <c r="O1771" s="9" t="n"/>
      <c r="P1771" s="9" t="n"/>
      <c r="Q1771" s="9" t="n"/>
    </row>
    <row r="1772">
      <c r="A1772" s="9" t="n"/>
      <c r="B1772" s="70" t="n"/>
      <c r="C1772" s="9" t="n"/>
      <c r="D1772" s="9" t="n"/>
      <c r="E1772" s="9" t="n"/>
      <c r="F1772" s="9" t="n"/>
      <c r="G1772" s="9" t="n"/>
      <c r="H1772" s="71" t="n"/>
      <c r="I1772" s="9" t="n"/>
      <c r="J1772" s="89">
        <f>IF(H1772="","",IF(I1772="Sí",ROUND(H1772*Configuracion!$B$11,0),0))</f>
        <v/>
      </c>
      <c r="K1772" s="89">
        <f>IF(H1772="","",H1772+J1772)</f>
        <v/>
      </c>
      <c r="L1772" s="13">
        <f>IF(B1772="","",YEAR(B1772))</f>
        <v/>
      </c>
      <c r="M1772" s="13">
        <f>IF(B1772="","",MONTH(B1772))</f>
        <v/>
      </c>
      <c r="N1772" s="9" t="n"/>
      <c r="O1772" s="9" t="n"/>
      <c r="P1772" s="9" t="n"/>
      <c r="Q1772" s="9" t="n"/>
    </row>
    <row r="1773">
      <c r="A1773" s="9" t="n"/>
      <c r="B1773" s="70" t="n"/>
      <c r="C1773" s="9" t="n"/>
      <c r="D1773" s="9" t="n"/>
      <c r="E1773" s="9" t="n"/>
      <c r="F1773" s="9" t="n"/>
      <c r="G1773" s="9" t="n"/>
      <c r="H1773" s="71" t="n"/>
      <c r="I1773" s="9" t="n"/>
      <c r="J1773" s="89">
        <f>IF(H1773="","",IF(I1773="Sí",ROUND(H1773*Configuracion!$B$11,0),0))</f>
        <v/>
      </c>
      <c r="K1773" s="89">
        <f>IF(H1773="","",H1773+J1773)</f>
        <v/>
      </c>
      <c r="L1773" s="13">
        <f>IF(B1773="","",YEAR(B1773))</f>
        <v/>
      </c>
      <c r="M1773" s="13">
        <f>IF(B1773="","",MONTH(B1773))</f>
        <v/>
      </c>
      <c r="N1773" s="9" t="n"/>
      <c r="O1773" s="9" t="n"/>
      <c r="P1773" s="9" t="n"/>
      <c r="Q1773" s="9" t="n"/>
    </row>
    <row r="1774">
      <c r="A1774" s="9" t="n"/>
      <c r="B1774" s="70" t="n"/>
      <c r="C1774" s="9" t="n"/>
      <c r="D1774" s="9" t="n"/>
      <c r="E1774" s="9" t="n"/>
      <c r="F1774" s="9" t="n"/>
      <c r="G1774" s="9" t="n"/>
      <c r="H1774" s="71" t="n"/>
      <c r="I1774" s="9" t="n"/>
      <c r="J1774" s="89">
        <f>IF(H1774="","",IF(I1774="Sí",ROUND(H1774*Configuracion!$B$11,0),0))</f>
        <v/>
      </c>
      <c r="K1774" s="89">
        <f>IF(H1774="","",H1774+J1774)</f>
        <v/>
      </c>
      <c r="L1774" s="13">
        <f>IF(B1774="","",YEAR(B1774))</f>
        <v/>
      </c>
      <c r="M1774" s="13">
        <f>IF(B1774="","",MONTH(B1774))</f>
        <v/>
      </c>
      <c r="N1774" s="9" t="n"/>
      <c r="O1774" s="9" t="n"/>
      <c r="P1774" s="9" t="n"/>
      <c r="Q1774" s="9" t="n"/>
    </row>
    <row r="1775">
      <c r="A1775" s="9" t="n"/>
      <c r="B1775" s="70" t="n"/>
      <c r="C1775" s="9" t="n"/>
      <c r="D1775" s="9" t="n"/>
      <c r="E1775" s="9" t="n"/>
      <c r="F1775" s="9" t="n"/>
      <c r="G1775" s="9" t="n"/>
      <c r="H1775" s="71" t="n"/>
      <c r="I1775" s="9" t="n"/>
      <c r="J1775" s="89">
        <f>IF(H1775="","",IF(I1775="Sí",ROUND(H1775*Configuracion!$B$11,0),0))</f>
        <v/>
      </c>
      <c r="K1775" s="89">
        <f>IF(H1775="","",H1775+J1775)</f>
        <v/>
      </c>
      <c r="L1775" s="13">
        <f>IF(B1775="","",YEAR(B1775))</f>
        <v/>
      </c>
      <c r="M1775" s="13">
        <f>IF(B1775="","",MONTH(B1775))</f>
        <v/>
      </c>
      <c r="N1775" s="9" t="n"/>
      <c r="O1775" s="9" t="n"/>
      <c r="P1775" s="9" t="n"/>
      <c r="Q1775" s="9" t="n"/>
    </row>
    <row r="1776">
      <c r="A1776" s="9" t="n"/>
      <c r="B1776" s="70" t="n"/>
      <c r="C1776" s="9" t="n"/>
      <c r="D1776" s="9" t="n"/>
      <c r="E1776" s="9" t="n"/>
      <c r="F1776" s="9" t="n"/>
      <c r="G1776" s="9" t="n"/>
      <c r="H1776" s="71" t="n"/>
      <c r="I1776" s="9" t="n"/>
      <c r="J1776" s="89">
        <f>IF(H1776="","",IF(I1776="Sí",ROUND(H1776*Configuracion!$B$11,0),0))</f>
        <v/>
      </c>
      <c r="K1776" s="89">
        <f>IF(H1776="","",H1776+J1776)</f>
        <v/>
      </c>
      <c r="L1776" s="13">
        <f>IF(B1776="","",YEAR(B1776))</f>
        <v/>
      </c>
      <c r="M1776" s="13">
        <f>IF(B1776="","",MONTH(B1776))</f>
        <v/>
      </c>
      <c r="N1776" s="9" t="n"/>
      <c r="O1776" s="9" t="n"/>
      <c r="P1776" s="9" t="n"/>
      <c r="Q1776" s="9" t="n"/>
    </row>
    <row r="1777">
      <c r="A1777" s="9" t="n"/>
      <c r="B1777" s="70" t="n"/>
      <c r="C1777" s="9" t="n"/>
      <c r="D1777" s="9" t="n"/>
      <c r="E1777" s="9" t="n"/>
      <c r="F1777" s="9" t="n"/>
      <c r="G1777" s="9" t="n"/>
      <c r="H1777" s="71" t="n"/>
      <c r="I1777" s="9" t="n"/>
      <c r="J1777" s="89">
        <f>IF(H1777="","",IF(I1777="Sí",ROUND(H1777*Configuracion!$B$11,0),0))</f>
        <v/>
      </c>
      <c r="K1777" s="89">
        <f>IF(H1777="","",H1777+J1777)</f>
        <v/>
      </c>
      <c r="L1777" s="13">
        <f>IF(B1777="","",YEAR(B1777))</f>
        <v/>
      </c>
      <c r="M1777" s="13">
        <f>IF(B1777="","",MONTH(B1777))</f>
        <v/>
      </c>
      <c r="N1777" s="9" t="n"/>
      <c r="O1777" s="9" t="n"/>
      <c r="P1777" s="9" t="n"/>
      <c r="Q1777" s="9" t="n"/>
    </row>
    <row r="1778">
      <c r="A1778" s="9" t="n"/>
      <c r="B1778" s="70" t="n"/>
      <c r="C1778" s="9" t="n"/>
      <c r="D1778" s="9" t="n"/>
      <c r="E1778" s="9" t="n"/>
      <c r="F1778" s="9" t="n"/>
      <c r="G1778" s="9" t="n"/>
      <c r="H1778" s="71" t="n"/>
      <c r="I1778" s="9" t="n"/>
      <c r="J1778" s="89">
        <f>IF(H1778="","",IF(I1778="Sí",ROUND(H1778*Configuracion!$B$11,0),0))</f>
        <v/>
      </c>
      <c r="K1778" s="89">
        <f>IF(H1778="","",H1778+J1778)</f>
        <v/>
      </c>
      <c r="L1778" s="13">
        <f>IF(B1778="","",YEAR(B1778))</f>
        <v/>
      </c>
      <c r="M1778" s="13">
        <f>IF(B1778="","",MONTH(B1778))</f>
        <v/>
      </c>
      <c r="N1778" s="9" t="n"/>
      <c r="O1778" s="9" t="n"/>
      <c r="P1778" s="9" t="n"/>
      <c r="Q1778" s="9" t="n"/>
    </row>
    <row r="1779">
      <c r="A1779" s="9" t="n"/>
      <c r="B1779" s="70" t="n"/>
      <c r="C1779" s="9" t="n"/>
      <c r="D1779" s="9" t="n"/>
      <c r="E1779" s="9" t="n"/>
      <c r="F1779" s="9" t="n"/>
      <c r="G1779" s="9" t="n"/>
      <c r="H1779" s="71" t="n"/>
      <c r="I1779" s="9" t="n"/>
      <c r="J1779" s="89">
        <f>IF(H1779="","",IF(I1779="Sí",ROUND(H1779*Configuracion!$B$11,0),0))</f>
        <v/>
      </c>
      <c r="K1779" s="89">
        <f>IF(H1779="","",H1779+J1779)</f>
        <v/>
      </c>
      <c r="L1779" s="13">
        <f>IF(B1779="","",YEAR(B1779))</f>
        <v/>
      </c>
      <c r="M1779" s="13">
        <f>IF(B1779="","",MONTH(B1779))</f>
        <v/>
      </c>
      <c r="N1779" s="9" t="n"/>
      <c r="O1779" s="9" t="n"/>
      <c r="P1779" s="9" t="n"/>
      <c r="Q1779" s="9" t="n"/>
    </row>
    <row r="1780">
      <c r="A1780" s="9" t="n"/>
      <c r="B1780" s="70" t="n"/>
      <c r="C1780" s="9" t="n"/>
      <c r="D1780" s="9" t="n"/>
      <c r="E1780" s="9" t="n"/>
      <c r="F1780" s="9" t="n"/>
      <c r="G1780" s="9" t="n"/>
      <c r="H1780" s="71" t="n"/>
      <c r="I1780" s="9" t="n"/>
      <c r="J1780" s="89">
        <f>IF(H1780="","",IF(I1780="Sí",ROUND(H1780*Configuracion!$B$11,0),0))</f>
        <v/>
      </c>
      <c r="K1780" s="89">
        <f>IF(H1780="","",H1780+J1780)</f>
        <v/>
      </c>
      <c r="L1780" s="13">
        <f>IF(B1780="","",YEAR(B1780))</f>
        <v/>
      </c>
      <c r="M1780" s="13">
        <f>IF(B1780="","",MONTH(B1780))</f>
        <v/>
      </c>
      <c r="N1780" s="9" t="n"/>
      <c r="O1780" s="9" t="n"/>
      <c r="P1780" s="9" t="n"/>
      <c r="Q1780" s="9" t="n"/>
    </row>
    <row r="1781">
      <c r="A1781" s="9" t="n"/>
      <c r="B1781" s="70" t="n"/>
      <c r="C1781" s="9" t="n"/>
      <c r="D1781" s="9" t="n"/>
      <c r="E1781" s="9" t="n"/>
      <c r="F1781" s="9" t="n"/>
      <c r="G1781" s="9" t="n"/>
      <c r="H1781" s="71" t="n"/>
      <c r="I1781" s="9" t="n"/>
      <c r="J1781" s="89">
        <f>IF(H1781="","",IF(I1781="Sí",ROUND(H1781*Configuracion!$B$11,0),0))</f>
        <v/>
      </c>
      <c r="K1781" s="89">
        <f>IF(H1781="","",H1781+J1781)</f>
        <v/>
      </c>
      <c r="L1781" s="13">
        <f>IF(B1781="","",YEAR(B1781))</f>
        <v/>
      </c>
      <c r="M1781" s="13">
        <f>IF(B1781="","",MONTH(B1781))</f>
        <v/>
      </c>
      <c r="N1781" s="9" t="n"/>
      <c r="O1781" s="9" t="n"/>
      <c r="P1781" s="9" t="n"/>
      <c r="Q1781" s="9" t="n"/>
    </row>
    <row r="1782">
      <c r="A1782" s="9" t="n"/>
      <c r="B1782" s="70" t="n"/>
      <c r="C1782" s="9" t="n"/>
      <c r="D1782" s="9" t="n"/>
      <c r="E1782" s="9" t="n"/>
      <c r="F1782" s="9" t="n"/>
      <c r="G1782" s="9" t="n"/>
      <c r="H1782" s="71" t="n"/>
      <c r="I1782" s="9" t="n"/>
      <c r="J1782" s="89">
        <f>IF(H1782="","",IF(I1782="Sí",ROUND(H1782*Configuracion!$B$11,0),0))</f>
        <v/>
      </c>
      <c r="K1782" s="89">
        <f>IF(H1782="","",H1782+J1782)</f>
        <v/>
      </c>
      <c r="L1782" s="13">
        <f>IF(B1782="","",YEAR(B1782))</f>
        <v/>
      </c>
      <c r="M1782" s="13">
        <f>IF(B1782="","",MONTH(B1782))</f>
        <v/>
      </c>
      <c r="N1782" s="9" t="n"/>
      <c r="O1782" s="9" t="n"/>
      <c r="P1782" s="9" t="n"/>
      <c r="Q1782" s="9" t="n"/>
    </row>
    <row r="1783">
      <c r="A1783" s="9" t="n"/>
      <c r="B1783" s="70" t="n"/>
      <c r="C1783" s="9" t="n"/>
      <c r="D1783" s="9" t="n"/>
      <c r="E1783" s="9" t="n"/>
      <c r="F1783" s="9" t="n"/>
      <c r="G1783" s="9" t="n"/>
      <c r="H1783" s="71" t="n"/>
      <c r="I1783" s="9" t="n"/>
      <c r="J1783" s="89">
        <f>IF(H1783="","",IF(I1783="Sí",ROUND(H1783*Configuracion!$B$11,0),0))</f>
        <v/>
      </c>
      <c r="K1783" s="89">
        <f>IF(H1783="","",H1783+J1783)</f>
        <v/>
      </c>
      <c r="L1783" s="13">
        <f>IF(B1783="","",YEAR(B1783))</f>
        <v/>
      </c>
      <c r="M1783" s="13">
        <f>IF(B1783="","",MONTH(B1783))</f>
        <v/>
      </c>
      <c r="N1783" s="9" t="n"/>
      <c r="O1783" s="9" t="n"/>
      <c r="P1783" s="9" t="n"/>
      <c r="Q1783" s="9" t="n"/>
    </row>
    <row r="1784">
      <c r="A1784" s="9" t="n"/>
      <c r="B1784" s="70" t="n"/>
      <c r="C1784" s="9" t="n"/>
      <c r="D1784" s="9" t="n"/>
      <c r="E1784" s="9" t="n"/>
      <c r="F1784" s="9" t="n"/>
      <c r="G1784" s="9" t="n"/>
      <c r="H1784" s="71" t="n"/>
      <c r="I1784" s="9" t="n"/>
      <c r="J1784" s="89">
        <f>IF(H1784="","",IF(I1784="Sí",ROUND(H1784*Configuracion!$B$11,0),0))</f>
        <v/>
      </c>
      <c r="K1784" s="89">
        <f>IF(H1784="","",H1784+J1784)</f>
        <v/>
      </c>
      <c r="L1784" s="13">
        <f>IF(B1784="","",YEAR(B1784))</f>
        <v/>
      </c>
      <c r="M1784" s="13">
        <f>IF(B1784="","",MONTH(B1784))</f>
        <v/>
      </c>
      <c r="N1784" s="9" t="n"/>
      <c r="O1784" s="9" t="n"/>
      <c r="P1784" s="9" t="n"/>
      <c r="Q1784" s="9" t="n"/>
    </row>
    <row r="1785">
      <c r="A1785" s="9" t="n"/>
      <c r="B1785" s="70" t="n"/>
      <c r="C1785" s="9" t="n"/>
      <c r="D1785" s="9" t="n"/>
      <c r="E1785" s="9" t="n"/>
      <c r="F1785" s="9" t="n"/>
      <c r="G1785" s="9" t="n"/>
      <c r="H1785" s="71" t="n"/>
      <c r="I1785" s="9" t="n"/>
      <c r="J1785" s="89">
        <f>IF(H1785="","",IF(I1785="Sí",ROUND(H1785*Configuracion!$B$11,0),0))</f>
        <v/>
      </c>
      <c r="K1785" s="89">
        <f>IF(H1785="","",H1785+J1785)</f>
        <v/>
      </c>
      <c r="L1785" s="13">
        <f>IF(B1785="","",YEAR(B1785))</f>
        <v/>
      </c>
      <c r="M1785" s="13">
        <f>IF(B1785="","",MONTH(B1785))</f>
        <v/>
      </c>
      <c r="N1785" s="9" t="n"/>
      <c r="O1785" s="9" t="n"/>
      <c r="P1785" s="9" t="n"/>
      <c r="Q1785" s="9" t="n"/>
    </row>
    <row r="1786">
      <c r="A1786" s="9" t="n"/>
      <c r="B1786" s="70" t="n"/>
      <c r="C1786" s="9" t="n"/>
      <c r="D1786" s="9" t="n"/>
      <c r="E1786" s="9" t="n"/>
      <c r="F1786" s="9" t="n"/>
      <c r="G1786" s="9" t="n"/>
      <c r="H1786" s="71" t="n"/>
      <c r="I1786" s="9" t="n"/>
      <c r="J1786" s="89">
        <f>IF(H1786="","",IF(I1786="Sí",ROUND(H1786*Configuracion!$B$11,0),0))</f>
        <v/>
      </c>
      <c r="K1786" s="89">
        <f>IF(H1786="","",H1786+J1786)</f>
        <v/>
      </c>
      <c r="L1786" s="13">
        <f>IF(B1786="","",YEAR(B1786))</f>
        <v/>
      </c>
      <c r="M1786" s="13">
        <f>IF(B1786="","",MONTH(B1786))</f>
        <v/>
      </c>
      <c r="N1786" s="9" t="n"/>
      <c r="O1786" s="9" t="n"/>
      <c r="P1786" s="9" t="n"/>
      <c r="Q1786" s="9" t="n"/>
    </row>
    <row r="1787">
      <c r="A1787" s="9" t="n"/>
      <c r="B1787" s="70" t="n"/>
      <c r="C1787" s="9" t="n"/>
      <c r="D1787" s="9" t="n"/>
      <c r="E1787" s="9" t="n"/>
      <c r="F1787" s="9" t="n"/>
      <c r="G1787" s="9" t="n"/>
      <c r="H1787" s="71" t="n"/>
      <c r="I1787" s="9" t="n"/>
      <c r="J1787" s="89">
        <f>IF(H1787="","",IF(I1787="Sí",ROUND(H1787*Configuracion!$B$11,0),0))</f>
        <v/>
      </c>
      <c r="K1787" s="89">
        <f>IF(H1787="","",H1787+J1787)</f>
        <v/>
      </c>
      <c r="L1787" s="13">
        <f>IF(B1787="","",YEAR(B1787))</f>
        <v/>
      </c>
      <c r="M1787" s="13">
        <f>IF(B1787="","",MONTH(B1787))</f>
        <v/>
      </c>
      <c r="N1787" s="9" t="n"/>
      <c r="O1787" s="9" t="n"/>
      <c r="P1787" s="9" t="n"/>
      <c r="Q1787" s="9" t="n"/>
    </row>
    <row r="1788">
      <c r="A1788" s="9" t="n"/>
      <c r="B1788" s="70" t="n"/>
      <c r="C1788" s="9" t="n"/>
      <c r="D1788" s="9" t="n"/>
      <c r="E1788" s="9" t="n"/>
      <c r="F1788" s="9" t="n"/>
      <c r="G1788" s="9" t="n"/>
      <c r="H1788" s="71" t="n"/>
      <c r="I1788" s="9" t="n"/>
      <c r="J1788" s="89">
        <f>IF(H1788="","",IF(I1788="Sí",ROUND(H1788*Configuracion!$B$11,0),0))</f>
        <v/>
      </c>
      <c r="K1788" s="89">
        <f>IF(H1788="","",H1788+J1788)</f>
        <v/>
      </c>
      <c r="L1788" s="13">
        <f>IF(B1788="","",YEAR(B1788))</f>
        <v/>
      </c>
      <c r="M1788" s="13">
        <f>IF(B1788="","",MONTH(B1788))</f>
        <v/>
      </c>
      <c r="N1788" s="9" t="n"/>
      <c r="O1788" s="9" t="n"/>
      <c r="P1788" s="9" t="n"/>
      <c r="Q1788" s="9" t="n"/>
    </row>
    <row r="1789">
      <c r="A1789" s="9" t="n"/>
      <c r="B1789" s="70" t="n"/>
      <c r="C1789" s="9" t="n"/>
      <c r="D1789" s="9" t="n"/>
      <c r="E1789" s="9" t="n"/>
      <c r="F1789" s="9" t="n"/>
      <c r="G1789" s="9" t="n"/>
      <c r="H1789" s="71" t="n"/>
      <c r="I1789" s="9" t="n"/>
      <c r="J1789" s="89">
        <f>IF(H1789="","",IF(I1789="Sí",ROUND(H1789*Configuracion!$B$11,0),0))</f>
        <v/>
      </c>
      <c r="K1789" s="89">
        <f>IF(H1789="","",H1789+J1789)</f>
        <v/>
      </c>
      <c r="L1789" s="13">
        <f>IF(B1789="","",YEAR(B1789))</f>
        <v/>
      </c>
      <c r="M1789" s="13">
        <f>IF(B1789="","",MONTH(B1789))</f>
        <v/>
      </c>
      <c r="N1789" s="9" t="n"/>
      <c r="O1789" s="9" t="n"/>
      <c r="P1789" s="9" t="n"/>
      <c r="Q1789" s="9" t="n"/>
    </row>
    <row r="1790">
      <c r="A1790" s="9" t="n"/>
      <c r="B1790" s="70" t="n"/>
      <c r="C1790" s="9" t="n"/>
      <c r="D1790" s="9" t="n"/>
      <c r="E1790" s="9" t="n"/>
      <c r="F1790" s="9" t="n"/>
      <c r="G1790" s="9" t="n"/>
      <c r="H1790" s="71" t="n"/>
      <c r="I1790" s="9" t="n"/>
      <c r="J1790" s="89">
        <f>IF(H1790="","",IF(I1790="Sí",ROUND(H1790*Configuracion!$B$11,0),0))</f>
        <v/>
      </c>
      <c r="K1790" s="89">
        <f>IF(H1790="","",H1790+J1790)</f>
        <v/>
      </c>
      <c r="L1790" s="13">
        <f>IF(B1790="","",YEAR(B1790))</f>
        <v/>
      </c>
      <c r="M1790" s="13">
        <f>IF(B1790="","",MONTH(B1790))</f>
        <v/>
      </c>
      <c r="N1790" s="9" t="n"/>
      <c r="O1790" s="9" t="n"/>
      <c r="P1790" s="9" t="n"/>
      <c r="Q1790" s="9" t="n"/>
    </row>
    <row r="1791">
      <c r="A1791" s="9" t="n"/>
      <c r="B1791" s="70" t="n"/>
      <c r="C1791" s="9" t="n"/>
      <c r="D1791" s="9" t="n"/>
      <c r="E1791" s="9" t="n"/>
      <c r="F1791" s="9" t="n"/>
      <c r="G1791" s="9" t="n"/>
      <c r="H1791" s="71" t="n"/>
      <c r="I1791" s="9" t="n"/>
      <c r="J1791" s="89">
        <f>IF(H1791="","",IF(I1791="Sí",ROUND(H1791*Configuracion!$B$11,0),0))</f>
        <v/>
      </c>
      <c r="K1791" s="89">
        <f>IF(H1791="","",H1791+J1791)</f>
        <v/>
      </c>
      <c r="L1791" s="13">
        <f>IF(B1791="","",YEAR(B1791))</f>
        <v/>
      </c>
      <c r="M1791" s="13">
        <f>IF(B1791="","",MONTH(B1791))</f>
        <v/>
      </c>
      <c r="N1791" s="9" t="n"/>
      <c r="O1791" s="9" t="n"/>
      <c r="P1791" s="9" t="n"/>
      <c r="Q1791" s="9" t="n"/>
    </row>
    <row r="1792">
      <c r="A1792" s="9" t="n"/>
      <c r="B1792" s="70" t="n"/>
      <c r="C1792" s="9" t="n"/>
      <c r="D1792" s="9" t="n"/>
      <c r="E1792" s="9" t="n"/>
      <c r="F1792" s="9" t="n"/>
      <c r="G1792" s="9" t="n"/>
      <c r="H1792" s="71" t="n"/>
      <c r="I1792" s="9" t="n"/>
      <c r="J1792" s="89">
        <f>IF(H1792="","",IF(I1792="Sí",ROUND(H1792*Configuracion!$B$11,0),0))</f>
        <v/>
      </c>
      <c r="K1792" s="89">
        <f>IF(H1792="","",H1792+J1792)</f>
        <v/>
      </c>
      <c r="L1792" s="13">
        <f>IF(B1792="","",YEAR(B1792))</f>
        <v/>
      </c>
      <c r="M1792" s="13">
        <f>IF(B1792="","",MONTH(B1792))</f>
        <v/>
      </c>
      <c r="N1792" s="9" t="n"/>
      <c r="O1792" s="9" t="n"/>
      <c r="P1792" s="9" t="n"/>
      <c r="Q1792" s="9" t="n"/>
    </row>
    <row r="1793">
      <c r="A1793" s="9" t="n"/>
      <c r="B1793" s="70" t="n"/>
      <c r="C1793" s="9" t="n"/>
      <c r="D1793" s="9" t="n"/>
      <c r="E1793" s="9" t="n"/>
      <c r="F1793" s="9" t="n"/>
      <c r="G1793" s="9" t="n"/>
      <c r="H1793" s="71" t="n"/>
      <c r="I1793" s="9" t="n"/>
      <c r="J1793" s="89">
        <f>IF(H1793="","",IF(I1793="Sí",ROUND(H1793*Configuracion!$B$11,0),0))</f>
        <v/>
      </c>
      <c r="K1793" s="89">
        <f>IF(H1793="","",H1793+J1793)</f>
        <v/>
      </c>
      <c r="L1793" s="13">
        <f>IF(B1793="","",YEAR(B1793))</f>
        <v/>
      </c>
      <c r="M1793" s="13">
        <f>IF(B1793="","",MONTH(B1793))</f>
        <v/>
      </c>
      <c r="N1793" s="9" t="n"/>
      <c r="O1793" s="9" t="n"/>
      <c r="P1793" s="9" t="n"/>
      <c r="Q1793" s="9" t="n"/>
    </row>
    <row r="1794">
      <c r="A1794" s="9" t="n"/>
      <c r="B1794" s="70" t="n"/>
      <c r="C1794" s="9" t="n"/>
      <c r="D1794" s="9" t="n"/>
      <c r="E1794" s="9" t="n"/>
      <c r="F1794" s="9" t="n"/>
      <c r="G1794" s="9" t="n"/>
      <c r="H1794" s="71" t="n"/>
      <c r="I1794" s="9" t="n"/>
      <c r="J1794" s="89">
        <f>IF(H1794="","",IF(I1794="Sí",ROUND(H1794*Configuracion!$B$11,0),0))</f>
        <v/>
      </c>
      <c r="K1794" s="89">
        <f>IF(H1794="","",H1794+J1794)</f>
        <v/>
      </c>
      <c r="L1794" s="13">
        <f>IF(B1794="","",YEAR(B1794))</f>
        <v/>
      </c>
      <c r="M1794" s="13">
        <f>IF(B1794="","",MONTH(B1794))</f>
        <v/>
      </c>
      <c r="N1794" s="9" t="n"/>
      <c r="O1794" s="9" t="n"/>
      <c r="P1794" s="9" t="n"/>
      <c r="Q1794" s="9" t="n"/>
    </row>
    <row r="1795">
      <c r="A1795" s="9" t="n"/>
      <c r="B1795" s="70" t="n"/>
      <c r="C1795" s="9" t="n"/>
      <c r="D1795" s="9" t="n"/>
      <c r="E1795" s="9" t="n"/>
      <c r="F1795" s="9" t="n"/>
      <c r="G1795" s="9" t="n"/>
      <c r="H1795" s="71" t="n"/>
      <c r="I1795" s="9" t="n"/>
      <c r="J1795" s="89">
        <f>IF(H1795="","",IF(I1795="Sí",ROUND(H1795*Configuracion!$B$11,0),0))</f>
        <v/>
      </c>
      <c r="K1795" s="89">
        <f>IF(H1795="","",H1795+J1795)</f>
        <v/>
      </c>
      <c r="L1795" s="13">
        <f>IF(B1795="","",YEAR(B1795))</f>
        <v/>
      </c>
      <c r="M1795" s="13">
        <f>IF(B1795="","",MONTH(B1795))</f>
        <v/>
      </c>
      <c r="N1795" s="9" t="n"/>
      <c r="O1795" s="9" t="n"/>
      <c r="P1795" s="9" t="n"/>
      <c r="Q1795" s="9" t="n"/>
    </row>
    <row r="1796">
      <c r="A1796" s="9" t="n"/>
      <c r="B1796" s="70" t="n"/>
      <c r="C1796" s="9" t="n"/>
      <c r="D1796" s="9" t="n"/>
      <c r="E1796" s="9" t="n"/>
      <c r="F1796" s="9" t="n"/>
      <c r="G1796" s="9" t="n"/>
      <c r="H1796" s="71" t="n"/>
      <c r="I1796" s="9" t="n"/>
      <c r="J1796" s="89">
        <f>IF(H1796="","",IF(I1796="Sí",ROUND(H1796*Configuracion!$B$11,0),0))</f>
        <v/>
      </c>
      <c r="K1796" s="89">
        <f>IF(H1796="","",H1796+J1796)</f>
        <v/>
      </c>
      <c r="L1796" s="13">
        <f>IF(B1796="","",YEAR(B1796))</f>
        <v/>
      </c>
      <c r="M1796" s="13">
        <f>IF(B1796="","",MONTH(B1796))</f>
        <v/>
      </c>
      <c r="N1796" s="9" t="n"/>
      <c r="O1796" s="9" t="n"/>
      <c r="P1796" s="9" t="n"/>
      <c r="Q1796" s="9" t="n"/>
    </row>
    <row r="1797">
      <c r="A1797" s="9" t="n"/>
      <c r="B1797" s="70" t="n"/>
      <c r="C1797" s="9" t="n"/>
      <c r="D1797" s="9" t="n"/>
      <c r="E1797" s="9" t="n"/>
      <c r="F1797" s="9" t="n"/>
      <c r="G1797" s="9" t="n"/>
      <c r="H1797" s="71" t="n"/>
      <c r="I1797" s="9" t="n"/>
      <c r="J1797" s="89">
        <f>IF(H1797="","",IF(I1797="Sí",ROUND(H1797*Configuracion!$B$11,0),0))</f>
        <v/>
      </c>
      <c r="K1797" s="89">
        <f>IF(H1797="","",H1797+J1797)</f>
        <v/>
      </c>
      <c r="L1797" s="13">
        <f>IF(B1797="","",YEAR(B1797))</f>
        <v/>
      </c>
      <c r="M1797" s="13">
        <f>IF(B1797="","",MONTH(B1797))</f>
        <v/>
      </c>
      <c r="N1797" s="9" t="n"/>
      <c r="O1797" s="9" t="n"/>
      <c r="P1797" s="9" t="n"/>
      <c r="Q1797" s="9" t="n"/>
    </row>
    <row r="1798">
      <c r="A1798" s="9" t="n"/>
      <c r="B1798" s="70" t="n"/>
      <c r="C1798" s="9" t="n"/>
      <c r="D1798" s="9" t="n"/>
      <c r="E1798" s="9" t="n"/>
      <c r="F1798" s="9" t="n"/>
      <c r="G1798" s="9" t="n"/>
      <c r="H1798" s="71" t="n"/>
      <c r="I1798" s="9" t="n"/>
      <c r="J1798" s="89">
        <f>IF(H1798="","",IF(I1798="Sí",ROUND(H1798*Configuracion!$B$11,0),0))</f>
        <v/>
      </c>
      <c r="K1798" s="89">
        <f>IF(H1798="","",H1798+J1798)</f>
        <v/>
      </c>
      <c r="L1798" s="13">
        <f>IF(B1798="","",YEAR(B1798))</f>
        <v/>
      </c>
      <c r="M1798" s="13">
        <f>IF(B1798="","",MONTH(B1798))</f>
        <v/>
      </c>
      <c r="N1798" s="9" t="n"/>
      <c r="O1798" s="9" t="n"/>
      <c r="P1798" s="9" t="n"/>
      <c r="Q1798" s="9" t="n"/>
    </row>
    <row r="1799">
      <c r="A1799" s="9" t="n"/>
      <c r="B1799" s="70" t="n"/>
      <c r="C1799" s="9" t="n"/>
      <c r="D1799" s="9" t="n"/>
      <c r="E1799" s="9" t="n"/>
      <c r="F1799" s="9" t="n"/>
      <c r="G1799" s="9" t="n"/>
      <c r="H1799" s="71" t="n"/>
      <c r="I1799" s="9" t="n"/>
      <c r="J1799" s="89">
        <f>IF(H1799="","",IF(I1799="Sí",ROUND(H1799*Configuracion!$B$11,0),0))</f>
        <v/>
      </c>
      <c r="K1799" s="89">
        <f>IF(H1799="","",H1799+J1799)</f>
        <v/>
      </c>
      <c r="L1799" s="13">
        <f>IF(B1799="","",YEAR(B1799))</f>
        <v/>
      </c>
      <c r="M1799" s="13">
        <f>IF(B1799="","",MONTH(B1799))</f>
        <v/>
      </c>
      <c r="N1799" s="9" t="n"/>
      <c r="O1799" s="9" t="n"/>
      <c r="P1799" s="9" t="n"/>
      <c r="Q1799" s="9" t="n"/>
    </row>
    <row r="1800">
      <c r="A1800" s="9" t="n"/>
      <c r="B1800" s="70" t="n"/>
      <c r="C1800" s="9" t="n"/>
      <c r="D1800" s="9" t="n"/>
      <c r="E1800" s="9" t="n"/>
      <c r="F1800" s="9" t="n"/>
      <c r="G1800" s="9" t="n"/>
      <c r="H1800" s="71" t="n"/>
      <c r="I1800" s="9" t="n"/>
      <c r="J1800" s="89">
        <f>IF(H1800="","",IF(I1800="Sí",ROUND(H1800*Configuracion!$B$11,0),0))</f>
        <v/>
      </c>
      <c r="K1800" s="89">
        <f>IF(H1800="","",H1800+J1800)</f>
        <v/>
      </c>
      <c r="L1800" s="13">
        <f>IF(B1800="","",YEAR(B1800))</f>
        <v/>
      </c>
      <c r="M1800" s="13">
        <f>IF(B1800="","",MONTH(B1800))</f>
        <v/>
      </c>
      <c r="N1800" s="9" t="n"/>
      <c r="O1800" s="9" t="n"/>
      <c r="P1800" s="9" t="n"/>
      <c r="Q1800" s="9" t="n"/>
    </row>
    <row r="1801">
      <c r="A1801" s="9" t="n"/>
      <c r="B1801" s="70" t="n"/>
      <c r="C1801" s="9" t="n"/>
      <c r="D1801" s="9" t="n"/>
      <c r="E1801" s="9" t="n"/>
      <c r="F1801" s="9" t="n"/>
      <c r="G1801" s="9" t="n"/>
      <c r="H1801" s="71" t="n"/>
      <c r="I1801" s="9" t="n"/>
      <c r="J1801" s="89">
        <f>IF(H1801="","",IF(I1801="Sí",ROUND(H1801*Configuracion!$B$11,0),0))</f>
        <v/>
      </c>
      <c r="K1801" s="89">
        <f>IF(H1801="","",H1801+J1801)</f>
        <v/>
      </c>
      <c r="L1801" s="13">
        <f>IF(B1801="","",YEAR(B1801))</f>
        <v/>
      </c>
      <c r="M1801" s="13">
        <f>IF(B1801="","",MONTH(B1801))</f>
        <v/>
      </c>
      <c r="N1801" s="9" t="n"/>
      <c r="O1801" s="9" t="n"/>
      <c r="P1801" s="9" t="n"/>
      <c r="Q1801" s="9" t="n"/>
    </row>
    <row r="1802">
      <c r="A1802" s="9" t="n"/>
      <c r="B1802" s="70" t="n"/>
      <c r="C1802" s="9" t="n"/>
      <c r="D1802" s="9" t="n"/>
      <c r="E1802" s="9" t="n"/>
      <c r="F1802" s="9" t="n"/>
      <c r="G1802" s="9" t="n"/>
      <c r="H1802" s="71" t="n"/>
      <c r="I1802" s="9" t="n"/>
      <c r="J1802" s="89">
        <f>IF(H1802="","",IF(I1802="Sí",ROUND(H1802*Configuracion!$B$11,0),0))</f>
        <v/>
      </c>
      <c r="K1802" s="89">
        <f>IF(H1802="","",H1802+J1802)</f>
        <v/>
      </c>
      <c r="L1802" s="13">
        <f>IF(B1802="","",YEAR(B1802))</f>
        <v/>
      </c>
      <c r="M1802" s="13">
        <f>IF(B1802="","",MONTH(B1802))</f>
        <v/>
      </c>
      <c r="N1802" s="9" t="n"/>
      <c r="O1802" s="9" t="n"/>
      <c r="P1802" s="9" t="n"/>
      <c r="Q1802" s="9" t="n"/>
    </row>
    <row r="1803">
      <c r="A1803" s="9" t="n"/>
      <c r="B1803" s="70" t="n"/>
      <c r="C1803" s="9" t="n"/>
      <c r="D1803" s="9" t="n"/>
      <c r="E1803" s="9" t="n"/>
      <c r="F1803" s="9" t="n"/>
      <c r="G1803" s="9" t="n"/>
      <c r="H1803" s="71" t="n"/>
      <c r="I1803" s="9" t="n"/>
      <c r="J1803" s="89">
        <f>IF(H1803="","",IF(I1803="Sí",ROUND(H1803*Configuracion!$B$11,0),0))</f>
        <v/>
      </c>
      <c r="K1803" s="89">
        <f>IF(H1803="","",H1803+J1803)</f>
        <v/>
      </c>
      <c r="L1803" s="13">
        <f>IF(B1803="","",YEAR(B1803))</f>
        <v/>
      </c>
      <c r="M1803" s="13">
        <f>IF(B1803="","",MONTH(B1803))</f>
        <v/>
      </c>
      <c r="N1803" s="9" t="n"/>
      <c r="O1803" s="9" t="n"/>
      <c r="P1803" s="9" t="n"/>
      <c r="Q1803" s="9" t="n"/>
    </row>
    <row r="1804">
      <c r="A1804" s="9" t="n"/>
      <c r="B1804" s="70" t="n"/>
      <c r="C1804" s="9" t="n"/>
      <c r="D1804" s="9" t="n"/>
      <c r="E1804" s="9" t="n"/>
      <c r="F1804" s="9" t="n"/>
      <c r="G1804" s="9" t="n"/>
      <c r="H1804" s="71" t="n"/>
      <c r="I1804" s="9" t="n"/>
      <c r="J1804" s="89">
        <f>IF(H1804="","",IF(I1804="Sí",ROUND(H1804*Configuracion!$B$11,0),0))</f>
        <v/>
      </c>
      <c r="K1804" s="89">
        <f>IF(H1804="","",H1804+J1804)</f>
        <v/>
      </c>
      <c r="L1804" s="13">
        <f>IF(B1804="","",YEAR(B1804))</f>
        <v/>
      </c>
      <c r="M1804" s="13">
        <f>IF(B1804="","",MONTH(B1804))</f>
        <v/>
      </c>
      <c r="N1804" s="9" t="n"/>
      <c r="O1804" s="9" t="n"/>
      <c r="P1804" s="9" t="n"/>
      <c r="Q1804" s="9" t="n"/>
    </row>
    <row r="1805">
      <c r="A1805" s="9" t="n"/>
      <c r="B1805" s="70" t="n"/>
      <c r="C1805" s="9" t="n"/>
      <c r="D1805" s="9" t="n"/>
      <c r="E1805" s="9" t="n"/>
      <c r="F1805" s="9" t="n"/>
      <c r="G1805" s="9" t="n"/>
      <c r="H1805" s="71" t="n"/>
      <c r="I1805" s="9" t="n"/>
      <c r="J1805" s="89">
        <f>IF(H1805="","",IF(I1805="Sí",ROUND(H1805*Configuracion!$B$11,0),0))</f>
        <v/>
      </c>
      <c r="K1805" s="89">
        <f>IF(H1805="","",H1805+J1805)</f>
        <v/>
      </c>
      <c r="L1805" s="13">
        <f>IF(B1805="","",YEAR(B1805))</f>
        <v/>
      </c>
      <c r="M1805" s="13">
        <f>IF(B1805="","",MONTH(B1805))</f>
        <v/>
      </c>
      <c r="N1805" s="9" t="n"/>
      <c r="O1805" s="9" t="n"/>
      <c r="P1805" s="9" t="n"/>
      <c r="Q1805" s="9" t="n"/>
    </row>
    <row r="1806">
      <c r="A1806" s="9" t="n"/>
      <c r="B1806" s="70" t="n"/>
      <c r="C1806" s="9" t="n"/>
      <c r="D1806" s="9" t="n"/>
      <c r="E1806" s="9" t="n"/>
      <c r="F1806" s="9" t="n"/>
      <c r="G1806" s="9" t="n"/>
      <c r="H1806" s="71" t="n"/>
      <c r="I1806" s="9" t="n"/>
      <c r="J1806" s="89">
        <f>IF(H1806="","",IF(I1806="Sí",ROUND(H1806*Configuracion!$B$11,0),0))</f>
        <v/>
      </c>
      <c r="K1806" s="89">
        <f>IF(H1806="","",H1806+J1806)</f>
        <v/>
      </c>
      <c r="L1806" s="13">
        <f>IF(B1806="","",YEAR(B1806))</f>
        <v/>
      </c>
      <c r="M1806" s="13">
        <f>IF(B1806="","",MONTH(B1806))</f>
        <v/>
      </c>
      <c r="N1806" s="9" t="n"/>
      <c r="O1806" s="9" t="n"/>
      <c r="P1806" s="9" t="n"/>
      <c r="Q1806" s="9" t="n"/>
    </row>
    <row r="1807">
      <c r="A1807" s="9" t="n"/>
      <c r="B1807" s="70" t="n"/>
      <c r="C1807" s="9" t="n"/>
      <c r="D1807" s="9" t="n"/>
      <c r="E1807" s="9" t="n"/>
      <c r="F1807" s="9" t="n"/>
      <c r="G1807" s="9" t="n"/>
      <c r="H1807" s="71" t="n"/>
      <c r="I1807" s="9" t="n"/>
      <c r="J1807" s="89">
        <f>IF(H1807="","",IF(I1807="Sí",ROUND(H1807*Configuracion!$B$11,0),0))</f>
        <v/>
      </c>
      <c r="K1807" s="89">
        <f>IF(H1807="","",H1807+J1807)</f>
        <v/>
      </c>
      <c r="L1807" s="13">
        <f>IF(B1807="","",YEAR(B1807))</f>
        <v/>
      </c>
      <c r="M1807" s="13">
        <f>IF(B1807="","",MONTH(B1807))</f>
        <v/>
      </c>
      <c r="N1807" s="9" t="n"/>
      <c r="O1807" s="9" t="n"/>
      <c r="P1807" s="9" t="n"/>
      <c r="Q1807" s="9" t="n"/>
    </row>
    <row r="1808">
      <c r="A1808" s="9" t="n"/>
      <c r="B1808" s="70" t="n"/>
      <c r="C1808" s="9" t="n"/>
      <c r="D1808" s="9" t="n"/>
      <c r="E1808" s="9" t="n"/>
      <c r="F1808" s="9" t="n"/>
      <c r="G1808" s="9" t="n"/>
      <c r="H1808" s="71" t="n"/>
      <c r="I1808" s="9" t="n"/>
      <c r="J1808" s="89">
        <f>IF(H1808="","",IF(I1808="Sí",ROUND(H1808*Configuracion!$B$11,0),0))</f>
        <v/>
      </c>
      <c r="K1808" s="89">
        <f>IF(H1808="","",H1808+J1808)</f>
        <v/>
      </c>
      <c r="L1808" s="13">
        <f>IF(B1808="","",YEAR(B1808))</f>
        <v/>
      </c>
      <c r="M1808" s="13">
        <f>IF(B1808="","",MONTH(B1808))</f>
        <v/>
      </c>
      <c r="N1808" s="9" t="n"/>
      <c r="O1808" s="9" t="n"/>
      <c r="P1808" s="9" t="n"/>
      <c r="Q1808" s="9" t="n"/>
    </row>
    <row r="1809">
      <c r="A1809" s="9" t="n"/>
      <c r="B1809" s="70" t="n"/>
      <c r="C1809" s="9" t="n"/>
      <c r="D1809" s="9" t="n"/>
      <c r="E1809" s="9" t="n"/>
      <c r="F1809" s="9" t="n"/>
      <c r="G1809" s="9" t="n"/>
      <c r="H1809" s="71" t="n"/>
      <c r="I1809" s="9" t="n"/>
      <c r="J1809" s="89">
        <f>IF(H1809="","",IF(I1809="Sí",ROUND(H1809*Configuracion!$B$11,0),0))</f>
        <v/>
      </c>
      <c r="K1809" s="89">
        <f>IF(H1809="","",H1809+J1809)</f>
        <v/>
      </c>
      <c r="L1809" s="13">
        <f>IF(B1809="","",YEAR(B1809))</f>
        <v/>
      </c>
      <c r="M1809" s="13">
        <f>IF(B1809="","",MONTH(B1809))</f>
        <v/>
      </c>
      <c r="N1809" s="9" t="n"/>
      <c r="O1809" s="9" t="n"/>
      <c r="P1809" s="9" t="n"/>
      <c r="Q1809" s="9" t="n"/>
    </row>
    <row r="1810">
      <c r="A1810" s="9" t="n"/>
      <c r="B1810" s="70" t="n"/>
      <c r="C1810" s="9" t="n"/>
      <c r="D1810" s="9" t="n"/>
      <c r="E1810" s="9" t="n"/>
      <c r="F1810" s="9" t="n"/>
      <c r="G1810" s="9" t="n"/>
      <c r="H1810" s="71" t="n"/>
      <c r="I1810" s="9" t="n"/>
      <c r="J1810" s="89">
        <f>IF(H1810="","",IF(I1810="Sí",ROUND(H1810*Configuracion!$B$11,0),0))</f>
        <v/>
      </c>
      <c r="K1810" s="89">
        <f>IF(H1810="","",H1810+J1810)</f>
        <v/>
      </c>
      <c r="L1810" s="13">
        <f>IF(B1810="","",YEAR(B1810))</f>
        <v/>
      </c>
      <c r="M1810" s="13">
        <f>IF(B1810="","",MONTH(B1810))</f>
        <v/>
      </c>
      <c r="N1810" s="9" t="n"/>
      <c r="O1810" s="9" t="n"/>
      <c r="P1810" s="9" t="n"/>
      <c r="Q1810" s="9" t="n"/>
    </row>
    <row r="1811">
      <c r="A1811" s="9" t="n"/>
      <c r="B1811" s="70" t="n"/>
      <c r="C1811" s="9" t="n"/>
      <c r="D1811" s="9" t="n"/>
      <c r="E1811" s="9" t="n"/>
      <c r="F1811" s="9" t="n"/>
      <c r="G1811" s="9" t="n"/>
      <c r="H1811" s="71" t="n"/>
      <c r="I1811" s="9" t="n"/>
      <c r="J1811" s="89">
        <f>IF(H1811="","",IF(I1811="Sí",ROUND(H1811*Configuracion!$B$11,0),0))</f>
        <v/>
      </c>
      <c r="K1811" s="89">
        <f>IF(H1811="","",H1811+J1811)</f>
        <v/>
      </c>
      <c r="L1811" s="13">
        <f>IF(B1811="","",YEAR(B1811))</f>
        <v/>
      </c>
      <c r="M1811" s="13">
        <f>IF(B1811="","",MONTH(B1811))</f>
        <v/>
      </c>
      <c r="N1811" s="9" t="n"/>
      <c r="O1811" s="9" t="n"/>
      <c r="P1811" s="9" t="n"/>
      <c r="Q1811" s="9" t="n"/>
    </row>
    <row r="1812">
      <c r="A1812" s="9" t="n"/>
      <c r="B1812" s="70" t="n"/>
      <c r="C1812" s="9" t="n"/>
      <c r="D1812" s="9" t="n"/>
      <c r="E1812" s="9" t="n"/>
      <c r="F1812" s="9" t="n"/>
      <c r="G1812" s="9" t="n"/>
      <c r="H1812" s="71" t="n"/>
      <c r="I1812" s="9" t="n"/>
      <c r="J1812" s="89">
        <f>IF(H1812="","",IF(I1812="Sí",ROUND(H1812*Configuracion!$B$11,0),0))</f>
        <v/>
      </c>
      <c r="K1812" s="89">
        <f>IF(H1812="","",H1812+J1812)</f>
        <v/>
      </c>
      <c r="L1812" s="13">
        <f>IF(B1812="","",YEAR(B1812))</f>
        <v/>
      </c>
      <c r="M1812" s="13">
        <f>IF(B1812="","",MONTH(B1812))</f>
        <v/>
      </c>
      <c r="N1812" s="9" t="n"/>
      <c r="O1812" s="9" t="n"/>
      <c r="P1812" s="9" t="n"/>
      <c r="Q1812" s="9" t="n"/>
    </row>
    <row r="1813">
      <c r="A1813" s="9" t="n"/>
      <c r="B1813" s="70" t="n"/>
      <c r="C1813" s="9" t="n"/>
      <c r="D1813" s="9" t="n"/>
      <c r="E1813" s="9" t="n"/>
      <c r="F1813" s="9" t="n"/>
      <c r="G1813" s="9" t="n"/>
      <c r="H1813" s="71" t="n"/>
      <c r="I1813" s="9" t="n"/>
      <c r="J1813" s="89">
        <f>IF(H1813="","",IF(I1813="Sí",ROUND(H1813*Configuracion!$B$11,0),0))</f>
        <v/>
      </c>
      <c r="K1813" s="89">
        <f>IF(H1813="","",H1813+J1813)</f>
        <v/>
      </c>
      <c r="L1813" s="13">
        <f>IF(B1813="","",YEAR(B1813))</f>
        <v/>
      </c>
      <c r="M1813" s="13">
        <f>IF(B1813="","",MONTH(B1813))</f>
        <v/>
      </c>
      <c r="N1813" s="9" t="n"/>
      <c r="O1813" s="9" t="n"/>
      <c r="P1813" s="9" t="n"/>
      <c r="Q1813" s="9" t="n"/>
    </row>
    <row r="1814">
      <c r="A1814" s="9" t="n"/>
      <c r="B1814" s="70" t="n"/>
      <c r="C1814" s="9" t="n"/>
      <c r="D1814" s="9" t="n"/>
      <c r="E1814" s="9" t="n"/>
      <c r="F1814" s="9" t="n"/>
      <c r="G1814" s="9" t="n"/>
      <c r="H1814" s="71" t="n"/>
      <c r="I1814" s="9" t="n"/>
      <c r="J1814" s="89">
        <f>IF(H1814="","",IF(I1814="Sí",ROUND(H1814*Configuracion!$B$11,0),0))</f>
        <v/>
      </c>
      <c r="K1814" s="89">
        <f>IF(H1814="","",H1814+J1814)</f>
        <v/>
      </c>
      <c r="L1814" s="13">
        <f>IF(B1814="","",YEAR(B1814))</f>
        <v/>
      </c>
      <c r="M1814" s="13">
        <f>IF(B1814="","",MONTH(B1814))</f>
        <v/>
      </c>
      <c r="N1814" s="9" t="n"/>
      <c r="O1814" s="9" t="n"/>
      <c r="P1814" s="9" t="n"/>
      <c r="Q1814" s="9" t="n"/>
    </row>
    <row r="1815">
      <c r="A1815" s="9" t="n"/>
      <c r="B1815" s="70" t="n"/>
      <c r="C1815" s="9" t="n"/>
      <c r="D1815" s="9" t="n"/>
      <c r="E1815" s="9" t="n"/>
      <c r="F1815" s="9" t="n"/>
      <c r="G1815" s="9" t="n"/>
      <c r="H1815" s="71" t="n"/>
      <c r="I1815" s="9" t="n"/>
      <c r="J1815" s="89">
        <f>IF(H1815="","",IF(I1815="Sí",ROUND(H1815*Configuracion!$B$11,0),0))</f>
        <v/>
      </c>
      <c r="K1815" s="89">
        <f>IF(H1815="","",H1815+J1815)</f>
        <v/>
      </c>
      <c r="L1815" s="13">
        <f>IF(B1815="","",YEAR(B1815))</f>
        <v/>
      </c>
      <c r="M1815" s="13">
        <f>IF(B1815="","",MONTH(B1815))</f>
        <v/>
      </c>
      <c r="N1815" s="9" t="n"/>
      <c r="O1815" s="9" t="n"/>
      <c r="P1815" s="9" t="n"/>
      <c r="Q1815" s="9" t="n"/>
    </row>
    <row r="1816">
      <c r="A1816" s="9" t="n"/>
      <c r="B1816" s="70" t="n"/>
      <c r="C1816" s="9" t="n"/>
      <c r="D1816" s="9" t="n"/>
      <c r="E1816" s="9" t="n"/>
      <c r="F1816" s="9" t="n"/>
      <c r="G1816" s="9" t="n"/>
      <c r="H1816" s="71" t="n"/>
      <c r="I1816" s="9" t="n"/>
      <c r="J1816" s="89">
        <f>IF(H1816="","",IF(I1816="Sí",ROUND(H1816*Configuracion!$B$11,0),0))</f>
        <v/>
      </c>
      <c r="K1816" s="89">
        <f>IF(H1816="","",H1816+J1816)</f>
        <v/>
      </c>
      <c r="L1816" s="13">
        <f>IF(B1816="","",YEAR(B1816))</f>
        <v/>
      </c>
      <c r="M1816" s="13">
        <f>IF(B1816="","",MONTH(B1816))</f>
        <v/>
      </c>
      <c r="N1816" s="9" t="n"/>
      <c r="O1816" s="9" t="n"/>
      <c r="P1816" s="9" t="n"/>
      <c r="Q1816" s="9" t="n"/>
    </row>
    <row r="1817">
      <c r="A1817" s="9" t="n"/>
      <c r="B1817" s="70" t="n"/>
      <c r="C1817" s="9" t="n"/>
      <c r="D1817" s="9" t="n"/>
      <c r="E1817" s="9" t="n"/>
      <c r="F1817" s="9" t="n"/>
      <c r="G1817" s="9" t="n"/>
      <c r="H1817" s="71" t="n"/>
      <c r="I1817" s="9" t="n"/>
      <c r="J1817" s="89">
        <f>IF(H1817="","",IF(I1817="Sí",ROUND(H1817*Configuracion!$B$11,0),0))</f>
        <v/>
      </c>
      <c r="K1817" s="89">
        <f>IF(H1817="","",H1817+J1817)</f>
        <v/>
      </c>
      <c r="L1817" s="13">
        <f>IF(B1817="","",YEAR(B1817))</f>
        <v/>
      </c>
      <c r="M1817" s="13">
        <f>IF(B1817="","",MONTH(B1817))</f>
        <v/>
      </c>
      <c r="N1817" s="9" t="n"/>
      <c r="O1817" s="9" t="n"/>
      <c r="P1817" s="9" t="n"/>
      <c r="Q1817" s="9" t="n"/>
    </row>
    <row r="1818">
      <c r="A1818" s="9" t="n"/>
      <c r="B1818" s="70" t="n"/>
      <c r="C1818" s="9" t="n"/>
      <c r="D1818" s="9" t="n"/>
      <c r="E1818" s="9" t="n"/>
      <c r="F1818" s="9" t="n"/>
      <c r="G1818" s="9" t="n"/>
      <c r="H1818" s="71" t="n"/>
      <c r="I1818" s="9" t="n"/>
      <c r="J1818" s="89">
        <f>IF(H1818="","",IF(I1818="Sí",ROUND(H1818*Configuracion!$B$11,0),0))</f>
        <v/>
      </c>
      <c r="K1818" s="89">
        <f>IF(H1818="","",H1818+J1818)</f>
        <v/>
      </c>
      <c r="L1818" s="13">
        <f>IF(B1818="","",YEAR(B1818))</f>
        <v/>
      </c>
      <c r="M1818" s="13">
        <f>IF(B1818="","",MONTH(B1818))</f>
        <v/>
      </c>
      <c r="N1818" s="9" t="n"/>
      <c r="O1818" s="9" t="n"/>
      <c r="P1818" s="9" t="n"/>
      <c r="Q1818" s="9" t="n"/>
    </row>
    <row r="1819">
      <c r="A1819" s="9" t="n"/>
      <c r="B1819" s="70" t="n"/>
      <c r="C1819" s="9" t="n"/>
      <c r="D1819" s="9" t="n"/>
      <c r="E1819" s="9" t="n"/>
      <c r="F1819" s="9" t="n"/>
      <c r="G1819" s="9" t="n"/>
      <c r="H1819" s="71" t="n"/>
      <c r="I1819" s="9" t="n"/>
      <c r="J1819" s="89">
        <f>IF(H1819="","",IF(I1819="Sí",ROUND(H1819*Configuracion!$B$11,0),0))</f>
        <v/>
      </c>
      <c r="K1819" s="89">
        <f>IF(H1819="","",H1819+J1819)</f>
        <v/>
      </c>
      <c r="L1819" s="13">
        <f>IF(B1819="","",YEAR(B1819))</f>
        <v/>
      </c>
      <c r="M1819" s="13">
        <f>IF(B1819="","",MONTH(B1819))</f>
        <v/>
      </c>
      <c r="N1819" s="9" t="n"/>
      <c r="O1819" s="9" t="n"/>
      <c r="P1819" s="9" t="n"/>
      <c r="Q1819" s="9" t="n"/>
    </row>
    <row r="1820">
      <c r="A1820" s="9" t="n"/>
      <c r="B1820" s="70" t="n"/>
      <c r="C1820" s="9" t="n"/>
      <c r="D1820" s="9" t="n"/>
      <c r="E1820" s="9" t="n"/>
      <c r="F1820" s="9" t="n"/>
      <c r="G1820" s="9" t="n"/>
      <c r="H1820" s="71" t="n"/>
      <c r="I1820" s="9" t="n"/>
      <c r="J1820" s="89">
        <f>IF(H1820="","",IF(I1820="Sí",ROUND(H1820*Configuracion!$B$11,0),0))</f>
        <v/>
      </c>
      <c r="K1820" s="89">
        <f>IF(H1820="","",H1820+J1820)</f>
        <v/>
      </c>
      <c r="L1820" s="13">
        <f>IF(B1820="","",YEAR(B1820))</f>
        <v/>
      </c>
      <c r="M1820" s="13">
        <f>IF(B1820="","",MONTH(B1820))</f>
        <v/>
      </c>
      <c r="N1820" s="9" t="n"/>
      <c r="O1820" s="9" t="n"/>
      <c r="P1820" s="9" t="n"/>
      <c r="Q1820" s="9" t="n"/>
    </row>
    <row r="1821">
      <c r="A1821" s="9" t="n"/>
      <c r="B1821" s="70" t="n"/>
      <c r="C1821" s="9" t="n"/>
      <c r="D1821" s="9" t="n"/>
      <c r="E1821" s="9" t="n"/>
      <c r="F1821" s="9" t="n"/>
      <c r="G1821" s="9" t="n"/>
      <c r="H1821" s="71" t="n"/>
      <c r="I1821" s="9" t="n"/>
      <c r="J1821" s="89">
        <f>IF(H1821="","",IF(I1821="Sí",ROUND(H1821*Configuracion!$B$11,0),0))</f>
        <v/>
      </c>
      <c r="K1821" s="89">
        <f>IF(H1821="","",H1821+J1821)</f>
        <v/>
      </c>
      <c r="L1821" s="13">
        <f>IF(B1821="","",YEAR(B1821))</f>
        <v/>
      </c>
      <c r="M1821" s="13">
        <f>IF(B1821="","",MONTH(B1821))</f>
        <v/>
      </c>
      <c r="N1821" s="9" t="n"/>
      <c r="O1821" s="9" t="n"/>
      <c r="P1821" s="9" t="n"/>
      <c r="Q1821" s="9" t="n"/>
    </row>
    <row r="1822">
      <c r="A1822" s="9" t="n"/>
      <c r="B1822" s="70" t="n"/>
      <c r="C1822" s="9" t="n"/>
      <c r="D1822" s="9" t="n"/>
      <c r="E1822" s="9" t="n"/>
      <c r="F1822" s="9" t="n"/>
      <c r="G1822" s="9" t="n"/>
      <c r="H1822" s="71" t="n"/>
      <c r="I1822" s="9" t="n"/>
      <c r="J1822" s="89">
        <f>IF(H1822="","",IF(I1822="Sí",ROUND(H1822*Configuracion!$B$11,0),0))</f>
        <v/>
      </c>
      <c r="K1822" s="89">
        <f>IF(H1822="","",H1822+J1822)</f>
        <v/>
      </c>
      <c r="L1822" s="13">
        <f>IF(B1822="","",YEAR(B1822))</f>
        <v/>
      </c>
      <c r="M1822" s="13">
        <f>IF(B1822="","",MONTH(B1822))</f>
        <v/>
      </c>
      <c r="N1822" s="9" t="n"/>
      <c r="O1822" s="9" t="n"/>
      <c r="P1822" s="9" t="n"/>
      <c r="Q1822" s="9" t="n"/>
    </row>
    <row r="1823">
      <c r="A1823" s="9" t="n"/>
      <c r="B1823" s="70" t="n"/>
      <c r="C1823" s="9" t="n"/>
      <c r="D1823" s="9" t="n"/>
      <c r="E1823" s="9" t="n"/>
      <c r="F1823" s="9" t="n"/>
      <c r="G1823" s="9" t="n"/>
      <c r="H1823" s="71" t="n"/>
      <c r="I1823" s="9" t="n"/>
      <c r="J1823" s="89">
        <f>IF(H1823="","",IF(I1823="Sí",ROUND(H1823*Configuracion!$B$11,0),0))</f>
        <v/>
      </c>
      <c r="K1823" s="89">
        <f>IF(H1823="","",H1823+J1823)</f>
        <v/>
      </c>
      <c r="L1823" s="13">
        <f>IF(B1823="","",YEAR(B1823))</f>
        <v/>
      </c>
      <c r="M1823" s="13">
        <f>IF(B1823="","",MONTH(B1823))</f>
        <v/>
      </c>
      <c r="N1823" s="9" t="n"/>
      <c r="O1823" s="9" t="n"/>
      <c r="P1823" s="9" t="n"/>
      <c r="Q1823" s="9" t="n"/>
    </row>
    <row r="1824">
      <c r="A1824" s="9" t="n"/>
      <c r="B1824" s="70" t="n"/>
      <c r="C1824" s="9" t="n"/>
      <c r="D1824" s="9" t="n"/>
      <c r="E1824" s="9" t="n"/>
      <c r="F1824" s="9" t="n"/>
      <c r="G1824" s="9" t="n"/>
      <c r="H1824" s="71" t="n"/>
      <c r="I1824" s="9" t="n"/>
      <c r="J1824" s="89">
        <f>IF(H1824="","",IF(I1824="Sí",ROUND(H1824*Configuracion!$B$11,0),0))</f>
        <v/>
      </c>
      <c r="K1824" s="89">
        <f>IF(H1824="","",H1824+J1824)</f>
        <v/>
      </c>
      <c r="L1824" s="13">
        <f>IF(B1824="","",YEAR(B1824))</f>
        <v/>
      </c>
      <c r="M1824" s="13">
        <f>IF(B1824="","",MONTH(B1824))</f>
        <v/>
      </c>
      <c r="N1824" s="9" t="n"/>
      <c r="O1824" s="9" t="n"/>
      <c r="P1824" s="9" t="n"/>
      <c r="Q1824" s="9" t="n"/>
    </row>
    <row r="1825">
      <c r="A1825" s="9" t="n"/>
      <c r="B1825" s="70" t="n"/>
      <c r="C1825" s="9" t="n"/>
      <c r="D1825" s="9" t="n"/>
      <c r="E1825" s="9" t="n"/>
      <c r="F1825" s="9" t="n"/>
      <c r="G1825" s="9" t="n"/>
      <c r="H1825" s="71" t="n"/>
      <c r="I1825" s="9" t="n"/>
      <c r="J1825" s="89">
        <f>IF(H1825="","",IF(I1825="Sí",ROUND(H1825*Configuracion!$B$11,0),0))</f>
        <v/>
      </c>
      <c r="K1825" s="89">
        <f>IF(H1825="","",H1825+J1825)</f>
        <v/>
      </c>
      <c r="L1825" s="13">
        <f>IF(B1825="","",YEAR(B1825))</f>
        <v/>
      </c>
      <c r="M1825" s="13">
        <f>IF(B1825="","",MONTH(B1825))</f>
        <v/>
      </c>
      <c r="N1825" s="9" t="n"/>
      <c r="O1825" s="9" t="n"/>
      <c r="P1825" s="9" t="n"/>
      <c r="Q1825" s="9" t="n"/>
    </row>
    <row r="1826">
      <c r="A1826" s="9" t="n"/>
      <c r="B1826" s="70" t="n"/>
      <c r="C1826" s="9" t="n"/>
      <c r="D1826" s="9" t="n"/>
      <c r="E1826" s="9" t="n"/>
      <c r="F1826" s="9" t="n"/>
      <c r="G1826" s="9" t="n"/>
      <c r="H1826" s="71" t="n"/>
      <c r="I1826" s="9" t="n"/>
      <c r="J1826" s="89">
        <f>IF(H1826="","",IF(I1826="Sí",ROUND(H1826*Configuracion!$B$11,0),0))</f>
        <v/>
      </c>
      <c r="K1826" s="89">
        <f>IF(H1826="","",H1826+J1826)</f>
        <v/>
      </c>
      <c r="L1826" s="13">
        <f>IF(B1826="","",YEAR(B1826))</f>
        <v/>
      </c>
      <c r="M1826" s="13">
        <f>IF(B1826="","",MONTH(B1826))</f>
        <v/>
      </c>
      <c r="N1826" s="9" t="n"/>
      <c r="O1826" s="9" t="n"/>
      <c r="P1826" s="9" t="n"/>
      <c r="Q1826" s="9" t="n"/>
    </row>
    <row r="1827">
      <c r="A1827" s="9" t="n"/>
      <c r="B1827" s="70" t="n"/>
      <c r="C1827" s="9" t="n"/>
      <c r="D1827" s="9" t="n"/>
      <c r="E1827" s="9" t="n"/>
      <c r="F1827" s="9" t="n"/>
      <c r="G1827" s="9" t="n"/>
      <c r="H1827" s="71" t="n"/>
      <c r="I1827" s="9" t="n"/>
      <c r="J1827" s="89">
        <f>IF(H1827="","",IF(I1827="Sí",ROUND(H1827*Configuracion!$B$11,0),0))</f>
        <v/>
      </c>
      <c r="K1827" s="89">
        <f>IF(H1827="","",H1827+J1827)</f>
        <v/>
      </c>
      <c r="L1827" s="13">
        <f>IF(B1827="","",YEAR(B1827))</f>
        <v/>
      </c>
      <c r="M1827" s="13">
        <f>IF(B1827="","",MONTH(B1827))</f>
        <v/>
      </c>
      <c r="N1827" s="9" t="n"/>
      <c r="O1827" s="9" t="n"/>
      <c r="P1827" s="9" t="n"/>
      <c r="Q1827" s="9" t="n"/>
    </row>
    <row r="1828">
      <c r="A1828" s="9" t="n"/>
      <c r="B1828" s="70" t="n"/>
      <c r="C1828" s="9" t="n"/>
      <c r="D1828" s="9" t="n"/>
      <c r="E1828" s="9" t="n"/>
      <c r="F1828" s="9" t="n"/>
      <c r="G1828" s="9" t="n"/>
      <c r="H1828" s="71" t="n"/>
      <c r="I1828" s="9" t="n"/>
      <c r="J1828" s="89">
        <f>IF(H1828="","",IF(I1828="Sí",ROUND(H1828*Configuracion!$B$11,0),0))</f>
        <v/>
      </c>
      <c r="K1828" s="89">
        <f>IF(H1828="","",H1828+J1828)</f>
        <v/>
      </c>
      <c r="L1828" s="13">
        <f>IF(B1828="","",YEAR(B1828))</f>
        <v/>
      </c>
      <c r="M1828" s="13">
        <f>IF(B1828="","",MONTH(B1828))</f>
        <v/>
      </c>
      <c r="N1828" s="9" t="n"/>
      <c r="O1828" s="9" t="n"/>
      <c r="P1828" s="9" t="n"/>
      <c r="Q1828" s="9" t="n"/>
    </row>
    <row r="1829">
      <c r="A1829" s="9" t="n"/>
      <c r="B1829" s="70" t="n"/>
      <c r="C1829" s="9" t="n"/>
      <c r="D1829" s="9" t="n"/>
      <c r="E1829" s="9" t="n"/>
      <c r="F1829" s="9" t="n"/>
      <c r="G1829" s="9" t="n"/>
      <c r="H1829" s="71" t="n"/>
      <c r="I1829" s="9" t="n"/>
      <c r="J1829" s="89">
        <f>IF(H1829="","",IF(I1829="Sí",ROUND(H1829*Configuracion!$B$11,0),0))</f>
        <v/>
      </c>
      <c r="K1829" s="89">
        <f>IF(H1829="","",H1829+J1829)</f>
        <v/>
      </c>
      <c r="L1829" s="13">
        <f>IF(B1829="","",YEAR(B1829))</f>
        <v/>
      </c>
      <c r="M1829" s="13">
        <f>IF(B1829="","",MONTH(B1829))</f>
        <v/>
      </c>
      <c r="N1829" s="9" t="n"/>
      <c r="O1829" s="9" t="n"/>
      <c r="P1829" s="9" t="n"/>
      <c r="Q1829" s="9" t="n"/>
    </row>
    <row r="1830">
      <c r="A1830" s="9" t="n"/>
      <c r="B1830" s="70" t="n"/>
      <c r="C1830" s="9" t="n"/>
      <c r="D1830" s="9" t="n"/>
      <c r="E1830" s="9" t="n"/>
      <c r="F1830" s="9" t="n"/>
      <c r="G1830" s="9" t="n"/>
      <c r="H1830" s="71" t="n"/>
      <c r="I1830" s="9" t="n"/>
      <c r="J1830" s="89">
        <f>IF(H1830="","",IF(I1830="Sí",ROUND(H1830*Configuracion!$B$11,0),0))</f>
        <v/>
      </c>
      <c r="K1830" s="89">
        <f>IF(H1830="","",H1830+J1830)</f>
        <v/>
      </c>
      <c r="L1830" s="13">
        <f>IF(B1830="","",YEAR(B1830))</f>
        <v/>
      </c>
      <c r="M1830" s="13">
        <f>IF(B1830="","",MONTH(B1830))</f>
        <v/>
      </c>
      <c r="N1830" s="9" t="n"/>
      <c r="O1830" s="9" t="n"/>
      <c r="P1830" s="9" t="n"/>
      <c r="Q1830" s="9" t="n"/>
    </row>
    <row r="1831">
      <c r="A1831" s="9" t="n"/>
      <c r="B1831" s="70" t="n"/>
      <c r="C1831" s="9" t="n"/>
      <c r="D1831" s="9" t="n"/>
      <c r="E1831" s="9" t="n"/>
      <c r="F1831" s="9" t="n"/>
      <c r="G1831" s="9" t="n"/>
      <c r="H1831" s="71" t="n"/>
      <c r="I1831" s="9" t="n"/>
      <c r="J1831" s="89">
        <f>IF(H1831="","",IF(I1831="Sí",ROUND(H1831*Configuracion!$B$11,0),0))</f>
        <v/>
      </c>
      <c r="K1831" s="89">
        <f>IF(H1831="","",H1831+J1831)</f>
        <v/>
      </c>
      <c r="L1831" s="13">
        <f>IF(B1831="","",YEAR(B1831))</f>
        <v/>
      </c>
      <c r="M1831" s="13">
        <f>IF(B1831="","",MONTH(B1831))</f>
        <v/>
      </c>
      <c r="N1831" s="9" t="n"/>
      <c r="O1831" s="9" t="n"/>
      <c r="P1831" s="9" t="n"/>
      <c r="Q1831" s="9" t="n"/>
    </row>
    <row r="1832">
      <c r="A1832" s="9" t="n"/>
      <c r="B1832" s="70" t="n"/>
      <c r="C1832" s="9" t="n"/>
      <c r="D1832" s="9" t="n"/>
      <c r="E1832" s="9" t="n"/>
      <c r="F1832" s="9" t="n"/>
      <c r="G1832" s="9" t="n"/>
      <c r="H1832" s="71" t="n"/>
      <c r="I1832" s="9" t="n"/>
      <c r="J1832" s="89">
        <f>IF(H1832="","",IF(I1832="Sí",ROUND(H1832*Configuracion!$B$11,0),0))</f>
        <v/>
      </c>
      <c r="K1832" s="89">
        <f>IF(H1832="","",H1832+J1832)</f>
        <v/>
      </c>
      <c r="L1832" s="13">
        <f>IF(B1832="","",YEAR(B1832))</f>
        <v/>
      </c>
      <c r="M1832" s="13">
        <f>IF(B1832="","",MONTH(B1832))</f>
        <v/>
      </c>
      <c r="N1832" s="9" t="n"/>
      <c r="O1832" s="9" t="n"/>
      <c r="P1832" s="9" t="n"/>
      <c r="Q1832" s="9" t="n"/>
    </row>
    <row r="1833">
      <c r="A1833" s="9" t="n"/>
      <c r="B1833" s="70" t="n"/>
      <c r="C1833" s="9" t="n"/>
      <c r="D1833" s="9" t="n"/>
      <c r="E1833" s="9" t="n"/>
      <c r="F1833" s="9" t="n"/>
      <c r="G1833" s="9" t="n"/>
      <c r="H1833" s="71" t="n"/>
      <c r="I1833" s="9" t="n"/>
      <c r="J1833" s="89">
        <f>IF(H1833="","",IF(I1833="Sí",ROUND(H1833*Configuracion!$B$11,0),0))</f>
        <v/>
      </c>
      <c r="K1833" s="89">
        <f>IF(H1833="","",H1833+J1833)</f>
        <v/>
      </c>
      <c r="L1833" s="13">
        <f>IF(B1833="","",YEAR(B1833))</f>
        <v/>
      </c>
      <c r="M1833" s="13">
        <f>IF(B1833="","",MONTH(B1833))</f>
        <v/>
      </c>
      <c r="N1833" s="9" t="n"/>
      <c r="O1833" s="9" t="n"/>
      <c r="P1833" s="9" t="n"/>
      <c r="Q1833" s="9" t="n"/>
    </row>
    <row r="1834">
      <c r="A1834" s="9" t="n"/>
      <c r="B1834" s="70" t="n"/>
      <c r="C1834" s="9" t="n"/>
      <c r="D1834" s="9" t="n"/>
      <c r="E1834" s="9" t="n"/>
      <c r="F1834" s="9" t="n"/>
      <c r="G1834" s="9" t="n"/>
      <c r="H1834" s="71" t="n"/>
      <c r="I1834" s="9" t="n"/>
      <c r="J1834" s="89">
        <f>IF(H1834="","",IF(I1834="Sí",ROUND(H1834*Configuracion!$B$11,0),0))</f>
        <v/>
      </c>
      <c r="K1834" s="89">
        <f>IF(H1834="","",H1834+J1834)</f>
        <v/>
      </c>
      <c r="L1834" s="13">
        <f>IF(B1834="","",YEAR(B1834))</f>
        <v/>
      </c>
      <c r="M1834" s="13">
        <f>IF(B1834="","",MONTH(B1834))</f>
        <v/>
      </c>
      <c r="N1834" s="9" t="n"/>
      <c r="O1834" s="9" t="n"/>
      <c r="P1834" s="9" t="n"/>
      <c r="Q1834" s="9" t="n"/>
    </row>
    <row r="1835">
      <c r="A1835" s="9" t="n"/>
      <c r="B1835" s="70" t="n"/>
      <c r="C1835" s="9" t="n"/>
      <c r="D1835" s="9" t="n"/>
      <c r="E1835" s="9" t="n"/>
      <c r="F1835" s="9" t="n"/>
      <c r="G1835" s="9" t="n"/>
      <c r="H1835" s="71" t="n"/>
      <c r="I1835" s="9" t="n"/>
      <c r="J1835" s="89">
        <f>IF(H1835="","",IF(I1835="Sí",ROUND(H1835*Configuracion!$B$11,0),0))</f>
        <v/>
      </c>
      <c r="K1835" s="89">
        <f>IF(H1835="","",H1835+J1835)</f>
        <v/>
      </c>
      <c r="L1835" s="13">
        <f>IF(B1835="","",YEAR(B1835))</f>
        <v/>
      </c>
      <c r="M1835" s="13">
        <f>IF(B1835="","",MONTH(B1835))</f>
        <v/>
      </c>
      <c r="N1835" s="9" t="n"/>
      <c r="O1835" s="9" t="n"/>
      <c r="P1835" s="9" t="n"/>
      <c r="Q1835" s="9" t="n"/>
    </row>
    <row r="1836">
      <c r="A1836" s="9" t="n"/>
      <c r="B1836" s="70" t="n"/>
      <c r="C1836" s="9" t="n"/>
      <c r="D1836" s="9" t="n"/>
      <c r="E1836" s="9" t="n"/>
      <c r="F1836" s="9" t="n"/>
      <c r="G1836" s="9" t="n"/>
      <c r="H1836" s="71" t="n"/>
      <c r="I1836" s="9" t="n"/>
      <c r="J1836" s="89">
        <f>IF(H1836="","",IF(I1836="Sí",ROUND(H1836*Configuracion!$B$11,0),0))</f>
        <v/>
      </c>
      <c r="K1836" s="89">
        <f>IF(H1836="","",H1836+J1836)</f>
        <v/>
      </c>
      <c r="L1836" s="13">
        <f>IF(B1836="","",YEAR(B1836))</f>
        <v/>
      </c>
      <c r="M1836" s="13">
        <f>IF(B1836="","",MONTH(B1836))</f>
        <v/>
      </c>
      <c r="N1836" s="9" t="n"/>
      <c r="O1836" s="9" t="n"/>
      <c r="P1836" s="9" t="n"/>
      <c r="Q1836" s="9" t="n"/>
    </row>
    <row r="1837">
      <c r="A1837" s="9" t="n"/>
      <c r="B1837" s="70" t="n"/>
      <c r="C1837" s="9" t="n"/>
      <c r="D1837" s="9" t="n"/>
      <c r="E1837" s="9" t="n"/>
      <c r="F1837" s="9" t="n"/>
      <c r="G1837" s="9" t="n"/>
      <c r="H1837" s="71" t="n"/>
      <c r="I1837" s="9" t="n"/>
      <c r="J1837" s="89">
        <f>IF(H1837="","",IF(I1837="Sí",ROUND(H1837*Configuracion!$B$11,0),0))</f>
        <v/>
      </c>
      <c r="K1837" s="89">
        <f>IF(H1837="","",H1837+J1837)</f>
        <v/>
      </c>
      <c r="L1837" s="13">
        <f>IF(B1837="","",YEAR(B1837))</f>
        <v/>
      </c>
      <c r="M1837" s="13">
        <f>IF(B1837="","",MONTH(B1837))</f>
        <v/>
      </c>
      <c r="N1837" s="9" t="n"/>
      <c r="O1837" s="9" t="n"/>
      <c r="P1837" s="9" t="n"/>
      <c r="Q1837" s="9" t="n"/>
    </row>
    <row r="1838">
      <c r="A1838" s="9" t="n"/>
      <c r="B1838" s="70" t="n"/>
      <c r="C1838" s="9" t="n"/>
      <c r="D1838" s="9" t="n"/>
      <c r="E1838" s="9" t="n"/>
      <c r="F1838" s="9" t="n"/>
      <c r="G1838" s="9" t="n"/>
      <c r="H1838" s="71" t="n"/>
      <c r="I1838" s="9" t="n"/>
      <c r="J1838" s="89">
        <f>IF(H1838="","",IF(I1838="Sí",ROUND(H1838*Configuracion!$B$11,0),0))</f>
        <v/>
      </c>
      <c r="K1838" s="89">
        <f>IF(H1838="","",H1838+J1838)</f>
        <v/>
      </c>
      <c r="L1838" s="13">
        <f>IF(B1838="","",YEAR(B1838))</f>
        <v/>
      </c>
      <c r="M1838" s="13">
        <f>IF(B1838="","",MONTH(B1838))</f>
        <v/>
      </c>
      <c r="N1838" s="9" t="n"/>
      <c r="O1838" s="9" t="n"/>
      <c r="P1838" s="9" t="n"/>
      <c r="Q1838" s="9" t="n"/>
    </row>
    <row r="1839">
      <c r="A1839" s="9" t="n"/>
      <c r="B1839" s="70" t="n"/>
      <c r="C1839" s="9" t="n"/>
      <c r="D1839" s="9" t="n"/>
      <c r="E1839" s="9" t="n"/>
      <c r="F1839" s="9" t="n"/>
      <c r="G1839" s="9" t="n"/>
      <c r="H1839" s="71" t="n"/>
      <c r="I1839" s="9" t="n"/>
      <c r="J1839" s="89">
        <f>IF(H1839="","",IF(I1839="Sí",ROUND(H1839*Configuracion!$B$11,0),0))</f>
        <v/>
      </c>
      <c r="K1839" s="89">
        <f>IF(H1839="","",H1839+J1839)</f>
        <v/>
      </c>
      <c r="L1839" s="13">
        <f>IF(B1839="","",YEAR(B1839))</f>
        <v/>
      </c>
      <c r="M1839" s="13">
        <f>IF(B1839="","",MONTH(B1839))</f>
        <v/>
      </c>
      <c r="N1839" s="9" t="n"/>
      <c r="O1839" s="9" t="n"/>
      <c r="P1839" s="9" t="n"/>
      <c r="Q1839" s="9" t="n"/>
    </row>
    <row r="1840">
      <c r="A1840" s="9" t="n"/>
      <c r="B1840" s="70" t="n"/>
      <c r="C1840" s="9" t="n"/>
      <c r="D1840" s="9" t="n"/>
      <c r="E1840" s="9" t="n"/>
      <c r="F1840" s="9" t="n"/>
      <c r="G1840" s="9" t="n"/>
      <c r="H1840" s="71" t="n"/>
      <c r="I1840" s="9" t="n"/>
      <c r="J1840" s="89">
        <f>IF(H1840="","",IF(I1840="Sí",ROUND(H1840*Configuracion!$B$11,0),0))</f>
        <v/>
      </c>
      <c r="K1840" s="89">
        <f>IF(H1840="","",H1840+J1840)</f>
        <v/>
      </c>
      <c r="L1840" s="13">
        <f>IF(B1840="","",YEAR(B1840))</f>
        <v/>
      </c>
      <c r="M1840" s="13">
        <f>IF(B1840="","",MONTH(B1840))</f>
        <v/>
      </c>
      <c r="N1840" s="9" t="n"/>
      <c r="O1840" s="9" t="n"/>
      <c r="P1840" s="9" t="n"/>
      <c r="Q1840" s="9" t="n"/>
    </row>
    <row r="1841">
      <c r="A1841" s="9" t="n"/>
      <c r="B1841" s="70" t="n"/>
      <c r="C1841" s="9" t="n"/>
      <c r="D1841" s="9" t="n"/>
      <c r="E1841" s="9" t="n"/>
      <c r="F1841" s="9" t="n"/>
      <c r="G1841" s="9" t="n"/>
      <c r="H1841" s="71" t="n"/>
      <c r="I1841" s="9" t="n"/>
      <c r="J1841" s="89">
        <f>IF(H1841="","",IF(I1841="Sí",ROUND(H1841*Configuracion!$B$11,0),0))</f>
        <v/>
      </c>
      <c r="K1841" s="89">
        <f>IF(H1841="","",H1841+J1841)</f>
        <v/>
      </c>
      <c r="L1841" s="13">
        <f>IF(B1841="","",YEAR(B1841))</f>
        <v/>
      </c>
      <c r="M1841" s="13">
        <f>IF(B1841="","",MONTH(B1841))</f>
        <v/>
      </c>
      <c r="N1841" s="9" t="n"/>
      <c r="O1841" s="9" t="n"/>
      <c r="P1841" s="9" t="n"/>
      <c r="Q1841" s="9" t="n"/>
    </row>
    <row r="1842">
      <c r="A1842" s="9" t="n"/>
      <c r="B1842" s="70" t="n"/>
      <c r="C1842" s="9" t="n"/>
      <c r="D1842" s="9" t="n"/>
      <c r="E1842" s="9" t="n"/>
      <c r="F1842" s="9" t="n"/>
      <c r="G1842" s="9" t="n"/>
      <c r="H1842" s="71" t="n"/>
      <c r="I1842" s="9" t="n"/>
      <c r="J1842" s="89">
        <f>IF(H1842="","",IF(I1842="Sí",ROUND(H1842*Configuracion!$B$11,0),0))</f>
        <v/>
      </c>
      <c r="K1842" s="89">
        <f>IF(H1842="","",H1842+J1842)</f>
        <v/>
      </c>
      <c r="L1842" s="13">
        <f>IF(B1842="","",YEAR(B1842))</f>
        <v/>
      </c>
      <c r="M1842" s="13">
        <f>IF(B1842="","",MONTH(B1842))</f>
        <v/>
      </c>
      <c r="N1842" s="9" t="n"/>
      <c r="O1842" s="9" t="n"/>
      <c r="P1842" s="9" t="n"/>
      <c r="Q1842" s="9" t="n"/>
    </row>
    <row r="1843">
      <c r="A1843" s="9" t="n"/>
      <c r="B1843" s="70" t="n"/>
      <c r="C1843" s="9" t="n"/>
      <c r="D1843" s="9" t="n"/>
      <c r="E1843" s="9" t="n"/>
      <c r="F1843" s="9" t="n"/>
      <c r="G1843" s="9" t="n"/>
      <c r="H1843" s="71" t="n"/>
      <c r="I1843" s="9" t="n"/>
      <c r="J1843" s="89">
        <f>IF(H1843="","",IF(I1843="Sí",ROUND(H1843*Configuracion!$B$11,0),0))</f>
        <v/>
      </c>
      <c r="K1843" s="89">
        <f>IF(H1843="","",H1843+J1843)</f>
        <v/>
      </c>
      <c r="L1843" s="13">
        <f>IF(B1843="","",YEAR(B1843))</f>
        <v/>
      </c>
      <c r="M1843" s="13">
        <f>IF(B1843="","",MONTH(B1843))</f>
        <v/>
      </c>
      <c r="N1843" s="9" t="n"/>
      <c r="O1843" s="9" t="n"/>
      <c r="P1843" s="9" t="n"/>
      <c r="Q1843" s="9" t="n"/>
    </row>
    <row r="1844">
      <c r="A1844" s="9" t="n"/>
      <c r="B1844" s="70" t="n"/>
      <c r="C1844" s="9" t="n"/>
      <c r="D1844" s="9" t="n"/>
      <c r="E1844" s="9" t="n"/>
      <c r="F1844" s="9" t="n"/>
      <c r="G1844" s="9" t="n"/>
      <c r="H1844" s="71" t="n"/>
      <c r="I1844" s="9" t="n"/>
      <c r="J1844" s="89">
        <f>IF(H1844="","",IF(I1844="Sí",ROUND(H1844*Configuracion!$B$11,0),0))</f>
        <v/>
      </c>
      <c r="K1844" s="89">
        <f>IF(H1844="","",H1844+J1844)</f>
        <v/>
      </c>
      <c r="L1844" s="13">
        <f>IF(B1844="","",YEAR(B1844))</f>
        <v/>
      </c>
      <c r="M1844" s="13">
        <f>IF(B1844="","",MONTH(B1844))</f>
        <v/>
      </c>
      <c r="N1844" s="9" t="n"/>
      <c r="O1844" s="9" t="n"/>
      <c r="P1844" s="9" t="n"/>
      <c r="Q1844" s="9" t="n"/>
    </row>
    <row r="1845">
      <c r="A1845" s="9" t="n"/>
      <c r="B1845" s="70" t="n"/>
      <c r="C1845" s="9" t="n"/>
      <c r="D1845" s="9" t="n"/>
      <c r="E1845" s="9" t="n"/>
      <c r="F1845" s="9" t="n"/>
      <c r="G1845" s="9" t="n"/>
      <c r="H1845" s="71" t="n"/>
      <c r="I1845" s="9" t="n"/>
      <c r="J1845" s="89">
        <f>IF(H1845="","",IF(I1845="Sí",ROUND(H1845*Configuracion!$B$11,0),0))</f>
        <v/>
      </c>
      <c r="K1845" s="89">
        <f>IF(H1845="","",H1845+J1845)</f>
        <v/>
      </c>
      <c r="L1845" s="13">
        <f>IF(B1845="","",YEAR(B1845))</f>
        <v/>
      </c>
      <c r="M1845" s="13">
        <f>IF(B1845="","",MONTH(B1845))</f>
        <v/>
      </c>
      <c r="N1845" s="9" t="n"/>
      <c r="O1845" s="9" t="n"/>
      <c r="P1845" s="9" t="n"/>
      <c r="Q1845" s="9" t="n"/>
    </row>
    <row r="1846">
      <c r="A1846" s="9" t="n"/>
      <c r="B1846" s="70" t="n"/>
      <c r="C1846" s="9" t="n"/>
      <c r="D1846" s="9" t="n"/>
      <c r="E1846" s="9" t="n"/>
      <c r="F1846" s="9" t="n"/>
      <c r="G1846" s="9" t="n"/>
      <c r="H1846" s="71" t="n"/>
      <c r="I1846" s="9" t="n"/>
      <c r="J1846" s="89">
        <f>IF(H1846="","",IF(I1846="Sí",ROUND(H1846*Configuracion!$B$11,0),0))</f>
        <v/>
      </c>
      <c r="K1846" s="89">
        <f>IF(H1846="","",H1846+J1846)</f>
        <v/>
      </c>
      <c r="L1846" s="13">
        <f>IF(B1846="","",YEAR(B1846))</f>
        <v/>
      </c>
      <c r="M1846" s="13">
        <f>IF(B1846="","",MONTH(B1846))</f>
        <v/>
      </c>
      <c r="N1846" s="9" t="n"/>
      <c r="O1846" s="9" t="n"/>
      <c r="P1846" s="9" t="n"/>
      <c r="Q1846" s="9" t="n"/>
    </row>
    <row r="1847">
      <c r="A1847" s="9" t="n"/>
      <c r="B1847" s="70" t="n"/>
      <c r="C1847" s="9" t="n"/>
      <c r="D1847" s="9" t="n"/>
      <c r="E1847" s="9" t="n"/>
      <c r="F1847" s="9" t="n"/>
      <c r="G1847" s="9" t="n"/>
      <c r="H1847" s="71" t="n"/>
      <c r="I1847" s="9" t="n"/>
      <c r="J1847" s="89">
        <f>IF(H1847="","",IF(I1847="Sí",ROUND(H1847*Configuracion!$B$11,0),0))</f>
        <v/>
      </c>
      <c r="K1847" s="89">
        <f>IF(H1847="","",H1847+J1847)</f>
        <v/>
      </c>
      <c r="L1847" s="13">
        <f>IF(B1847="","",YEAR(B1847))</f>
        <v/>
      </c>
      <c r="M1847" s="13">
        <f>IF(B1847="","",MONTH(B1847))</f>
        <v/>
      </c>
      <c r="N1847" s="9" t="n"/>
      <c r="O1847" s="9" t="n"/>
      <c r="P1847" s="9" t="n"/>
      <c r="Q1847" s="9" t="n"/>
    </row>
    <row r="1848">
      <c r="A1848" s="9" t="n"/>
      <c r="B1848" s="70" t="n"/>
      <c r="C1848" s="9" t="n"/>
      <c r="D1848" s="9" t="n"/>
      <c r="E1848" s="9" t="n"/>
      <c r="F1848" s="9" t="n"/>
      <c r="G1848" s="9" t="n"/>
      <c r="H1848" s="71" t="n"/>
      <c r="I1848" s="9" t="n"/>
      <c r="J1848" s="89">
        <f>IF(H1848="","",IF(I1848="Sí",ROUND(H1848*Configuracion!$B$11,0),0))</f>
        <v/>
      </c>
      <c r="K1848" s="89">
        <f>IF(H1848="","",H1848+J1848)</f>
        <v/>
      </c>
      <c r="L1848" s="13">
        <f>IF(B1848="","",YEAR(B1848))</f>
        <v/>
      </c>
      <c r="M1848" s="13">
        <f>IF(B1848="","",MONTH(B1848))</f>
        <v/>
      </c>
      <c r="N1848" s="9" t="n"/>
      <c r="O1848" s="9" t="n"/>
      <c r="P1848" s="9" t="n"/>
      <c r="Q1848" s="9" t="n"/>
    </row>
    <row r="1849">
      <c r="A1849" s="9" t="n"/>
      <c r="B1849" s="70" t="n"/>
      <c r="C1849" s="9" t="n"/>
      <c r="D1849" s="9" t="n"/>
      <c r="E1849" s="9" t="n"/>
      <c r="F1849" s="9" t="n"/>
      <c r="G1849" s="9" t="n"/>
      <c r="H1849" s="71" t="n"/>
      <c r="I1849" s="9" t="n"/>
      <c r="J1849" s="89">
        <f>IF(H1849="","",IF(I1849="Sí",ROUND(H1849*Configuracion!$B$11,0),0))</f>
        <v/>
      </c>
      <c r="K1849" s="89">
        <f>IF(H1849="","",H1849+J1849)</f>
        <v/>
      </c>
      <c r="L1849" s="13">
        <f>IF(B1849="","",YEAR(B1849))</f>
        <v/>
      </c>
      <c r="M1849" s="13">
        <f>IF(B1849="","",MONTH(B1849))</f>
        <v/>
      </c>
      <c r="N1849" s="9" t="n"/>
      <c r="O1849" s="9" t="n"/>
      <c r="P1849" s="9" t="n"/>
      <c r="Q1849" s="9" t="n"/>
    </row>
    <row r="1850">
      <c r="A1850" s="9" t="n"/>
      <c r="B1850" s="70" t="n"/>
      <c r="C1850" s="9" t="n"/>
      <c r="D1850" s="9" t="n"/>
      <c r="E1850" s="9" t="n"/>
      <c r="F1850" s="9" t="n"/>
      <c r="G1850" s="9" t="n"/>
      <c r="H1850" s="71" t="n"/>
      <c r="I1850" s="9" t="n"/>
      <c r="J1850" s="89">
        <f>IF(H1850="","",IF(I1850="Sí",ROUND(H1850*Configuracion!$B$11,0),0))</f>
        <v/>
      </c>
      <c r="K1850" s="89">
        <f>IF(H1850="","",H1850+J1850)</f>
        <v/>
      </c>
      <c r="L1850" s="13">
        <f>IF(B1850="","",YEAR(B1850))</f>
        <v/>
      </c>
      <c r="M1850" s="13">
        <f>IF(B1850="","",MONTH(B1850))</f>
        <v/>
      </c>
      <c r="N1850" s="9" t="n"/>
      <c r="O1850" s="9" t="n"/>
      <c r="P1850" s="9" t="n"/>
      <c r="Q1850" s="9" t="n"/>
    </row>
    <row r="1851">
      <c r="A1851" s="9" t="n"/>
      <c r="B1851" s="70" t="n"/>
      <c r="C1851" s="9" t="n"/>
      <c r="D1851" s="9" t="n"/>
      <c r="E1851" s="9" t="n"/>
      <c r="F1851" s="9" t="n"/>
      <c r="G1851" s="9" t="n"/>
      <c r="H1851" s="71" t="n"/>
      <c r="I1851" s="9" t="n"/>
      <c r="J1851" s="89">
        <f>IF(H1851="","",IF(I1851="Sí",ROUND(H1851*Configuracion!$B$11,0),0))</f>
        <v/>
      </c>
      <c r="K1851" s="89">
        <f>IF(H1851="","",H1851+J1851)</f>
        <v/>
      </c>
      <c r="L1851" s="13">
        <f>IF(B1851="","",YEAR(B1851))</f>
        <v/>
      </c>
      <c r="M1851" s="13">
        <f>IF(B1851="","",MONTH(B1851))</f>
        <v/>
      </c>
      <c r="N1851" s="9" t="n"/>
      <c r="O1851" s="9" t="n"/>
      <c r="P1851" s="9" t="n"/>
      <c r="Q1851" s="9" t="n"/>
    </row>
    <row r="1852">
      <c r="A1852" s="9" t="n"/>
      <c r="B1852" s="70" t="n"/>
      <c r="C1852" s="9" t="n"/>
      <c r="D1852" s="9" t="n"/>
      <c r="E1852" s="9" t="n"/>
      <c r="F1852" s="9" t="n"/>
      <c r="G1852" s="9" t="n"/>
      <c r="H1852" s="71" t="n"/>
      <c r="I1852" s="9" t="n"/>
      <c r="J1852" s="89">
        <f>IF(H1852="","",IF(I1852="Sí",ROUND(H1852*Configuracion!$B$11,0),0))</f>
        <v/>
      </c>
      <c r="K1852" s="89">
        <f>IF(H1852="","",H1852+J1852)</f>
        <v/>
      </c>
      <c r="L1852" s="13">
        <f>IF(B1852="","",YEAR(B1852))</f>
        <v/>
      </c>
      <c r="M1852" s="13">
        <f>IF(B1852="","",MONTH(B1852))</f>
        <v/>
      </c>
      <c r="N1852" s="9" t="n"/>
      <c r="O1852" s="9" t="n"/>
      <c r="P1852" s="9" t="n"/>
      <c r="Q1852" s="9" t="n"/>
    </row>
    <row r="1853">
      <c r="A1853" s="9" t="n"/>
      <c r="B1853" s="70" t="n"/>
      <c r="C1853" s="9" t="n"/>
      <c r="D1853" s="9" t="n"/>
      <c r="E1853" s="9" t="n"/>
      <c r="F1853" s="9" t="n"/>
      <c r="G1853" s="9" t="n"/>
      <c r="H1853" s="71" t="n"/>
      <c r="I1853" s="9" t="n"/>
      <c r="J1853" s="89">
        <f>IF(H1853="","",IF(I1853="Sí",ROUND(H1853*Configuracion!$B$11,0),0))</f>
        <v/>
      </c>
      <c r="K1853" s="89">
        <f>IF(H1853="","",H1853+J1853)</f>
        <v/>
      </c>
      <c r="L1853" s="13">
        <f>IF(B1853="","",YEAR(B1853))</f>
        <v/>
      </c>
      <c r="M1853" s="13">
        <f>IF(B1853="","",MONTH(B1853))</f>
        <v/>
      </c>
      <c r="N1853" s="9" t="n"/>
      <c r="O1853" s="9" t="n"/>
      <c r="P1853" s="9" t="n"/>
      <c r="Q1853" s="9" t="n"/>
    </row>
    <row r="1854">
      <c r="A1854" s="9" t="n"/>
      <c r="B1854" s="70" t="n"/>
      <c r="C1854" s="9" t="n"/>
      <c r="D1854" s="9" t="n"/>
      <c r="E1854" s="9" t="n"/>
      <c r="F1854" s="9" t="n"/>
      <c r="G1854" s="9" t="n"/>
      <c r="H1854" s="71" t="n"/>
      <c r="I1854" s="9" t="n"/>
      <c r="J1854" s="89">
        <f>IF(H1854="","",IF(I1854="Sí",ROUND(H1854*Configuracion!$B$11,0),0))</f>
        <v/>
      </c>
      <c r="K1854" s="89">
        <f>IF(H1854="","",H1854+J1854)</f>
        <v/>
      </c>
      <c r="L1854" s="13">
        <f>IF(B1854="","",YEAR(B1854))</f>
        <v/>
      </c>
      <c r="M1854" s="13">
        <f>IF(B1854="","",MONTH(B1854))</f>
        <v/>
      </c>
      <c r="N1854" s="9" t="n"/>
      <c r="O1854" s="9" t="n"/>
      <c r="P1854" s="9" t="n"/>
      <c r="Q1854" s="9" t="n"/>
    </row>
    <row r="1855">
      <c r="A1855" s="9" t="n"/>
      <c r="B1855" s="70" t="n"/>
      <c r="C1855" s="9" t="n"/>
      <c r="D1855" s="9" t="n"/>
      <c r="E1855" s="9" t="n"/>
      <c r="F1855" s="9" t="n"/>
      <c r="G1855" s="9" t="n"/>
      <c r="H1855" s="71" t="n"/>
      <c r="I1855" s="9" t="n"/>
      <c r="J1855" s="89">
        <f>IF(H1855="","",IF(I1855="Sí",ROUND(H1855*Configuracion!$B$11,0),0))</f>
        <v/>
      </c>
      <c r="K1855" s="89">
        <f>IF(H1855="","",H1855+J1855)</f>
        <v/>
      </c>
      <c r="L1855" s="13">
        <f>IF(B1855="","",YEAR(B1855))</f>
        <v/>
      </c>
      <c r="M1855" s="13">
        <f>IF(B1855="","",MONTH(B1855))</f>
        <v/>
      </c>
      <c r="N1855" s="9" t="n"/>
      <c r="O1855" s="9" t="n"/>
      <c r="P1855" s="9" t="n"/>
      <c r="Q1855" s="9" t="n"/>
    </row>
    <row r="1856">
      <c r="A1856" s="9" t="n"/>
      <c r="B1856" s="70" t="n"/>
      <c r="C1856" s="9" t="n"/>
      <c r="D1856" s="9" t="n"/>
      <c r="E1856" s="9" t="n"/>
      <c r="F1856" s="9" t="n"/>
      <c r="G1856" s="9" t="n"/>
      <c r="H1856" s="71" t="n"/>
      <c r="I1856" s="9" t="n"/>
      <c r="J1856" s="89">
        <f>IF(H1856="","",IF(I1856="Sí",ROUND(H1856*Configuracion!$B$11,0),0))</f>
        <v/>
      </c>
      <c r="K1856" s="89">
        <f>IF(H1856="","",H1856+J1856)</f>
        <v/>
      </c>
      <c r="L1856" s="13">
        <f>IF(B1856="","",YEAR(B1856))</f>
        <v/>
      </c>
      <c r="M1856" s="13">
        <f>IF(B1856="","",MONTH(B1856))</f>
        <v/>
      </c>
      <c r="N1856" s="9" t="n"/>
      <c r="O1856" s="9" t="n"/>
      <c r="P1856" s="9" t="n"/>
      <c r="Q1856" s="9" t="n"/>
    </row>
    <row r="1857">
      <c r="A1857" s="9" t="n"/>
      <c r="B1857" s="70" t="n"/>
      <c r="C1857" s="9" t="n"/>
      <c r="D1857" s="9" t="n"/>
      <c r="E1857" s="9" t="n"/>
      <c r="F1857" s="9" t="n"/>
      <c r="G1857" s="9" t="n"/>
      <c r="H1857" s="71" t="n"/>
      <c r="I1857" s="9" t="n"/>
      <c r="J1857" s="89">
        <f>IF(H1857="","",IF(I1857="Sí",ROUND(H1857*Configuracion!$B$11,0),0))</f>
        <v/>
      </c>
      <c r="K1857" s="89">
        <f>IF(H1857="","",H1857+J1857)</f>
        <v/>
      </c>
      <c r="L1857" s="13">
        <f>IF(B1857="","",YEAR(B1857))</f>
        <v/>
      </c>
      <c r="M1857" s="13">
        <f>IF(B1857="","",MONTH(B1857))</f>
        <v/>
      </c>
      <c r="N1857" s="9" t="n"/>
      <c r="O1857" s="9" t="n"/>
      <c r="P1857" s="9" t="n"/>
      <c r="Q1857" s="9" t="n"/>
    </row>
    <row r="1858">
      <c r="A1858" s="9" t="n"/>
      <c r="B1858" s="70" t="n"/>
      <c r="C1858" s="9" t="n"/>
      <c r="D1858" s="9" t="n"/>
      <c r="E1858" s="9" t="n"/>
      <c r="F1858" s="9" t="n"/>
      <c r="G1858" s="9" t="n"/>
      <c r="H1858" s="71" t="n"/>
      <c r="I1858" s="9" t="n"/>
      <c r="J1858" s="89">
        <f>IF(H1858="","",IF(I1858="Sí",ROUND(H1858*Configuracion!$B$11,0),0))</f>
        <v/>
      </c>
      <c r="K1858" s="89">
        <f>IF(H1858="","",H1858+J1858)</f>
        <v/>
      </c>
      <c r="L1858" s="13">
        <f>IF(B1858="","",YEAR(B1858))</f>
        <v/>
      </c>
      <c r="M1858" s="13">
        <f>IF(B1858="","",MONTH(B1858))</f>
        <v/>
      </c>
      <c r="N1858" s="9" t="n"/>
      <c r="O1858" s="9" t="n"/>
      <c r="P1858" s="9" t="n"/>
      <c r="Q1858" s="9" t="n"/>
    </row>
    <row r="1859">
      <c r="A1859" s="9" t="n"/>
      <c r="B1859" s="70" t="n"/>
      <c r="C1859" s="9" t="n"/>
      <c r="D1859" s="9" t="n"/>
      <c r="E1859" s="9" t="n"/>
      <c r="F1859" s="9" t="n"/>
      <c r="G1859" s="9" t="n"/>
      <c r="H1859" s="71" t="n"/>
      <c r="I1859" s="9" t="n"/>
      <c r="J1859" s="89">
        <f>IF(H1859="","",IF(I1859="Sí",ROUND(H1859*Configuracion!$B$11,0),0))</f>
        <v/>
      </c>
      <c r="K1859" s="89">
        <f>IF(H1859="","",H1859+J1859)</f>
        <v/>
      </c>
      <c r="L1859" s="13">
        <f>IF(B1859="","",YEAR(B1859))</f>
        <v/>
      </c>
      <c r="M1859" s="13">
        <f>IF(B1859="","",MONTH(B1859))</f>
        <v/>
      </c>
      <c r="N1859" s="9" t="n"/>
      <c r="O1859" s="9" t="n"/>
      <c r="P1859" s="9" t="n"/>
      <c r="Q1859" s="9" t="n"/>
    </row>
    <row r="1860">
      <c r="A1860" s="9" t="n"/>
      <c r="B1860" s="70" t="n"/>
      <c r="C1860" s="9" t="n"/>
      <c r="D1860" s="9" t="n"/>
      <c r="E1860" s="9" t="n"/>
      <c r="F1860" s="9" t="n"/>
      <c r="G1860" s="9" t="n"/>
      <c r="H1860" s="71" t="n"/>
      <c r="I1860" s="9" t="n"/>
      <c r="J1860" s="89">
        <f>IF(H1860="","",IF(I1860="Sí",ROUND(H1860*Configuracion!$B$11,0),0))</f>
        <v/>
      </c>
      <c r="K1860" s="89">
        <f>IF(H1860="","",H1860+J1860)</f>
        <v/>
      </c>
      <c r="L1860" s="13">
        <f>IF(B1860="","",YEAR(B1860))</f>
        <v/>
      </c>
      <c r="M1860" s="13">
        <f>IF(B1860="","",MONTH(B1860))</f>
        <v/>
      </c>
      <c r="N1860" s="9" t="n"/>
      <c r="O1860" s="9" t="n"/>
      <c r="P1860" s="9" t="n"/>
      <c r="Q1860" s="9" t="n"/>
    </row>
    <row r="1861">
      <c r="A1861" s="9" t="n"/>
      <c r="B1861" s="70" t="n"/>
      <c r="C1861" s="9" t="n"/>
      <c r="D1861" s="9" t="n"/>
      <c r="E1861" s="9" t="n"/>
      <c r="F1861" s="9" t="n"/>
      <c r="G1861" s="9" t="n"/>
      <c r="H1861" s="71" t="n"/>
      <c r="I1861" s="9" t="n"/>
      <c r="J1861" s="89">
        <f>IF(H1861="","",IF(I1861="Sí",ROUND(H1861*Configuracion!$B$11,0),0))</f>
        <v/>
      </c>
      <c r="K1861" s="89">
        <f>IF(H1861="","",H1861+J1861)</f>
        <v/>
      </c>
      <c r="L1861" s="13">
        <f>IF(B1861="","",YEAR(B1861))</f>
        <v/>
      </c>
      <c r="M1861" s="13">
        <f>IF(B1861="","",MONTH(B1861))</f>
        <v/>
      </c>
      <c r="N1861" s="9" t="n"/>
      <c r="O1861" s="9" t="n"/>
      <c r="P1861" s="9" t="n"/>
      <c r="Q1861" s="9" t="n"/>
    </row>
    <row r="1862">
      <c r="A1862" s="9" t="n"/>
      <c r="B1862" s="70" t="n"/>
      <c r="C1862" s="9" t="n"/>
      <c r="D1862" s="9" t="n"/>
      <c r="E1862" s="9" t="n"/>
      <c r="F1862" s="9" t="n"/>
      <c r="G1862" s="9" t="n"/>
      <c r="H1862" s="71" t="n"/>
      <c r="I1862" s="9" t="n"/>
      <c r="J1862" s="89">
        <f>IF(H1862="","",IF(I1862="Sí",ROUND(H1862*Configuracion!$B$11,0),0))</f>
        <v/>
      </c>
      <c r="K1862" s="89">
        <f>IF(H1862="","",H1862+J1862)</f>
        <v/>
      </c>
      <c r="L1862" s="13">
        <f>IF(B1862="","",YEAR(B1862))</f>
        <v/>
      </c>
      <c r="M1862" s="13">
        <f>IF(B1862="","",MONTH(B1862))</f>
        <v/>
      </c>
      <c r="N1862" s="9" t="n"/>
      <c r="O1862" s="9" t="n"/>
      <c r="P1862" s="9" t="n"/>
      <c r="Q1862" s="9" t="n"/>
    </row>
    <row r="1863">
      <c r="A1863" s="9" t="n"/>
      <c r="B1863" s="70" t="n"/>
      <c r="C1863" s="9" t="n"/>
      <c r="D1863" s="9" t="n"/>
      <c r="E1863" s="9" t="n"/>
      <c r="F1863" s="9" t="n"/>
      <c r="G1863" s="9" t="n"/>
      <c r="H1863" s="71" t="n"/>
      <c r="I1863" s="9" t="n"/>
      <c r="J1863" s="89">
        <f>IF(H1863="","",IF(I1863="Sí",ROUND(H1863*Configuracion!$B$11,0),0))</f>
        <v/>
      </c>
      <c r="K1863" s="89">
        <f>IF(H1863="","",H1863+J1863)</f>
        <v/>
      </c>
      <c r="L1863" s="13">
        <f>IF(B1863="","",YEAR(B1863))</f>
        <v/>
      </c>
      <c r="M1863" s="13">
        <f>IF(B1863="","",MONTH(B1863))</f>
        <v/>
      </c>
      <c r="N1863" s="9" t="n"/>
      <c r="O1863" s="9" t="n"/>
      <c r="P1863" s="9" t="n"/>
      <c r="Q1863" s="9" t="n"/>
    </row>
    <row r="1864">
      <c r="A1864" s="9" t="n"/>
      <c r="B1864" s="70" t="n"/>
      <c r="C1864" s="9" t="n"/>
      <c r="D1864" s="9" t="n"/>
      <c r="E1864" s="9" t="n"/>
      <c r="F1864" s="9" t="n"/>
      <c r="G1864" s="9" t="n"/>
      <c r="H1864" s="71" t="n"/>
      <c r="I1864" s="9" t="n"/>
      <c r="J1864" s="89">
        <f>IF(H1864="","",IF(I1864="Sí",ROUND(H1864*Configuracion!$B$11,0),0))</f>
        <v/>
      </c>
      <c r="K1864" s="89">
        <f>IF(H1864="","",H1864+J1864)</f>
        <v/>
      </c>
      <c r="L1864" s="13">
        <f>IF(B1864="","",YEAR(B1864))</f>
        <v/>
      </c>
      <c r="M1864" s="13">
        <f>IF(B1864="","",MONTH(B1864))</f>
        <v/>
      </c>
      <c r="N1864" s="9" t="n"/>
      <c r="O1864" s="9" t="n"/>
      <c r="P1864" s="9" t="n"/>
      <c r="Q1864" s="9" t="n"/>
    </row>
    <row r="1865">
      <c r="A1865" s="9" t="n"/>
      <c r="B1865" s="70" t="n"/>
      <c r="C1865" s="9" t="n"/>
      <c r="D1865" s="9" t="n"/>
      <c r="E1865" s="9" t="n"/>
      <c r="F1865" s="9" t="n"/>
      <c r="G1865" s="9" t="n"/>
      <c r="H1865" s="71" t="n"/>
      <c r="I1865" s="9" t="n"/>
      <c r="J1865" s="89">
        <f>IF(H1865="","",IF(I1865="Sí",ROUND(H1865*Configuracion!$B$11,0),0))</f>
        <v/>
      </c>
      <c r="K1865" s="89">
        <f>IF(H1865="","",H1865+J1865)</f>
        <v/>
      </c>
      <c r="L1865" s="13">
        <f>IF(B1865="","",YEAR(B1865))</f>
        <v/>
      </c>
      <c r="M1865" s="13">
        <f>IF(B1865="","",MONTH(B1865))</f>
        <v/>
      </c>
      <c r="N1865" s="9" t="n"/>
      <c r="O1865" s="9" t="n"/>
      <c r="P1865" s="9" t="n"/>
      <c r="Q1865" s="9" t="n"/>
    </row>
    <row r="1866">
      <c r="A1866" s="9" t="n"/>
      <c r="B1866" s="70" t="n"/>
      <c r="C1866" s="9" t="n"/>
      <c r="D1866" s="9" t="n"/>
      <c r="E1866" s="9" t="n"/>
      <c r="F1866" s="9" t="n"/>
      <c r="G1866" s="9" t="n"/>
      <c r="H1866" s="71" t="n"/>
      <c r="I1866" s="9" t="n"/>
      <c r="J1866" s="89">
        <f>IF(H1866="","",IF(I1866="Sí",ROUND(H1866*Configuracion!$B$11,0),0))</f>
        <v/>
      </c>
      <c r="K1866" s="89">
        <f>IF(H1866="","",H1866+J1866)</f>
        <v/>
      </c>
      <c r="L1866" s="13">
        <f>IF(B1866="","",YEAR(B1866))</f>
        <v/>
      </c>
      <c r="M1866" s="13">
        <f>IF(B1866="","",MONTH(B1866))</f>
        <v/>
      </c>
      <c r="N1866" s="9" t="n"/>
      <c r="O1866" s="9" t="n"/>
      <c r="P1866" s="9" t="n"/>
      <c r="Q1866" s="9" t="n"/>
    </row>
    <row r="1867">
      <c r="A1867" s="9" t="n"/>
      <c r="B1867" s="70" t="n"/>
      <c r="C1867" s="9" t="n"/>
      <c r="D1867" s="9" t="n"/>
      <c r="E1867" s="9" t="n"/>
      <c r="F1867" s="9" t="n"/>
      <c r="G1867" s="9" t="n"/>
      <c r="H1867" s="71" t="n"/>
      <c r="I1867" s="9" t="n"/>
      <c r="J1867" s="89">
        <f>IF(H1867="","",IF(I1867="Sí",ROUND(H1867*Configuracion!$B$11,0),0))</f>
        <v/>
      </c>
      <c r="K1867" s="89">
        <f>IF(H1867="","",H1867+J1867)</f>
        <v/>
      </c>
      <c r="L1867" s="13">
        <f>IF(B1867="","",YEAR(B1867))</f>
        <v/>
      </c>
      <c r="M1867" s="13">
        <f>IF(B1867="","",MONTH(B1867))</f>
        <v/>
      </c>
      <c r="N1867" s="9" t="n"/>
      <c r="O1867" s="9" t="n"/>
      <c r="P1867" s="9" t="n"/>
      <c r="Q1867" s="9" t="n"/>
    </row>
    <row r="1868">
      <c r="A1868" s="9" t="n"/>
      <c r="B1868" s="70" t="n"/>
      <c r="C1868" s="9" t="n"/>
      <c r="D1868" s="9" t="n"/>
      <c r="E1868" s="9" t="n"/>
      <c r="F1868" s="9" t="n"/>
      <c r="G1868" s="9" t="n"/>
      <c r="H1868" s="71" t="n"/>
      <c r="I1868" s="9" t="n"/>
      <c r="J1868" s="89">
        <f>IF(H1868="","",IF(I1868="Sí",ROUND(H1868*Configuracion!$B$11,0),0))</f>
        <v/>
      </c>
      <c r="K1868" s="89">
        <f>IF(H1868="","",H1868+J1868)</f>
        <v/>
      </c>
      <c r="L1868" s="13">
        <f>IF(B1868="","",YEAR(B1868))</f>
        <v/>
      </c>
      <c r="M1868" s="13">
        <f>IF(B1868="","",MONTH(B1868))</f>
        <v/>
      </c>
      <c r="N1868" s="9" t="n"/>
      <c r="O1868" s="9" t="n"/>
      <c r="P1868" s="9" t="n"/>
      <c r="Q1868" s="9" t="n"/>
    </row>
    <row r="1869">
      <c r="A1869" s="9" t="n"/>
      <c r="B1869" s="70" t="n"/>
      <c r="C1869" s="9" t="n"/>
      <c r="D1869" s="9" t="n"/>
      <c r="E1869" s="9" t="n"/>
      <c r="F1869" s="9" t="n"/>
      <c r="G1869" s="9" t="n"/>
      <c r="H1869" s="71" t="n"/>
      <c r="I1869" s="9" t="n"/>
      <c r="J1869" s="89">
        <f>IF(H1869="","",IF(I1869="Sí",ROUND(H1869*Configuracion!$B$11,0),0))</f>
        <v/>
      </c>
      <c r="K1869" s="89">
        <f>IF(H1869="","",H1869+J1869)</f>
        <v/>
      </c>
      <c r="L1869" s="13">
        <f>IF(B1869="","",YEAR(B1869))</f>
        <v/>
      </c>
      <c r="M1869" s="13">
        <f>IF(B1869="","",MONTH(B1869))</f>
        <v/>
      </c>
      <c r="N1869" s="9" t="n"/>
      <c r="O1869" s="9" t="n"/>
      <c r="P1869" s="9" t="n"/>
      <c r="Q1869" s="9" t="n"/>
    </row>
    <row r="1870">
      <c r="A1870" s="9" t="n"/>
      <c r="B1870" s="70" t="n"/>
      <c r="C1870" s="9" t="n"/>
      <c r="D1870" s="9" t="n"/>
      <c r="E1870" s="9" t="n"/>
      <c r="F1870" s="9" t="n"/>
      <c r="G1870" s="9" t="n"/>
      <c r="H1870" s="71" t="n"/>
      <c r="I1870" s="9" t="n"/>
      <c r="J1870" s="89">
        <f>IF(H1870="","",IF(I1870="Sí",ROUND(H1870*Configuracion!$B$11,0),0))</f>
        <v/>
      </c>
      <c r="K1870" s="89">
        <f>IF(H1870="","",H1870+J1870)</f>
        <v/>
      </c>
      <c r="L1870" s="13">
        <f>IF(B1870="","",YEAR(B1870))</f>
        <v/>
      </c>
      <c r="M1870" s="13">
        <f>IF(B1870="","",MONTH(B1870))</f>
        <v/>
      </c>
      <c r="N1870" s="9" t="n"/>
      <c r="O1870" s="9" t="n"/>
      <c r="P1870" s="9" t="n"/>
      <c r="Q1870" s="9" t="n"/>
    </row>
    <row r="1871">
      <c r="A1871" s="9" t="n"/>
      <c r="B1871" s="70" t="n"/>
      <c r="C1871" s="9" t="n"/>
      <c r="D1871" s="9" t="n"/>
      <c r="E1871" s="9" t="n"/>
      <c r="F1871" s="9" t="n"/>
      <c r="G1871" s="9" t="n"/>
      <c r="H1871" s="71" t="n"/>
      <c r="I1871" s="9" t="n"/>
      <c r="J1871" s="89">
        <f>IF(H1871="","",IF(I1871="Sí",ROUND(H1871*Configuracion!$B$11,0),0))</f>
        <v/>
      </c>
      <c r="K1871" s="89">
        <f>IF(H1871="","",H1871+J1871)</f>
        <v/>
      </c>
      <c r="L1871" s="13">
        <f>IF(B1871="","",YEAR(B1871))</f>
        <v/>
      </c>
      <c r="M1871" s="13">
        <f>IF(B1871="","",MONTH(B1871))</f>
        <v/>
      </c>
      <c r="N1871" s="9" t="n"/>
      <c r="O1871" s="9" t="n"/>
      <c r="P1871" s="9" t="n"/>
      <c r="Q1871" s="9" t="n"/>
    </row>
    <row r="1872">
      <c r="A1872" s="9" t="n"/>
      <c r="B1872" s="70" t="n"/>
      <c r="C1872" s="9" t="n"/>
      <c r="D1872" s="9" t="n"/>
      <c r="E1872" s="9" t="n"/>
      <c r="F1872" s="9" t="n"/>
      <c r="G1872" s="9" t="n"/>
      <c r="H1872" s="71" t="n"/>
      <c r="I1872" s="9" t="n"/>
      <c r="J1872" s="89">
        <f>IF(H1872="","",IF(I1872="Sí",ROUND(H1872*Configuracion!$B$11,0),0))</f>
        <v/>
      </c>
      <c r="K1872" s="89">
        <f>IF(H1872="","",H1872+J1872)</f>
        <v/>
      </c>
      <c r="L1872" s="13">
        <f>IF(B1872="","",YEAR(B1872))</f>
        <v/>
      </c>
      <c r="M1872" s="13">
        <f>IF(B1872="","",MONTH(B1872))</f>
        <v/>
      </c>
      <c r="N1872" s="9" t="n"/>
      <c r="O1872" s="9" t="n"/>
      <c r="P1872" s="9" t="n"/>
      <c r="Q1872" s="9" t="n"/>
    </row>
    <row r="1873">
      <c r="A1873" s="9" t="n"/>
      <c r="B1873" s="70" t="n"/>
      <c r="C1873" s="9" t="n"/>
      <c r="D1873" s="9" t="n"/>
      <c r="E1873" s="9" t="n"/>
      <c r="F1873" s="9" t="n"/>
      <c r="G1873" s="9" t="n"/>
      <c r="H1873" s="71" t="n"/>
      <c r="I1873" s="9" t="n"/>
      <c r="J1873" s="89">
        <f>IF(H1873="","",IF(I1873="Sí",ROUND(H1873*Configuracion!$B$11,0),0))</f>
        <v/>
      </c>
      <c r="K1873" s="89">
        <f>IF(H1873="","",H1873+J1873)</f>
        <v/>
      </c>
      <c r="L1873" s="13">
        <f>IF(B1873="","",YEAR(B1873))</f>
        <v/>
      </c>
      <c r="M1873" s="13">
        <f>IF(B1873="","",MONTH(B1873))</f>
        <v/>
      </c>
      <c r="N1873" s="9" t="n"/>
      <c r="O1873" s="9" t="n"/>
      <c r="P1873" s="9" t="n"/>
      <c r="Q1873" s="9" t="n"/>
    </row>
    <row r="1874">
      <c r="A1874" s="9" t="n"/>
      <c r="B1874" s="70" t="n"/>
      <c r="C1874" s="9" t="n"/>
      <c r="D1874" s="9" t="n"/>
      <c r="E1874" s="9" t="n"/>
      <c r="F1874" s="9" t="n"/>
      <c r="G1874" s="9" t="n"/>
      <c r="H1874" s="71" t="n"/>
      <c r="I1874" s="9" t="n"/>
      <c r="J1874" s="89">
        <f>IF(H1874="","",IF(I1874="Sí",ROUND(H1874*Configuracion!$B$11,0),0))</f>
        <v/>
      </c>
      <c r="K1874" s="89">
        <f>IF(H1874="","",H1874+J1874)</f>
        <v/>
      </c>
      <c r="L1874" s="13">
        <f>IF(B1874="","",YEAR(B1874))</f>
        <v/>
      </c>
      <c r="M1874" s="13">
        <f>IF(B1874="","",MONTH(B1874))</f>
        <v/>
      </c>
      <c r="N1874" s="9" t="n"/>
      <c r="O1874" s="9" t="n"/>
      <c r="P1874" s="9" t="n"/>
      <c r="Q1874" s="9" t="n"/>
    </row>
    <row r="1875">
      <c r="A1875" s="9" t="n"/>
      <c r="B1875" s="70" t="n"/>
      <c r="C1875" s="9" t="n"/>
      <c r="D1875" s="9" t="n"/>
      <c r="E1875" s="9" t="n"/>
      <c r="F1875" s="9" t="n"/>
      <c r="G1875" s="9" t="n"/>
      <c r="H1875" s="71" t="n"/>
      <c r="I1875" s="9" t="n"/>
      <c r="J1875" s="89">
        <f>IF(H1875="","",IF(I1875="Sí",ROUND(H1875*Configuracion!$B$11,0),0))</f>
        <v/>
      </c>
      <c r="K1875" s="89">
        <f>IF(H1875="","",H1875+J1875)</f>
        <v/>
      </c>
      <c r="L1875" s="13">
        <f>IF(B1875="","",YEAR(B1875))</f>
        <v/>
      </c>
      <c r="M1875" s="13">
        <f>IF(B1875="","",MONTH(B1875))</f>
        <v/>
      </c>
      <c r="N1875" s="9" t="n"/>
      <c r="O1875" s="9" t="n"/>
      <c r="P1875" s="9" t="n"/>
      <c r="Q1875" s="9" t="n"/>
    </row>
    <row r="1876">
      <c r="A1876" s="9" t="n"/>
      <c r="B1876" s="70" t="n"/>
      <c r="C1876" s="9" t="n"/>
      <c r="D1876" s="9" t="n"/>
      <c r="E1876" s="9" t="n"/>
      <c r="F1876" s="9" t="n"/>
      <c r="G1876" s="9" t="n"/>
      <c r="H1876" s="71" t="n"/>
      <c r="I1876" s="9" t="n"/>
      <c r="J1876" s="89">
        <f>IF(H1876="","",IF(I1876="Sí",ROUND(H1876*Configuracion!$B$11,0),0))</f>
        <v/>
      </c>
      <c r="K1876" s="89">
        <f>IF(H1876="","",H1876+J1876)</f>
        <v/>
      </c>
      <c r="L1876" s="13">
        <f>IF(B1876="","",YEAR(B1876))</f>
        <v/>
      </c>
      <c r="M1876" s="13">
        <f>IF(B1876="","",MONTH(B1876))</f>
        <v/>
      </c>
      <c r="N1876" s="9" t="n"/>
      <c r="O1876" s="9" t="n"/>
      <c r="P1876" s="9" t="n"/>
      <c r="Q1876" s="9" t="n"/>
    </row>
    <row r="1877">
      <c r="A1877" s="9" t="n"/>
      <c r="B1877" s="70" t="n"/>
      <c r="C1877" s="9" t="n"/>
      <c r="D1877" s="9" t="n"/>
      <c r="E1877" s="9" t="n"/>
      <c r="F1877" s="9" t="n"/>
      <c r="G1877" s="9" t="n"/>
      <c r="H1877" s="71" t="n"/>
      <c r="I1877" s="9" t="n"/>
      <c r="J1877" s="89">
        <f>IF(H1877="","",IF(I1877="Sí",ROUND(H1877*Configuracion!$B$11,0),0))</f>
        <v/>
      </c>
      <c r="K1877" s="89">
        <f>IF(H1877="","",H1877+J1877)</f>
        <v/>
      </c>
      <c r="L1877" s="13">
        <f>IF(B1877="","",YEAR(B1877))</f>
        <v/>
      </c>
      <c r="M1877" s="13">
        <f>IF(B1877="","",MONTH(B1877))</f>
        <v/>
      </c>
      <c r="N1877" s="9" t="n"/>
      <c r="O1877" s="9" t="n"/>
      <c r="P1877" s="9" t="n"/>
      <c r="Q1877" s="9" t="n"/>
    </row>
    <row r="1878">
      <c r="A1878" s="9" t="n"/>
      <c r="B1878" s="70" t="n"/>
      <c r="C1878" s="9" t="n"/>
      <c r="D1878" s="9" t="n"/>
      <c r="E1878" s="9" t="n"/>
      <c r="F1878" s="9" t="n"/>
      <c r="G1878" s="9" t="n"/>
      <c r="H1878" s="71" t="n"/>
      <c r="I1878" s="9" t="n"/>
      <c r="J1878" s="89">
        <f>IF(H1878="","",IF(I1878="Sí",ROUND(H1878*Configuracion!$B$11,0),0))</f>
        <v/>
      </c>
      <c r="K1878" s="89">
        <f>IF(H1878="","",H1878+J1878)</f>
        <v/>
      </c>
      <c r="L1878" s="13">
        <f>IF(B1878="","",YEAR(B1878))</f>
        <v/>
      </c>
      <c r="M1878" s="13">
        <f>IF(B1878="","",MONTH(B1878))</f>
        <v/>
      </c>
      <c r="N1878" s="9" t="n"/>
      <c r="O1878" s="9" t="n"/>
      <c r="P1878" s="9" t="n"/>
      <c r="Q1878" s="9" t="n"/>
    </row>
    <row r="1879">
      <c r="A1879" s="9" t="n"/>
      <c r="B1879" s="70" t="n"/>
      <c r="C1879" s="9" t="n"/>
      <c r="D1879" s="9" t="n"/>
      <c r="E1879" s="9" t="n"/>
      <c r="F1879" s="9" t="n"/>
      <c r="G1879" s="9" t="n"/>
      <c r="H1879" s="71" t="n"/>
      <c r="I1879" s="9" t="n"/>
      <c r="J1879" s="89">
        <f>IF(H1879="","",IF(I1879="Sí",ROUND(H1879*Configuracion!$B$11,0),0))</f>
        <v/>
      </c>
      <c r="K1879" s="89">
        <f>IF(H1879="","",H1879+J1879)</f>
        <v/>
      </c>
      <c r="L1879" s="13">
        <f>IF(B1879="","",YEAR(B1879))</f>
        <v/>
      </c>
      <c r="M1879" s="13">
        <f>IF(B1879="","",MONTH(B1879))</f>
        <v/>
      </c>
      <c r="N1879" s="9" t="n"/>
      <c r="O1879" s="9" t="n"/>
      <c r="P1879" s="9" t="n"/>
      <c r="Q1879" s="9" t="n"/>
    </row>
    <row r="1880">
      <c r="A1880" s="9" t="n"/>
      <c r="B1880" s="70" t="n"/>
      <c r="C1880" s="9" t="n"/>
      <c r="D1880" s="9" t="n"/>
      <c r="E1880" s="9" t="n"/>
      <c r="F1880" s="9" t="n"/>
      <c r="G1880" s="9" t="n"/>
      <c r="H1880" s="71" t="n"/>
      <c r="I1880" s="9" t="n"/>
      <c r="J1880" s="89">
        <f>IF(H1880="","",IF(I1880="Sí",ROUND(H1880*Configuracion!$B$11,0),0))</f>
        <v/>
      </c>
      <c r="K1880" s="89">
        <f>IF(H1880="","",H1880+J1880)</f>
        <v/>
      </c>
      <c r="L1880" s="13">
        <f>IF(B1880="","",YEAR(B1880))</f>
        <v/>
      </c>
      <c r="M1880" s="13">
        <f>IF(B1880="","",MONTH(B1880))</f>
        <v/>
      </c>
      <c r="N1880" s="9" t="n"/>
      <c r="O1880" s="9" t="n"/>
      <c r="P1880" s="9" t="n"/>
      <c r="Q1880" s="9" t="n"/>
    </row>
    <row r="1881">
      <c r="A1881" s="9" t="n"/>
      <c r="B1881" s="70" t="n"/>
      <c r="C1881" s="9" t="n"/>
      <c r="D1881" s="9" t="n"/>
      <c r="E1881" s="9" t="n"/>
      <c r="F1881" s="9" t="n"/>
      <c r="G1881" s="9" t="n"/>
      <c r="H1881" s="71" t="n"/>
      <c r="I1881" s="9" t="n"/>
      <c r="J1881" s="89">
        <f>IF(H1881="","",IF(I1881="Sí",ROUND(H1881*Configuracion!$B$11,0),0))</f>
        <v/>
      </c>
      <c r="K1881" s="89">
        <f>IF(H1881="","",H1881+J1881)</f>
        <v/>
      </c>
      <c r="L1881" s="13">
        <f>IF(B1881="","",YEAR(B1881))</f>
        <v/>
      </c>
      <c r="M1881" s="13">
        <f>IF(B1881="","",MONTH(B1881))</f>
        <v/>
      </c>
      <c r="N1881" s="9" t="n"/>
      <c r="O1881" s="9" t="n"/>
      <c r="P1881" s="9" t="n"/>
      <c r="Q1881" s="9" t="n"/>
    </row>
    <row r="1882">
      <c r="A1882" s="9" t="n"/>
      <c r="B1882" s="70" t="n"/>
      <c r="C1882" s="9" t="n"/>
      <c r="D1882" s="9" t="n"/>
      <c r="E1882" s="9" t="n"/>
      <c r="F1882" s="9" t="n"/>
      <c r="G1882" s="9" t="n"/>
      <c r="H1882" s="71" t="n"/>
      <c r="I1882" s="9" t="n"/>
      <c r="J1882" s="89">
        <f>IF(H1882="","",IF(I1882="Sí",ROUND(H1882*Configuracion!$B$11,0),0))</f>
        <v/>
      </c>
      <c r="K1882" s="89">
        <f>IF(H1882="","",H1882+J1882)</f>
        <v/>
      </c>
      <c r="L1882" s="13">
        <f>IF(B1882="","",YEAR(B1882))</f>
        <v/>
      </c>
      <c r="M1882" s="13">
        <f>IF(B1882="","",MONTH(B1882))</f>
        <v/>
      </c>
      <c r="N1882" s="9" t="n"/>
      <c r="O1882" s="9" t="n"/>
      <c r="P1882" s="9" t="n"/>
      <c r="Q1882" s="9" t="n"/>
    </row>
    <row r="1883">
      <c r="A1883" s="9" t="n"/>
      <c r="B1883" s="70" t="n"/>
      <c r="C1883" s="9" t="n"/>
      <c r="D1883" s="9" t="n"/>
      <c r="E1883" s="9" t="n"/>
      <c r="F1883" s="9" t="n"/>
      <c r="G1883" s="9" t="n"/>
      <c r="H1883" s="71" t="n"/>
      <c r="I1883" s="9" t="n"/>
      <c r="J1883" s="89">
        <f>IF(H1883="","",IF(I1883="Sí",ROUND(H1883*Configuracion!$B$11,0),0))</f>
        <v/>
      </c>
      <c r="K1883" s="89">
        <f>IF(H1883="","",H1883+J1883)</f>
        <v/>
      </c>
      <c r="L1883" s="13">
        <f>IF(B1883="","",YEAR(B1883))</f>
        <v/>
      </c>
      <c r="M1883" s="13">
        <f>IF(B1883="","",MONTH(B1883))</f>
        <v/>
      </c>
      <c r="N1883" s="9" t="n"/>
      <c r="O1883" s="9" t="n"/>
      <c r="P1883" s="9" t="n"/>
      <c r="Q1883" s="9" t="n"/>
    </row>
    <row r="1884">
      <c r="A1884" s="9" t="n"/>
      <c r="B1884" s="70" t="n"/>
      <c r="C1884" s="9" t="n"/>
      <c r="D1884" s="9" t="n"/>
      <c r="E1884" s="9" t="n"/>
      <c r="F1884" s="9" t="n"/>
      <c r="G1884" s="9" t="n"/>
      <c r="H1884" s="71" t="n"/>
      <c r="I1884" s="9" t="n"/>
      <c r="J1884" s="89">
        <f>IF(H1884="","",IF(I1884="Sí",ROUND(H1884*Configuracion!$B$11,0),0))</f>
        <v/>
      </c>
      <c r="K1884" s="89">
        <f>IF(H1884="","",H1884+J1884)</f>
        <v/>
      </c>
      <c r="L1884" s="13">
        <f>IF(B1884="","",YEAR(B1884))</f>
        <v/>
      </c>
      <c r="M1884" s="13">
        <f>IF(B1884="","",MONTH(B1884))</f>
        <v/>
      </c>
      <c r="N1884" s="9" t="n"/>
      <c r="O1884" s="9" t="n"/>
      <c r="P1884" s="9" t="n"/>
      <c r="Q1884" s="9" t="n"/>
    </row>
    <row r="1885">
      <c r="A1885" s="9" t="n"/>
      <c r="B1885" s="70" t="n"/>
      <c r="C1885" s="9" t="n"/>
      <c r="D1885" s="9" t="n"/>
      <c r="E1885" s="9" t="n"/>
      <c r="F1885" s="9" t="n"/>
      <c r="G1885" s="9" t="n"/>
      <c r="H1885" s="71" t="n"/>
      <c r="I1885" s="9" t="n"/>
      <c r="J1885" s="89">
        <f>IF(H1885="","",IF(I1885="Sí",ROUND(H1885*Configuracion!$B$11,0),0))</f>
        <v/>
      </c>
      <c r="K1885" s="89">
        <f>IF(H1885="","",H1885+J1885)</f>
        <v/>
      </c>
      <c r="L1885" s="13">
        <f>IF(B1885="","",YEAR(B1885))</f>
        <v/>
      </c>
      <c r="M1885" s="13">
        <f>IF(B1885="","",MONTH(B1885))</f>
        <v/>
      </c>
      <c r="N1885" s="9" t="n"/>
      <c r="O1885" s="9" t="n"/>
      <c r="P1885" s="9" t="n"/>
      <c r="Q1885" s="9" t="n"/>
    </row>
    <row r="1886">
      <c r="A1886" s="9" t="n"/>
      <c r="B1886" s="70" t="n"/>
      <c r="C1886" s="9" t="n"/>
      <c r="D1886" s="9" t="n"/>
      <c r="E1886" s="9" t="n"/>
      <c r="F1886" s="9" t="n"/>
      <c r="G1886" s="9" t="n"/>
      <c r="H1886" s="71" t="n"/>
      <c r="I1886" s="9" t="n"/>
      <c r="J1886" s="89">
        <f>IF(H1886="","",IF(I1886="Sí",ROUND(H1886*Configuracion!$B$11,0),0))</f>
        <v/>
      </c>
      <c r="K1886" s="89">
        <f>IF(H1886="","",H1886+J1886)</f>
        <v/>
      </c>
      <c r="L1886" s="13">
        <f>IF(B1886="","",YEAR(B1886))</f>
        <v/>
      </c>
      <c r="M1886" s="13">
        <f>IF(B1886="","",MONTH(B1886))</f>
        <v/>
      </c>
      <c r="N1886" s="9" t="n"/>
      <c r="O1886" s="9" t="n"/>
      <c r="P1886" s="9" t="n"/>
      <c r="Q1886" s="9" t="n"/>
    </row>
    <row r="1887">
      <c r="A1887" s="9" t="n"/>
      <c r="B1887" s="70" t="n"/>
      <c r="C1887" s="9" t="n"/>
      <c r="D1887" s="9" t="n"/>
      <c r="E1887" s="9" t="n"/>
      <c r="F1887" s="9" t="n"/>
      <c r="G1887" s="9" t="n"/>
      <c r="H1887" s="71" t="n"/>
      <c r="I1887" s="9" t="n"/>
      <c r="J1887" s="89">
        <f>IF(H1887="","",IF(I1887="Sí",ROUND(H1887*Configuracion!$B$11,0),0))</f>
        <v/>
      </c>
      <c r="K1887" s="89">
        <f>IF(H1887="","",H1887+J1887)</f>
        <v/>
      </c>
      <c r="L1887" s="13">
        <f>IF(B1887="","",YEAR(B1887))</f>
        <v/>
      </c>
      <c r="M1887" s="13">
        <f>IF(B1887="","",MONTH(B1887))</f>
        <v/>
      </c>
      <c r="N1887" s="9" t="n"/>
      <c r="O1887" s="9" t="n"/>
      <c r="P1887" s="9" t="n"/>
      <c r="Q1887" s="9" t="n"/>
    </row>
    <row r="1888">
      <c r="A1888" s="9" t="n"/>
      <c r="B1888" s="70" t="n"/>
      <c r="C1888" s="9" t="n"/>
      <c r="D1888" s="9" t="n"/>
      <c r="E1888" s="9" t="n"/>
      <c r="F1888" s="9" t="n"/>
      <c r="G1888" s="9" t="n"/>
      <c r="H1888" s="71" t="n"/>
      <c r="I1888" s="9" t="n"/>
      <c r="J1888" s="89">
        <f>IF(H1888="","",IF(I1888="Sí",ROUND(H1888*Configuracion!$B$11,0),0))</f>
        <v/>
      </c>
      <c r="K1888" s="89">
        <f>IF(H1888="","",H1888+J1888)</f>
        <v/>
      </c>
      <c r="L1888" s="13">
        <f>IF(B1888="","",YEAR(B1888))</f>
        <v/>
      </c>
      <c r="M1888" s="13">
        <f>IF(B1888="","",MONTH(B1888))</f>
        <v/>
      </c>
      <c r="N1888" s="9" t="n"/>
      <c r="O1888" s="9" t="n"/>
      <c r="P1888" s="9" t="n"/>
      <c r="Q1888" s="9" t="n"/>
    </row>
    <row r="1889">
      <c r="A1889" s="9" t="n"/>
      <c r="B1889" s="70" t="n"/>
      <c r="C1889" s="9" t="n"/>
      <c r="D1889" s="9" t="n"/>
      <c r="E1889" s="9" t="n"/>
      <c r="F1889" s="9" t="n"/>
      <c r="G1889" s="9" t="n"/>
      <c r="H1889" s="71" t="n"/>
      <c r="I1889" s="9" t="n"/>
      <c r="J1889" s="89">
        <f>IF(H1889="","",IF(I1889="Sí",ROUND(H1889*Configuracion!$B$11,0),0))</f>
        <v/>
      </c>
      <c r="K1889" s="89">
        <f>IF(H1889="","",H1889+J1889)</f>
        <v/>
      </c>
      <c r="L1889" s="13">
        <f>IF(B1889="","",YEAR(B1889))</f>
        <v/>
      </c>
      <c r="M1889" s="13">
        <f>IF(B1889="","",MONTH(B1889))</f>
        <v/>
      </c>
      <c r="N1889" s="9" t="n"/>
      <c r="O1889" s="9" t="n"/>
      <c r="P1889" s="9" t="n"/>
      <c r="Q1889" s="9" t="n"/>
    </row>
    <row r="1890">
      <c r="A1890" s="9" t="n"/>
      <c r="B1890" s="70" t="n"/>
      <c r="C1890" s="9" t="n"/>
      <c r="D1890" s="9" t="n"/>
      <c r="E1890" s="9" t="n"/>
      <c r="F1890" s="9" t="n"/>
      <c r="G1890" s="9" t="n"/>
      <c r="H1890" s="71" t="n"/>
      <c r="I1890" s="9" t="n"/>
      <c r="J1890" s="89">
        <f>IF(H1890="","",IF(I1890="Sí",ROUND(H1890*Configuracion!$B$11,0),0))</f>
        <v/>
      </c>
      <c r="K1890" s="89">
        <f>IF(H1890="","",H1890+J1890)</f>
        <v/>
      </c>
      <c r="L1890" s="13">
        <f>IF(B1890="","",YEAR(B1890))</f>
        <v/>
      </c>
      <c r="M1890" s="13">
        <f>IF(B1890="","",MONTH(B1890))</f>
        <v/>
      </c>
      <c r="N1890" s="9" t="n"/>
      <c r="O1890" s="9" t="n"/>
      <c r="P1890" s="9" t="n"/>
      <c r="Q1890" s="9" t="n"/>
    </row>
    <row r="1891">
      <c r="A1891" s="9" t="n"/>
      <c r="B1891" s="70" t="n"/>
      <c r="C1891" s="9" t="n"/>
      <c r="D1891" s="9" t="n"/>
      <c r="E1891" s="9" t="n"/>
      <c r="F1891" s="9" t="n"/>
      <c r="G1891" s="9" t="n"/>
      <c r="H1891" s="71" t="n"/>
      <c r="I1891" s="9" t="n"/>
      <c r="J1891" s="89">
        <f>IF(H1891="","",IF(I1891="Sí",ROUND(H1891*Configuracion!$B$11,0),0))</f>
        <v/>
      </c>
      <c r="K1891" s="89">
        <f>IF(H1891="","",H1891+J1891)</f>
        <v/>
      </c>
      <c r="L1891" s="13">
        <f>IF(B1891="","",YEAR(B1891))</f>
        <v/>
      </c>
      <c r="M1891" s="13">
        <f>IF(B1891="","",MONTH(B1891))</f>
        <v/>
      </c>
      <c r="N1891" s="9" t="n"/>
      <c r="O1891" s="9" t="n"/>
      <c r="P1891" s="9" t="n"/>
      <c r="Q1891" s="9" t="n"/>
    </row>
    <row r="1892">
      <c r="A1892" s="9" t="n"/>
      <c r="B1892" s="70" t="n"/>
      <c r="C1892" s="9" t="n"/>
      <c r="D1892" s="9" t="n"/>
      <c r="E1892" s="9" t="n"/>
      <c r="F1892" s="9" t="n"/>
      <c r="G1892" s="9" t="n"/>
      <c r="H1892" s="71" t="n"/>
      <c r="I1892" s="9" t="n"/>
      <c r="J1892" s="89">
        <f>IF(H1892="","",IF(I1892="Sí",ROUND(H1892*Configuracion!$B$11,0),0))</f>
        <v/>
      </c>
      <c r="K1892" s="89">
        <f>IF(H1892="","",H1892+J1892)</f>
        <v/>
      </c>
      <c r="L1892" s="13">
        <f>IF(B1892="","",YEAR(B1892))</f>
        <v/>
      </c>
      <c r="M1892" s="13">
        <f>IF(B1892="","",MONTH(B1892))</f>
        <v/>
      </c>
      <c r="N1892" s="9" t="n"/>
      <c r="O1892" s="9" t="n"/>
      <c r="P1892" s="9" t="n"/>
      <c r="Q1892" s="9" t="n"/>
    </row>
    <row r="1893">
      <c r="A1893" s="9" t="n"/>
      <c r="B1893" s="70" t="n"/>
      <c r="C1893" s="9" t="n"/>
      <c r="D1893" s="9" t="n"/>
      <c r="E1893" s="9" t="n"/>
      <c r="F1893" s="9" t="n"/>
      <c r="G1893" s="9" t="n"/>
      <c r="H1893" s="71" t="n"/>
      <c r="I1893" s="9" t="n"/>
      <c r="J1893" s="89">
        <f>IF(H1893="","",IF(I1893="Sí",ROUND(H1893*Configuracion!$B$11,0),0))</f>
        <v/>
      </c>
      <c r="K1893" s="89">
        <f>IF(H1893="","",H1893+J1893)</f>
        <v/>
      </c>
      <c r="L1893" s="13">
        <f>IF(B1893="","",YEAR(B1893))</f>
        <v/>
      </c>
      <c r="M1893" s="13">
        <f>IF(B1893="","",MONTH(B1893))</f>
        <v/>
      </c>
      <c r="N1893" s="9" t="n"/>
      <c r="O1893" s="9" t="n"/>
      <c r="P1893" s="9" t="n"/>
      <c r="Q1893" s="9" t="n"/>
    </row>
    <row r="1894">
      <c r="A1894" s="9" t="n"/>
      <c r="B1894" s="70" t="n"/>
      <c r="C1894" s="9" t="n"/>
      <c r="D1894" s="9" t="n"/>
      <c r="E1894" s="9" t="n"/>
      <c r="F1894" s="9" t="n"/>
      <c r="G1894" s="9" t="n"/>
      <c r="H1894" s="71" t="n"/>
      <c r="I1894" s="9" t="n"/>
      <c r="J1894" s="89">
        <f>IF(H1894="","",IF(I1894="Sí",ROUND(H1894*Configuracion!$B$11,0),0))</f>
        <v/>
      </c>
      <c r="K1894" s="89">
        <f>IF(H1894="","",H1894+J1894)</f>
        <v/>
      </c>
      <c r="L1894" s="13">
        <f>IF(B1894="","",YEAR(B1894))</f>
        <v/>
      </c>
      <c r="M1894" s="13">
        <f>IF(B1894="","",MONTH(B1894))</f>
        <v/>
      </c>
      <c r="N1894" s="9" t="n"/>
      <c r="O1894" s="9" t="n"/>
      <c r="P1894" s="9" t="n"/>
      <c r="Q1894" s="9" t="n"/>
    </row>
    <row r="1895">
      <c r="A1895" s="9" t="n"/>
      <c r="B1895" s="70" t="n"/>
      <c r="C1895" s="9" t="n"/>
      <c r="D1895" s="9" t="n"/>
      <c r="E1895" s="9" t="n"/>
      <c r="F1895" s="9" t="n"/>
      <c r="G1895" s="9" t="n"/>
      <c r="H1895" s="71" t="n"/>
      <c r="I1895" s="9" t="n"/>
      <c r="J1895" s="89">
        <f>IF(H1895="","",IF(I1895="Sí",ROUND(H1895*Configuracion!$B$11,0),0))</f>
        <v/>
      </c>
      <c r="K1895" s="89">
        <f>IF(H1895="","",H1895+J1895)</f>
        <v/>
      </c>
      <c r="L1895" s="13">
        <f>IF(B1895="","",YEAR(B1895))</f>
        <v/>
      </c>
      <c r="M1895" s="13">
        <f>IF(B1895="","",MONTH(B1895))</f>
        <v/>
      </c>
      <c r="N1895" s="9" t="n"/>
      <c r="O1895" s="9" t="n"/>
      <c r="P1895" s="9" t="n"/>
      <c r="Q1895" s="9" t="n"/>
    </row>
    <row r="1896">
      <c r="A1896" s="9" t="n"/>
      <c r="B1896" s="70" t="n"/>
      <c r="C1896" s="9" t="n"/>
      <c r="D1896" s="9" t="n"/>
      <c r="E1896" s="9" t="n"/>
      <c r="F1896" s="9" t="n"/>
      <c r="G1896" s="9" t="n"/>
      <c r="H1896" s="71" t="n"/>
      <c r="I1896" s="9" t="n"/>
      <c r="J1896" s="89">
        <f>IF(H1896="","",IF(I1896="Sí",ROUND(H1896*Configuracion!$B$11,0),0))</f>
        <v/>
      </c>
      <c r="K1896" s="89">
        <f>IF(H1896="","",H1896+J1896)</f>
        <v/>
      </c>
      <c r="L1896" s="13">
        <f>IF(B1896="","",YEAR(B1896))</f>
        <v/>
      </c>
      <c r="M1896" s="13">
        <f>IF(B1896="","",MONTH(B1896))</f>
        <v/>
      </c>
      <c r="N1896" s="9" t="n"/>
      <c r="O1896" s="9" t="n"/>
      <c r="P1896" s="9" t="n"/>
      <c r="Q1896" s="9" t="n"/>
    </row>
    <row r="1897">
      <c r="A1897" s="9" t="n"/>
      <c r="B1897" s="70" t="n"/>
      <c r="C1897" s="9" t="n"/>
      <c r="D1897" s="9" t="n"/>
      <c r="E1897" s="9" t="n"/>
      <c r="F1897" s="9" t="n"/>
      <c r="G1897" s="9" t="n"/>
      <c r="H1897" s="71" t="n"/>
      <c r="I1897" s="9" t="n"/>
      <c r="J1897" s="89">
        <f>IF(H1897="","",IF(I1897="Sí",ROUND(H1897*Configuracion!$B$11,0),0))</f>
        <v/>
      </c>
      <c r="K1897" s="89">
        <f>IF(H1897="","",H1897+J1897)</f>
        <v/>
      </c>
      <c r="L1897" s="13">
        <f>IF(B1897="","",YEAR(B1897))</f>
        <v/>
      </c>
      <c r="M1897" s="13">
        <f>IF(B1897="","",MONTH(B1897))</f>
        <v/>
      </c>
      <c r="N1897" s="9" t="n"/>
      <c r="O1897" s="9" t="n"/>
      <c r="P1897" s="9" t="n"/>
      <c r="Q1897" s="9" t="n"/>
    </row>
    <row r="1898">
      <c r="A1898" s="9" t="n"/>
      <c r="B1898" s="70" t="n"/>
      <c r="C1898" s="9" t="n"/>
      <c r="D1898" s="9" t="n"/>
      <c r="E1898" s="9" t="n"/>
      <c r="F1898" s="9" t="n"/>
      <c r="G1898" s="9" t="n"/>
      <c r="H1898" s="71" t="n"/>
      <c r="I1898" s="9" t="n"/>
      <c r="J1898" s="89">
        <f>IF(H1898="","",IF(I1898="Sí",ROUND(H1898*Configuracion!$B$11,0),0))</f>
        <v/>
      </c>
      <c r="K1898" s="89">
        <f>IF(H1898="","",H1898+J1898)</f>
        <v/>
      </c>
      <c r="L1898" s="13">
        <f>IF(B1898="","",YEAR(B1898))</f>
        <v/>
      </c>
      <c r="M1898" s="13">
        <f>IF(B1898="","",MONTH(B1898))</f>
        <v/>
      </c>
      <c r="N1898" s="9" t="n"/>
      <c r="O1898" s="9" t="n"/>
      <c r="P1898" s="9" t="n"/>
      <c r="Q1898" s="9" t="n"/>
    </row>
    <row r="1899">
      <c r="A1899" s="9" t="n"/>
      <c r="B1899" s="70" t="n"/>
      <c r="C1899" s="9" t="n"/>
      <c r="D1899" s="9" t="n"/>
      <c r="E1899" s="9" t="n"/>
      <c r="F1899" s="9" t="n"/>
      <c r="G1899" s="9" t="n"/>
      <c r="H1899" s="71" t="n"/>
      <c r="I1899" s="9" t="n"/>
      <c r="J1899" s="89">
        <f>IF(H1899="","",IF(I1899="Sí",ROUND(H1899*Configuracion!$B$11,0),0))</f>
        <v/>
      </c>
      <c r="K1899" s="89">
        <f>IF(H1899="","",H1899+J1899)</f>
        <v/>
      </c>
      <c r="L1899" s="13">
        <f>IF(B1899="","",YEAR(B1899))</f>
        <v/>
      </c>
      <c r="M1899" s="13">
        <f>IF(B1899="","",MONTH(B1899))</f>
        <v/>
      </c>
      <c r="N1899" s="9" t="n"/>
      <c r="O1899" s="9" t="n"/>
      <c r="P1899" s="9" t="n"/>
      <c r="Q1899" s="9" t="n"/>
    </row>
    <row r="1900">
      <c r="A1900" s="9" t="n"/>
      <c r="B1900" s="70" t="n"/>
      <c r="C1900" s="9" t="n"/>
      <c r="D1900" s="9" t="n"/>
      <c r="E1900" s="9" t="n"/>
      <c r="F1900" s="9" t="n"/>
      <c r="G1900" s="9" t="n"/>
      <c r="H1900" s="71" t="n"/>
      <c r="I1900" s="9" t="n"/>
      <c r="J1900" s="89">
        <f>IF(H1900="","",IF(I1900="Sí",ROUND(H1900*Configuracion!$B$11,0),0))</f>
        <v/>
      </c>
      <c r="K1900" s="89">
        <f>IF(H1900="","",H1900+J1900)</f>
        <v/>
      </c>
      <c r="L1900" s="13">
        <f>IF(B1900="","",YEAR(B1900))</f>
        <v/>
      </c>
      <c r="M1900" s="13">
        <f>IF(B1900="","",MONTH(B1900))</f>
        <v/>
      </c>
      <c r="N1900" s="9" t="n"/>
      <c r="O1900" s="9" t="n"/>
      <c r="P1900" s="9" t="n"/>
      <c r="Q1900" s="9" t="n"/>
    </row>
    <row r="1901">
      <c r="A1901" s="9" t="n"/>
      <c r="B1901" s="70" t="n"/>
      <c r="C1901" s="9" t="n"/>
      <c r="D1901" s="9" t="n"/>
      <c r="E1901" s="9" t="n"/>
      <c r="F1901" s="9" t="n"/>
      <c r="G1901" s="9" t="n"/>
      <c r="H1901" s="71" t="n"/>
      <c r="I1901" s="9" t="n"/>
      <c r="J1901" s="89">
        <f>IF(H1901="","",IF(I1901="Sí",ROUND(H1901*Configuracion!$B$11,0),0))</f>
        <v/>
      </c>
      <c r="K1901" s="89">
        <f>IF(H1901="","",H1901+J1901)</f>
        <v/>
      </c>
      <c r="L1901" s="13">
        <f>IF(B1901="","",YEAR(B1901))</f>
        <v/>
      </c>
      <c r="M1901" s="13">
        <f>IF(B1901="","",MONTH(B1901))</f>
        <v/>
      </c>
      <c r="N1901" s="9" t="n"/>
      <c r="O1901" s="9" t="n"/>
      <c r="P1901" s="9" t="n"/>
      <c r="Q1901" s="9" t="n"/>
    </row>
    <row r="1902">
      <c r="A1902" s="9" t="n"/>
      <c r="B1902" s="70" t="n"/>
      <c r="C1902" s="9" t="n"/>
      <c r="D1902" s="9" t="n"/>
      <c r="E1902" s="9" t="n"/>
      <c r="F1902" s="9" t="n"/>
      <c r="G1902" s="9" t="n"/>
      <c r="H1902" s="71" t="n"/>
      <c r="I1902" s="9" t="n"/>
      <c r="J1902" s="89">
        <f>IF(H1902="","",IF(I1902="Sí",ROUND(H1902*Configuracion!$B$11,0),0))</f>
        <v/>
      </c>
      <c r="K1902" s="89">
        <f>IF(H1902="","",H1902+J1902)</f>
        <v/>
      </c>
      <c r="L1902" s="13">
        <f>IF(B1902="","",YEAR(B1902))</f>
        <v/>
      </c>
      <c r="M1902" s="13">
        <f>IF(B1902="","",MONTH(B1902))</f>
        <v/>
      </c>
      <c r="N1902" s="9" t="n"/>
      <c r="O1902" s="9" t="n"/>
      <c r="P1902" s="9" t="n"/>
      <c r="Q1902" s="9" t="n"/>
    </row>
    <row r="1903">
      <c r="A1903" s="9" t="n"/>
      <c r="B1903" s="70" t="n"/>
      <c r="C1903" s="9" t="n"/>
      <c r="D1903" s="9" t="n"/>
      <c r="E1903" s="9" t="n"/>
      <c r="F1903" s="9" t="n"/>
      <c r="G1903" s="9" t="n"/>
      <c r="H1903" s="71" t="n"/>
      <c r="I1903" s="9" t="n"/>
      <c r="J1903" s="89">
        <f>IF(H1903="","",IF(I1903="Sí",ROUND(H1903*Configuracion!$B$11,0),0))</f>
        <v/>
      </c>
      <c r="K1903" s="89">
        <f>IF(H1903="","",H1903+J1903)</f>
        <v/>
      </c>
      <c r="L1903" s="13">
        <f>IF(B1903="","",YEAR(B1903))</f>
        <v/>
      </c>
      <c r="M1903" s="13">
        <f>IF(B1903="","",MONTH(B1903))</f>
        <v/>
      </c>
      <c r="N1903" s="9" t="n"/>
      <c r="O1903" s="9" t="n"/>
      <c r="P1903" s="9" t="n"/>
      <c r="Q1903" s="9" t="n"/>
    </row>
    <row r="1904">
      <c r="A1904" s="9" t="n"/>
      <c r="B1904" s="70" t="n"/>
      <c r="C1904" s="9" t="n"/>
      <c r="D1904" s="9" t="n"/>
      <c r="E1904" s="9" t="n"/>
      <c r="F1904" s="9" t="n"/>
      <c r="G1904" s="9" t="n"/>
      <c r="H1904" s="71" t="n"/>
      <c r="I1904" s="9" t="n"/>
      <c r="J1904" s="89">
        <f>IF(H1904="","",IF(I1904="Sí",ROUND(H1904*Configuracion!$B$11,0),0))</f>
        <v/>
      </c>
      <c r="K1904" s="89">
        <f>IF(H1904="","",H1904+J1904)</f>
        <v/>
      </c>
      <c r="L1904" s="13">
        <f>IF(B1904="","",YEAR(B1904))</f>
        <v/>
      </c>
      <c r="M1904" s="13">
        <f>IF(B1904="","",MONTH(B1904))</f>
        <v/>
      </c>
      <c r="N1904" s="9" t="n"/>
      <c r="O1904" s="9" t="n"/>
      <c r="P1904" s="9" t="n"/>
      <c r="Q1904" s="9" t="n"/>
    </row>
    <row r="1905">
      <c r="A1905" s="9" t="n"/>
      <c r="B1905" s="70" t="n"/>
      <c r="C1905" s="9" t="n"/>
      <c r="D1905" s="9" t="n"/>
      <c r="E1905" s="9" t="n"/>
      <c r="F1905" s="9" t="n"/>
      <c r="G1905" s="9" t="n"/>
      <c r="H1905" s="71" t="n"/>
      <c r="I1905" s="9" t="n"/>
      <c r="J1905" s="89">
        <f>IF(H1905="","",IF(I1905="Sí",ROUND(H1905*Configuracion!$B$11,0),0))</f>
        <v/>
      </c>
      <c r="K1905" s="89">
        <f>IF(H1905="","",H1905+J1905)</f>
        <v/>
      </c>
      <c r="L1905" s="13">
        <f>IF(B1905="","",YEAR(B1905))</f>
        <v/>
      </c>
      <c r="M1905" s="13">
        <f>IF(B1905="","",MONTH(B1905))</f>
        <v/>
      </c>
      <c r="N1905" s="9" t="n"/>
      <c r="O1905" s="9" t="n"/>
      <c r="P1905" s="9" t="n"/>
      <c r="Q1905" s="9" t="n"/>
    </row>
    <row r="1906">
      <c r="A1906" s="9" t="n"/>
      <c r="B1906" s="70" t="n"/>
      <c r="C1906" s="9" t="n"/>
      <c r="D1906" s="9" t="n"/>
      <c r="E1906" s="9" t="n"/>
      <c r="F1906" s="9" t="n"/>
      <c r="G1906" s="9" t="n"/>
      <c r="H1906" s="71" t="n"/>
      <c r="I1906" s="9" t="n"/>
      <c r="J1906" s="89">
        <f>IF(H1906="","",IF(I1906="Sí",ROUND(H1906*Configuracion!$B$11,0),0))</f>
        <v/>
      </c>
      <c r="K1906" s="89">
        <f>IF(H1906="","",H1906+J1906)</f>
        <v/>
      </c>
      <c r="L1906" s="13">
        <f>IF(B1906="","",YEAR(B1906))</f>
        <v/>
      </c>
      <c r="M1906" s="13">
        <f>IF(B1906="","",MONTH(B1906))</f>
        <v/>
      </c>
      <c r="N1906" s="9" t="n"/>
      <c r="O1906" s="9" t="n"/>
      <c r="P1906" s="9" t="n"/>
      <c r="Q1906" s="9" t="n"/>
    </row>
    <row r="1907">
      <c r="A1907" s="9" t="n"/>
      <c r="B1907" s="70" t="n"/>
      <c r="C1907" s="9" t="n"/>
      <c r="D1907" s="9" t="n"/>
      <c r="E1907" s="9" t="n"/>
      <c r="F1907" s="9" t="n"/>
      <c r="G1907" s="9" t="n"/>
      <c r="H1907" s="71" t="n"/>
      <c r="I1907" s="9" t="n"/>
      <c r="J1907" s="89">
        <f>IF(H1907="","",IF(I1907="Sí",ROUND(H1907*Configuracion!$B$11,0),0))</f>
        <v/>
      </c>
      <c r="K1907" s="89">
        <f>IF(H1907="","",H1907+J1907)</f>
        <v/>
      </c>
      <c r="L1907" s="13">
        <f>IF(B1907="","",YEAR(B1907))</f>
        <v/>
      </c>
      <c r="M1907" s="13">
        <f>IF(B1907="","",MONTH(B1907))</f>
        <v/>
      </c>
      <c r="N1907" s="9" t="n"/>
      <c r="O1907" s="9" t="n"/>
      <c r="P1907" s="9" t="n"/>
      <c r="Q1907" s="9" t="n"/>
    </row>
    <row r="1908">
      <c r="A1908" s="9" t="n"/>
      <c r="B1908" s="70" t="n"/>
      <c r="C1908" s="9" t="n"/>
      <c r="D1908" s="9" t="n"/>
      <c r="E1908" s="9" t="n"/>
      <c r="F1908" s="9" t="n"/>
      <c r="G1908" s="9" t="n"/>
      <c r="H1908" s="71" t="n"/>
      <c r="I1908" s="9" t="n"/>
      <c r="J1908" s="89">
        <f>IF(H1908="","",IF(I1908="Sí",ROUND(H1908*Configuracion!$B$11,0),0))</f>
        <v/>
      </c>
      <c r="K1908" s="89">
        <f>IF(H1908="","",H1908+J1908)</f>
        <v/>
      </c>
      <c r="L1908" s="13">
        <f>IF(B1908="","",YEAR(B1908))</f>
        <v/>
      </c>
      <c r="M1908" s="13">
        <f>IF(B1908="","",MONTH(B1908))</f>
        <v/>
      </c>
      <c r="N1908" s="9" t="n"/>
      <c r="O1908" s="9" t="n"/>
      <c r="P1908" s="9" t="n"/>
      <c r="Q1908" s="9" t="n"/>
    </row>
    <row r="1909">
      <c r="A1909" s="9" t="n"/>
      <c r="B1909" s="70" t="n"/>
      <c r="C1909" s="9" t="n"/>
      <c r="D1909" s="9" t="n"/>
      <c r="E1909" s="9" t="n"/>
      <c r="F1909" s="9" t="n"/>
      <c r="G1909" s="9" t="n"/>
      <c r="H1909" s="71" t="n"/>
      <c r="I1909" s="9" t="n"/>
      <c r="J1909" s="89">
        <f>IF(H1909="","",IF(I1909="Sí",ROUND(H1909*Configuracion!$B$11,0),0))</f>
        <v/>
      </c>
      <c r="K1909" s="89">
        <f>IF(H1909="","",H1909+J1909)</f>
        <v/>
      </c>
      <c r="L1909" s="13">
        <f>IF(B1909="","",YEAR(B1909))</f>
        <v/>
      </c>
      <c r="M1909" s="13">
        <f>IF(B1909="","",MONTH(B1909))</f>
        <v/>
      </c>
      <c r="N1909" s="9" t="n"/>
      <c r="O1909" s="9" t="n"/>
      <c r="P1909" s="9" t="n"/>
      <c r="Q1909" s="9" t="n"/>
    </row>
    <row r="1910">
      <c r="A1910" s="9" t="n"/>
      <c r="B1910" s="70" t="n"/>
      <c r="C1910" s="9" t="n"/>
      <c r="D1910" s="9" t="n"/>
      <c r="E1910" s="9" t="n"/>
      <c r="F1910" s="9" t="n"/>
      <c r="G1910" s="9" t="n"/>
      <c r="H1910" s="71" t="n"/>
      <c r="I1910" s="9" t="n"/>
      <c r="J1910" s="89">
        <f>IF(H1910="","",IF(I1910="Sí",ROUND(H1910*Configuracion!$B$11,0),0))</f>
        <v/>
      </c>
      <c r="K1910" s="89">
        <f>IF(H1910="","",H1910+J1910)</f>
        <v/>
      </c>
      <c r="L1910" s="13">
        <f>IF(B1910="","",YEAR(B1910))</f>
        <v/>
      </c>
      <c r="M1910" s="13">
        <f>IF(B1910="","",MONTH(B1910))</f>
        <v/>
      </c>
      <c r="N1910" s="9" t="n"/>
      <c r="O1910" s="9" t="n"/>
      <c r="P1910" s="9" t="n"/>
      <c r="Q1910" s="9" t="n"/>
    </row>
    <row r="1911">
      <c r="A1911" s="9" t="n"/>
      <c r="B1911" s="70" t="n"/>
      <c r="C1911" s="9" t="n"/>
      <c r="D1911" s="9" t="n"/>
      <c r="E1911" s="9" t="n"/>
      <c r="F1911" s="9" t="n"/>
      <c r="G1911" s="9" t="n"/>
      <c r="H1911" s="71" t="n"/>
      <c r="I1911" s="9" t="n"/>
      <c r="J1911" s="89">
        <f>IF(H1911="","",IF(I1911="Sí",ROUND(H1911*Configuracion!$B$11,0),0))</f>
        <v/>
      </c>
      <c r="K1911" s="89">
        <f>IF(H1911="","",H1911+J1911)</f>
        <v/>
      </c>
      <c r="L1911" s="13">
        <f>IF(B1911="","",YEAR(B1911))</f>
        <v/>
      </c>
      <c r="M1911" s="13">
        <f>IF(B1911="","",MONTH(B1911))</f>
        <v/>
      </c>
      <c r="N1911" s="9" t="n"/>
      <c r="O1911" s="9" t="n"/>
      <c r="P1911" s="9" t="n"/>
      <c r="Q1911" s="9" t="n"/>
    </row>
    <row r="1912">
      <c r="A1912" s="9" t="n"/>
      <c r="B1912" s="70" t="n"/>
      <c r="C1912" s="9" t="n"/>
      <c r="D1912" s="9" t="n"/>
      <c r="E1912" s="9" t="n"/>
      <c r="F1912" s="9" t="n"/>
      <c r="G1912" s="9" t="n"/>
      <c r="H1912" s="71" t="n"/>
      <c r="I1912" s="9" t="n"/>
      <c r="J1912" s="89">
        <f>IF(H1912="","",IF(I1912="Sí",ROUND(H1912*Configuracion!$B$11,0),0))</f>
        <v/>
      </c>
      <c r="K1912" s="89">
        <f>IF(H1912="","",H1912+J1912)</f>
        <v/>
      </c>
      <c r="L1912" s="13">
        <f>IF(B1912="","",YEAR(B1912))</f>
        <v/>
      </c>
      <c r="M1912" s="13">
        <f>IF(B1912="","",MONTH(B1912))</f>
        <v/>
      </c>
      <c r="N1912" s="9" t="n"/>
      <c r="O1912" s="9" t="n"/>
      <c r="P1912" s="9" t="n"/>
      <c r="Q1912" s="9" t="n"/>
    </row>
    <row r="1913">
      <c r="A1913" s="9" t="n"/>
      <c r="B1913" s="70" t="n"/>
      <c r="C1913" s="9" t="n"/>
      <c r="D1913" s="9" t="n"/>
      <c r="E1913" s="9" t="n"/>
      <c r="F1913" s="9" t="n"/>
      <c r="G1913" s="9" t="n"/>
      <c r="H1913" s="71" t="n"/>
      <c r="I1913" s="9" t="n"/>
      <c r="J1913" s="89">
        <f>IF(H1913="","",IF(I1913="Sí",ROUND(H1913*Configuracion!$B$11,0),0))</f>
        <v/>
      </c>
      <c r="K1913" s="89">
        <f>IF(H1913="","",H1913+J1913)</f>
        <v/>
      </c>
      <c r="L1913" s="13">
        <f>IF(B1913="","",YEAR(B1913))</f>
        <v/>
      </c>
      <c r="M1913" s="13">
        <f>IF(B1913="","",MONTH(B1913))</f>
        <v/>
      </c>
      <c r="N1913" s="9" t="n"/>
      <c r="O1913" s="9" t="n"/>
      <c r="P1913" s="9" t="n"/>
      <c r="Q1913" s="9" t="n"/>
    </row>
    <row r="1914">
      <c r="A1914" s="9" t="n"/>
      <c r="B1914" s="70" t="n"/>
      <c r="C1914" s="9" t="n"/>
      <c r="D1914" s="9" t="n"/>
      <c r="E1914" s="9" t="n"/>
      <c r="F1914" s="9" t="n"/>
      <c r="G1914" s="9" t="n"/>
      <c r="H1914" s="71" t="n"/>
      <c r="I1914" s="9" t="n"/>
      <c r="J1914" s="89">
        <f>IF(H1914="","",IF(I1914="Sí",ROUND(H1914*Configuracion!$B$11,0),0))</f>
        <v/>
      </c>
      <c r="K1914" s="89">
        <f>IF(H1914="","",H1914+J1914)</f>
        <v/>
      </c>
      <c r="L1914" s="13">
        <f>IF(B1914="","",YEAR(B1914))</f>
        <v/>
      </c>
      <c r="M1914" s="13">
        <f>IF(B1914="","",MONTH(B1914))</f>
        <v/>
      </c>
      <c r="N1914" s="9" t="n"/>
      <c r="O1914" s="9" t="n"/>
      <c r="P1914" s="9" t="n"/>
      <c r="Q1914" s="9" t="n"/>
    </row>
    <row r="1915">
      <c r="A1915" s="9" t="n"/>
      <c r="B1915" s="70" t="n"/>
      <c r="C1915" s="9" t="n"/>
      <c r="D1915" s="9" t="n"/>
      <c r="E1915" s="9" t="n"/>
      <c r="F1915" s="9" t="n"/>
      <c r="G1915" s="9" t="n"/>
      <c r="H1915" s="71" t="n"/>
      <c r="I1915" s="9" t="n"/>
      <c r="J1915" s="89">
        <f>IF(H1915="","",IF(I1915="Sí",ROUND(H1915*Configuracion!$B$11,0),0))</f>
        <v/>
      </c>
      <c r="K1915" s="89">
        <f>IF(H1915="","",H1915+J1915)</f>
        <v/>
      </c>
      <c r="L1915" s="13">
        <f>IF(B1915="","",YEAR(B1915))</f>
        <v/>
      </c>
      <c r="M1915" s="13">
        <f>IF(B1915="","",MONTH(B1915))</f>
        <v/>
      </c>
      <c r="N1915" s="9" t="n"/>
      <c r="O1915" s="9" t="n"/>
      <c r="P1915" s="9" t="n"/>
      <c r="Q1915" s="9" t="n"/>
    </row>
    <row r="1916">
      <c r="A1916" s="9" t="n"/>
      <c r="B1916" s="70" t="n"/>
      <c r="C1916" s="9" t="n"/>
      <c r="D1916" s="9" t="n"/>
      <c r="E1916" s="9" t="n"/>
      <c r="F1916" s="9" t="n"/>
      <c r="G1916" s="9" t="n"/>
      <c r="H1916" s="71" t="n"/>
      <c r="I1916" s="9" t="n"/>
      <c r="J1916" s="89">
        <f>IF(H1916="","",IF(I1916="Sí",ROUND(H1916*Configuracion!$B$11,0),0))</f>
        <v/>
      </c>
      <c r="K1916" s="89">
        <f>IF(H1916="","",H1916+J1916)</f>
        <v/>
      </c>
      <c r="L1916" s="13">
        <f>IF(B1916="","",YEAR(B1916))</f>
        <v/>
      </c>
      <c r="M1916" s="13">
        <f>IF(B1916="","",MONTH(B1916))</f>
        <v/>
      </c>
      <c r="N1916" s="9" t="n"/>
      <c r="O1916" s="9" t="n"/>
      <c r="P1916" s="9" t="n"/>
      <c r="Q1916" s="9" t="n"/>
    </row>
    <row r="1917">
      <c r="A1917" s="9" t="n"/>
      <c r="B1917" s="70" t="n"/>
      <c r="C1917" s="9" t="n"/>
      <c r="D1917" s="9" t="n"/>
      <c r="E1917" s="9" t="n"/>
      <c r="F1917" s="9" t="n"/>
      <c r="G1917" s="9" t="n"/>
      <c r="H1917" s="71" t="n"/>
      <c r="I1917" s="9" t="n"/>
      <c r="J1917" s="89">
        <f>IF(H1917="","",IF(I1917="Sí",ROUND(H1917*Configuracion!$B$11,0),0))</f>
        <v/>
      </c>
      <c r="K1917" s="89">
        <f>IF(H1917="","",H1917+J1917)</f>
        <v/>
      </c>
      <c r="L1917" s="13">
        <f>IF(B1917="","",YEAR(B1917))</f>
        <v/>
      </c>
      <c r="M1917" s="13">
        <f>IF(B1917="","",MONTH(B1917))</f>
        <v/>
      </c>
      <c r="N1917" s="9" t="n"/>
      <c r="O1917" s="9" t="n"/>
      <c r="P1917" s="9" t="n"/>
      <c r="Q1917" s="9" t="n"/>
    </row>
    <row r="1918">
      <c r="A1918" s="9" t="n"/>
      <c r="B1918" s="70" t="n"/>
      <c r="C1918" s="9" t="n"/>
      <c r="D1918" s="9" t="n"/>
      <c r="E1918" s="9" t="n"/>
      <c r="F1918" s="9" t="n"/>
      <c r="G1918" s="9" t="n"/>
      <c r="H1918" s="71" t="n"/>
      <c r="I1918" s="9" t="n"/>
      <c r="J1918" s="89">
        <f>IF(H1918="","",IF(I1918="Sí",ROUND(H1918*Configuracion!$B$11,0),0))</f>
        <v/>
      </c>
      <c r="K1918" s="89">
        <f>IF(H1918="","",H1918+J1918)</f>
        <v/>
      </c>
      <c r="L1918" s="13">
        <f>IF(B1918="","",YEAR(B1918))</f>
        <v/>
      </c>
      <c r="M1918" s="13">
        <f>IF(B1918="","",MONTH(B1918))</f>
        <v/>
      </c>
      <c r="N1918" s="9" t="n"/>
      <c r="O1918" s="9" t="n"/>
      <c r="P1918" s="9" t="n"/>
      <c r="Q1918" s="9" t="n"/>
    </row>
    <row r="1919">
      <c r="A1919" s="9" t="n"/>
      <c r="B1919" s="70" t="n"/>
      <c r="C1919" s="9" t="n"/>
      <c r="D1919" s="9" t="n"/>
      <c r="E1919" s="9" t="n"/>
      <c r="F1919" s="9" t="n"/>
      <c r="G1919" s="9" t="n"/>
      <c r="H1919" s="71" t="n"/>
      <c r="I1919" s="9" t="n"/>
      <c r="J1919" s="89">
        <f>IF(H1919="","",IF(I1919="Sí",ROUND(H1919*Configuracion!$B$11,0),0))</f>
        <v/>
      </c>
      <c r="K1919" s="89">
        <f>IF(H1919="","",H1919+J1919)</f>
        <v/>
      </c>
      <c r="L1919" s="13">
        <f>IF(B1919="","",YEAR(B1919))</f>
        <v/>
      </c>
      <c r="M1919" s="13">
        <f>IF(B1919="","",MONTH(B1919))</f>
        <v/>
      </c>
      <c r="N1919" s="9" t="n"/>
      <c r="O1919" s="9" t="n"/>
      <c r="P1919" s="9" t="n"/>
      <c r="Q1919" s="9" t="n"/>
    </row>
    <row r="1920">
      <c r="A1920" s="9" t="n"/>
      <c r="B1920" s="70" t="n"/>
      <c r="C1920" s="9" t="n"/>
      <c r="D1920" s="9" t="n"/>
      <c r="E1920" s="9" t="n"/>
      <c r="F1920" s="9" t="n"/>
      <c r="G1920" s="9" t="n"/>
      <c r="H1920" s="71" t="n"/>
      <c r="I1920" s="9" t="n"/>
      <c r="J1920" s="89">
        <f>IF(H1920="","",IF(I1920="Sí",ROUND(H1920*Configuracion!$B$11,0),0))</f>
        <v/>
      </c>
      <c r="K1920" s="89">
        <f>IF(H1920="","",H1920+J1920)</f>
        <v/>
      </c>
      <c r="L1920" s="13">
        <f>IF(B1920="","",YEAR(B1920))</f>
        <v/>
      </c>
      <c r="M1920" s="13">
        <f>IF(B1920="","",MONTH(B1920))</f>
        <v/>
      </c>
      <c r="N1920" s="9" t="n"/>
      <c r="O1920" s="9" t="n"/>
      <c r="P1920" s="9" t="n"/>
      <c r="Q1920" s="9" t="n"/>
    </row>
    <row r="1921">
      <c r="A1921" s="9" t="n"/>
      <c r="B1921" s="70" t="n"/>
      <c r="C1921" s="9" t="n"/>
      <c r="D1921" s="9" t="n"/>
      <c r="E1921" s="9" t="n"/>
      <c r="F1921" s="9" t="n"/>
      <c r="G1921" s="9" t="n"/>
      <c r="H1921" s="71" t="n"/>
      <c r="I1921" s="9" t="n"/>
      <c r="J1921" s="89">
        <f>IF(H1921="","",IF(I1921="Sí",ROUND(H1921*Configuracion!$B$11,0),0))</f>
        <v/>
      </c>
      <c r="K1921" s="89">
        <f>IF(H1921="","",H1921+J1921)</f>
        <v/>
      </c>
      <c r="L1921" s="13">
        <f>IF(B1921="","",YEAR(B1921))</f>
        <v/>
      </c>
      <c r="M1921" s="13">
        <f>IF(B1921="","",MONTH(B1921))</f>
        <v/>
      </c>
      <c r="N1921" s="9" t="n"/>
      <c r="O1921" s="9" t="n"/>
      <c r="P1921" s="9" t="n"/>
      <c r="Q1921" s="9" t="n"/>
    </row>
    <row r="1922">
      <c r="A1922" s="9" t="n"/>
      <c r="B1922" s="70" t="n"/>
      <c r="C1922" s="9" t="n"/>
      <c r="D1922" s="9" t="n"/>
      <c r="E1922" s="9" t="n"/>
      <c r="F1922" s="9" t="n"/>
      <c r="G1922" s="9" t="n"/>
      <c r="H1922" s="71" t="n"/>
      <c r="I1922" s="9" t="n"/>
      <c r="J1922" s="89">
        <f>IF(H1922="","",IF(I1922="Sí",ROUND(H1922*Configuracion!$B$11,0),0))</f>
        <v/>
      </c>
      <c r="K1922" s="89">
        <f>IF(H1922="","",H1922+J1922)</f>
        <v/>
      </c>
      <c r="L1922" s="13">
        <f>IF(B1922="","",YEAR(B1922))</f>
        <v/>
      </c>
      <c r="M1922" s="13">
        <f>IF(B1922="","",MONTH(B1922))</f>
        <v/>
      </c>
      <c r="N1922" s="9" t="n"/>
      <c r="O1922" s="9" t="n"/>
      <c r="P1922" s="9" t="n"/>
      <c r="Q1922" s="9" t="n"/>
    </row>
    <row r="1923">
      <c r="A1923" s="9" t="n"/>
      <c r="B1923" s="70" t="n"/>
      <c r="C1923" s="9" t="n"/>
      <c r="D1923" s="9" t="n"/>
      <c r="E1923" s="9" t="n"/>
      <c r="F1923" s="9" t="n"/>
      <c r="G1923" s="9" t="n"/>
      <c r="H1923" s="71" t="n"/>
      <c r="I1923" s="9" t="n"/>
      <c r="J1923" s="89">
        <f>IF(H1923="","",IF(I1923="Sí",ROUND(H1923*Configuracion!$B$11,0),0))</f>
        <v/>
      </c>
      <c r="K1923" s="89">
        <f>IF(H1923="","",H1923+J1923)</f>
        <v/>
      </c>
      <c r="L1923" s="13">
        <f>IF(B1923="","",YEAR(B1923))</f>
        <v/>
      </c>
      <c r="M1923" s="13">
        <f>IF(B1923="","",MONTH(B1923))</f>
        <v/>
      </c>
      <c r="N1923" s="9" t="n"/>
      <c r="O1923" s="9" t="n"/>
      <c r="P1923" s="9" t="n"/>
      <c r="Q1923" s="9" t="n"/>
    </row>
    <row r="1924">
      <c r="A1924" s="9" t="n"/>
      <c r="B1924" s="70" t="n"/>
      <c r="C1924" s="9" t="n"/>
      <c r="D1924" s="9" t="n"/>
      <c r="E1924" s="9" t="n"/>
      <c r="F1924" s="9" t="n"/>
      <c r="G1924" s="9" t="n"/>
      <c r="H1924" s="71" t="n"/>
      <c r="I1924" s="9" t="n"/>
      <c r="J1924" s="89">
        <f>IF(H1924="","",IF(I1924="Sí",ROUND(H1924*Configuracion!$B$11,0),0))</f>
        <v/>
      </c>
      <c r="K1924" s="89">
        <f>IF(H1924="","",H1924+J1924)</f>
        <v/>
      </c>
      <c r="L1924" s="13">
        <f>IF(B1924="","",YEAR(B1924))</f>
        <v/>
      </c>
      <c r="M1924" s="13">
        <f>IF(B1924="","",MONTH(B1924))</f>
        <v/>
      </c>
      <c r="N1924" s="9" t="n"/>
      <c r="O1924" s="9" t="n"/>
      <c r="P1924" s="9" t="n"/>
      <c r="Q1924" s="9" t="n"/>
    </row>
    <row r="1925">
      <c r="A1925" s="9" t="n"/>
      <c r="B1925" s="70" t="n"/>
      <c r="C1925" s="9" t="n"/>
      <c r="D1925" s="9" t="n"/>
      <c r="E1925" s="9" t="n"/>
      <c r="F1925" s="9" t="n"/>
      <c r="G1925" s="9" t="n"/>
      <c r="H1925" s="71" t="n"/>
      <c r="I1925" s="9" t="n"/>
      <c r="J1925" s="89">
        <f>IF(H1925="","",IF(I1925="Sí",ROUND(H1925*Configuracion!$B$11,0),0))</f>
        <v/>
      </c>
      <c r="K1925" s="89">
        <f>IF(H1925="","",H1925+J1925)</f>
        <v/>
      </c>
      <c r="L1925" s="13">
        <f>IF(B1925="","",YEAR(B1925))</f>
        <v/>
      </c>
      <c r="M1925" s="13">
        <f>IF(B1925="","",MONTH(B1925))</f>
        <v/>
      </c>
      <c r="N1925" s="9" t="n"/>
      <c r="O1925" s="9" t="n"/>
      <c r="P1925" s="9" t="n"/>
      <c r="Q1925" s="9" t="n"/>
    </row>
    <row r="1926">
      <c r="A1926" s="9" t="n"/>
      <c r="B1926" s="70" t="n"/>
      <c r="C1926" s="9" t="n"/>
      <c r="D1926" s="9" t="n"/>
      <c r="E1926" s="9" t="n"/>
      <c r="F1926" s="9" t="n"/>
      <c r="G1926" s="9" t="n"/>
      <c r="H1926" s="71" t="n"/>
      <c r="I1926" s="9" t="n"/>
      <c r="J1926" s="89">
        <f>IF(H1926="","",IF(I1926="Sí",ROUND(H1926*Configuracion!$B$11,0),0))</f>
        <v/>
      </c>
      <c r="K1926" s="89">
        <f>IF(H1926="","",H1926+J1926)</f>
        <v/>
      </c>
      <c r="L1926" s="13">
        <f>IF(B1926="","",YEAR(B1926))</f>
        <v/>
      </c>
      <c r="M1926" s="13">
        <f>IF(B1926="","",MONTH(B1926))</f>
        <v/>
      </c>
      <c r="N1926" s="9" t="n"/>
      <c r="O1926" s="9" t="n"/>
      <c r="P1926" s="9" t="n"/>
      <c r="Q1926" s="9" t="n"/>
    </row>
    <row r="1927">
      <c r="A1927" s="9" t="n"/>
      <c r="B1927" s="70" t="n"/>
      <c r="C1927" s="9" t="n"/>
      <c r="D1927" s="9" t="n"/>
      <c r="E1927" s="9" t="n"/>
      <c r="F1927" s="9" t="n"/>
      <c r="G1927" s="9" t="n"/>
      <c r="H1927" s="71" t="n"/>
      <c r="I1927" s="9" t="n"/>
      <c r="J1927" s="89">
        <f>IF(H1927="","",IF(I1927="Sí",ROUND(H1927*Configuracion!$B$11,0),0))</f>
        <v/>
      </c>
      <c r="K1927" s="89">
        <f>IF(H1927="","",H1927+J1927)</f>
        <v/>
      </c>
      <c r="L1927" s="13">
        <f>IF(B1927="","",YEAR(B1927))</f>
        <v/>
      </c>
      <c r="M1927" s="13">
        <f>IF(B1927="","",MONTH(B1927))</f>
        <v/>
      </c>
      <c r="N1927" s="9" t="n"/>
      <c r="O1927" s="9" t="n"/>
      <c r="P1927" s="9" t="n"/>
      <c r="Q1927" s="9" t="n"/>
    </row>
    <row r="1928">
      <c r="A1928" s="9" t="n"/>
      <c r="B1928" s="70" t="n"/>
      <c r="C1928" s="9" t="n"/>
      <c r="D1928" s="9" t="n"/>
      <c r="E1928" s="9" t="n"/>
      <c r="F1928" s="9" t="n"/>
      <c r="G1928" s="9" t="n"/>
      <c r="H1928" s="71" t="n"/>
      <c r="I1928" s="9" t="n"/>
      <c r="J1928" s="89">
        <f>IF(H1928="","",IF(I1928="Sí",ROUND(H1928*Configuracion!$B$11,0),0))</f>
        <v/>
      </c>
      <c r="K1928" s="89">
        <f>IF(H1928="","",H1928+J1928)</f>
        <v/>
      </c>
      <c r="L1928" s="13">
        <f>IF(B1928="","",YEAR(B1928))</f>
        <v/>
      </c>
      <c r="M1928" s="13">
        <f>IF(B1928="","",MONTH(B1928))</f>
        <v/>
      </c>
      <c r="N1928" s="9" t="n"/>
      <c r="O1928" s="9" t="n"/>
      <c r="P1928" s="9" t="n"/>
      <c r="Q1928" s="9" t="n"/>
    </row>
    <row r="1929">
      <c r="A1929" s="9" t="n"/>
      <c r="B1929" s="70" t="n"/>
      <c r="C1929" s="9" t="n"/>
      <c r="D1929" s="9" t="n"/>
      <c r="E1929" s="9" t="n"/>
      <c r="F1929" s="9" t="n"/>
      <c r="G1929" s="9" t="n"/>
      <c r="H1929" s="71" t="n"/>
      <c r="I1929" s="9" t="n"/>
      <c r="J1929" s="89">
        <f>IF(H1929="","",IF(I1929="Sí",ROUND(H1929*Configuracion!$B$11,0),0))</f>
        <v/>
      </c>
      <c r="K1929" s="89">
        <f>IF(H1929="","",H1929+J1929)</f>
        <v/>
      </c>
      <c r="L1929" s="13">
        <f>IF(B1929="","",YEAR(B1929))</f>
        <v/>
      </c>
      <c r="M1929" s="13">
        <f>IF(B1929="","",MONTH(B1929))</f>
        <v/>
      </c>
      <c r="N1929" s="9" t="n"/>
      <c r="O1929" s="9" t="n"/>
      <c r="P1929" s="9" t="n"/>
      <c r="Q1929" s="9" t="n"/>
    </row>
    <row r="1930">
      <c r="A1930" s="9" t="n"/>
      <c r="B1930" s="70" t="n"/>
      <c r="C1930" s="9" t="n"/>
      <c r="D1930" s="9" t="n"/>
      <c r="E1930" s="9" t="n"/>
      <c r="F1930" s="9" t="n"/>
      <c r="G1930" s="9" t="n"/>
      <c r="H1930" s="71" t="n"/>
      <c r="I1930" s="9" t="n"/>
      <c r="J1930" s="89">
        <f>IF(H1930="","",IF(I1930="Sí",ROUND(H1930*Configuracion!$B$11,0),0))</f>
        <v/>
      </c>
      <c r="K1930" s="89">
        <f>IF(H1930="","",H1930+J1930)</f>
        <v/>
      </c>
      <c r="L1930" s="13">
        <f>IF(B1930="","",YEAR(B1930))</f>
        <v/>
      </c>
      <c r="M1930" s="13">
        <f>IF(B1930="","",MONTH(B1930))</f>
        <v/>
      </c>
      <c r="N1930" s="9" t="n"/>
      <c r="O1930" s="9" t="n"/>
      <c r="P1930" s="9" t="n"/>
      <c r="Q1930" s="9" t="n"/>
    </row>
    <row r="1931">
      <c r="A1931" s="9" t="n"/>
      <c r="B1931" s="70" t="n"/>
      <c r="C1931" s="9" t="n"/>
      <c r="D1931" s="9" t="n"/>
      <c r="E1931" s="9" t="n"/>
      <c r="F1931" s="9" t="n"/>
      <c r="G1931" s="9" t="n"/>
      <c r="H1931" s="71" t="n"/>
      <c r="I1931" s="9" t="n"/>
      <c r="J1931" s="89">
        <f>IF(H1931="","",IF(I1931="Sí",ROUND(H1931*Configuracion!$B$11,0),0))</f>
        <v/>
      </c>
      <c r="K1931" s="89">
        <f>IF(H1931="","",H1931+J1931)</f>
        <v/>
      </c>
      <c r="L1931" s="13">
        <f>IF(B1931="","",YEAR(B1931))</f>
        <v/>
      </c>
      <c r="M1931" s="13">
        <f>IF(B1931="","",MONTH(B1931))</f>
        <v/>
      </c>
      <c r="N1931" s="9" t="n"/>
      <c r="O1931" s="9" t="n"/>
      <c r="P1931" s="9" t="n"/>
      <c r="Q1931" s="9" t="n"/>
    </row>
    <row r="1932">
      <c r="A1932" s="9" t="n"/>
      <c r="B1932" s="70" t="n"/>
      <c r="C1932" s="9" t="n"/>
      <c r="D1932" s="9" t="n"/>
      <c r="E1932" s="9" t="n"/>
      <c r="F1932" s="9" t="n"/>
      <c r="G1932" s="9" t="n"/>
      <c r="H1932" s="71" t="n"/>
      <c r="I1932" s="9" t="n"/>
      <c r="J1932" s="89">
        <f>IF(H1932="","",IF(I1932="Sí",ROUND(H1932*Configuracion!$B$11,0),0))</f>
        <v/>
      </c>
      <c r="K1932" s="89">
        <f>IF(H1932="","",H1932+J1932)</f>
        <v/>
      </c>
      <c r="L1932" s="13">
        <f>IF(B1932="","",YEAR(B1932))</f>
        <v/>
      </c>
      <c r="M1932" s="13">
        <f>IF(B1932="","",MONTH(B1932))</f>
        <v/>
      </c>
      <c r="N1932" s="9" t="n"/>
      <c r="O1932" s="9" t="n"/>
      <c r="P1932" s="9" t="n"/>
      <c r="Q1932" s="9" t="n"/>
    </row>
    <row r="1933">
      <c r="A1933" s="9" t="n"/>
      <c r="B1933" s="70" t="n"/>
      <c r="C1933" s="9" t="n"/>
      <c r="D1933" s="9" t="n"/>
      <c r="E1933" s="9" t="n"/>
      <c r="F1933" s="9" t="n"/>
      <c r="G1933" s="9" t="n"/>
      <c r="H1933" s="71" t="n"/>
      <c r="I1933" s="9" t="n"/>
      <c r="J1933" s="89">
        <f>IF(H1933="","",IF(I1933="Sí",ROUND(H1933*Configuracion!$B$11,0),0))</f>
        <v/>
      </c>
      <c r="K1933" s="89">
        <f>IF(H1933="","",H1933+J1933)</f>
        <v/>
      </c>
      <c r="L1933" s="13">
        <f>IF(B1933="","",YEAR(B1933))</f>
        <v/>
      </c>
      <c r="M1933" s="13">
        <f>IF(B1933="","",MONTH(B1933))</f>
        <v/>
      </c>
      <c r="N1933" s="9" t="n"/>
      <c r="O1933" s="9" t="n"/>
      <c r="P1933" s="9" t="n"/>
      <c r="Q1933" s="9" t="n"/>
    </row>
    <row r="1934">
      <c r="A1934" s="9" t="n"/>
      <c r="B1934" s="70" t="n"/>
      <c r="C1934" s="9" t="n"/>
      <c r="D1934" s="9" t="n"/>
      <c r="E1934" s="9" t="n"/>
      <c r="F1934" s="9" t="n"/>
      <c r="G1934" s="9" t="n"/>
      <c r="H1934" s="71" t="n"/>
      <c r="I1934" s="9" t="n"/>
      <c r="J1934" s="89">
        <f>IF(H1934="","",IF(I1934="Sí",ROUND(H1934*Configuracion!$B$11,0),0))</f>
        <v/>
      </c>
      <c r="K1934" s="89">
        <f>IF(H1934="","",H1934+J1934)</f>
        <v/>
      </c>
      <c r="L1934" s="13">
        <f>IF(B1934="","",YEAR(B1934))</f>
        <v/>
      </c>
      <c r="M1934" s="13">
        <f>IF(B1934="","",MONTH(B1934))</f>
        <v/>
      </c>
      <c r="N1934" s="9" t="n"/>
      <c r="O1934" s="9" t="n"/>
      <c r="P1934" s="9" t="n"/>
      <c r="Q1934" s="9" t="n"/>
    </row>
    <row r="1935">
      <c r="A1935" s="9" t="n"/>
      <c r="B1935" s="70" t="n"/>
      <c r="C1935" s="9" t="n"/>
      <c r="D1935" s="9" t="n"/>
      <c r="E1935" s="9" t="n"/>
      <c r="F1935" s="9" t="n"/>
      <c r="G1935" s="9" t="n"/>
      <c r="H1935" s="71" t="n"/>
      <c r="I1935" s="9" t="n"/>
      <c r="J1935" s="89">
        <f>IF(H1935="","",IF(I1935="Sí",ROUND(H1935*Configuracion!$B$11,0),0))</f>
        <v/>
      </c>
      <c r="K1935" s="89">
        <f>IF(H1935="","",H1935+J1935)</f>
        <v/>
      </c>
      <c r="L1935" s="13">
        <f>IF(B1935="","",YEAR(B1935))</f>
        <v/>
      </c>
      <c r="M1935" s="13">
        <f>IF(B1935="","",MONTH(B1935))</f>
        <v/>
      </c>
      <c r="N1935" s="9" t="n"/>
      <c r="O1935" s="9" t="n"/>
      <c r="P1935" s="9" t="n"/>
      <c r="Q1935" s="9" t="n"/>
    </row>
    <row r="1936">
      <c r="A1936" s="9" t="n"/>
      <c r="B1936" s="70" t="n"/>
      <c r="C1936" s="9" t="n"/>
      <c r="D1936" s="9" t="n"/>
      <c r="E1936" s="9" t="n"/>
      <c r="F1936" s="9" t="n"/>
      <c r="G1936" s="9" t="n"/>
      <c r="H1936" s="71" t="n"/>
      <c r="I1936" s="9" t="n"/>
      <c r="J1936" s="89">
        <f>IF(H1936="","",IF(I1936="Sí",ROUND(H1936*Configuracion!$B$11,0),0))</f>
        <v/>
      </c>
      <c r="K1936" s="89">
        <f>IF(H1936="","",H1936+J1936)</f>
        <v/>
      </c>
      <c r="L1936" s="13">
        <f>IF(B1936="","",YEAR(B1936))</f>
        <v/>
      </c>
      <c r="M1936" s="13">
        <f>IF(B1936="","",MONTH(B1936))</f>
        <v/>
      </c>
      <c r="N1936" s="9" t="n"/>
      <c r="O1936" s="9" t="n"/>
      <c r="P1936" s="9" t="n"/>
      <c r="Q1936" s="9" t="n"/>
    </row>
    <row r="1937">
      <c r="A1937" s="9" t="n"/>
      <c r="B1937" s="70" t="n"/>
      <c r="C1937" s="9" t="n"/>
      <c r="D1937" s="9" t="n"/>
      <c r="E1937" s="9" t="n"/>
      <c r="F1937" s="9" t="n"/>
      <c r="G1937" s="9" t="n"/>
      <c r="H1937" s="71" t="n"/>
      <c r="I1937" s="9" t="n"/>
      <c r="J1937" s="89">
        <f>IF(H1937="","",IF(I1937="Sí",ROUND(H1937*Configuracion!$B$11,0),0))</f>
        <v/>
      </c>
      <c r="K1937" s="89">
        <f>IF(H1937="","",H1937+J1937)</f>
        <v/>
      </c>
      <c r="L1937" s="13">
        <f>IF(B1937="","",YEAR(B1937))</f>
        <v/>
      </c>
      <c r="M1937" s="13">
        <f>IF(B1937="","",MONTH(B1937))</f>
        <v/>
      </c>
      <c r="N1937" s="9" t="n"/>
      <c r="O1937" s="9" t="n"/>
      <c r="P1937" s="9" t="n"/>
      <c r="Q1937" s="9" t="n"/>
    </row>
    <row r="1938">
      <c r="A1938" s="9" t="n"/>
      <c r="B1938" s="70" t="n"/>
      <c r="C1938" s="9" t="n"/>
      <c r="D1938" s="9" t="n"/>
      <c r="E1938" s="9" t="n"/>
      <c r="F1938" s="9" t="n"/>
      <c r="G1938" s="9" t="n"/>
      <c r="H1938" s="71" t="n"/>
      <c r="I1938" s="9" t="n"/>
      <c r="J1938" s="89">
        <f>IF(H1938="","",IF(I1938="Sí",ROUND(H1938*Configuracion!$B$11,0),0))</f>
        <v/>
      </c>
      <c r="K1938" s="89">
        <f>IF(H1938="","",H1938+J1938)</f>
        <v/>
      </c>
      <c r="L1938" s="13">
        <f>IF(B1938="","",YEAR(B1938))</f>
        <v/>
      </c>
      <c r="M1938" s="13">
        <f>IF(B1938="","",MONTH(B1938))</f>
        <v/>
      </c>
      <c r="N1938" s="9" t="n"/>
      <c r="O1938" s="9" t="n"/>
      <c r="P1938" s="9" t="n"/>
      <c r="Q1938" s="9" t="n"/>
    </row>
    <row r="1939">
      <c r="A1939" s="9" t="n"/>
      <c r="B1939" s="70" t="n"/>
      <c r="C1939" s="9" t="n"/>
      <c r="D1939" s="9" t="n"/>
      <c r="E1939" s="9" t="n"/>
      <c r="F1939" s="9" t="n"/>
      <c r="G1939" s="9" t="n"/>
      <c r="H1939" s="71" t="n"/>
      <c r="I1939" s="9" t="n"/>
      <c r="J1939" s="89">
        <f>IF(H1939="","",IF(I1939="Sí",ROUND(H1939*Configuracion!$B$11,0),0))</f>
        <v/>
      </c>
      <c r="K1939" s="89">
        <f>IF(H1939="","",H1939+J1939)</f>
        <v/>
      </c>
      <c r="L1939" s="13">
        <f>IF(B1939="","",YEAR(B1939))</f>
        <v/>
      </c>
      <c r="M1939" s="13">
        <f>IF(B1939="","",MONTH(B1939))</f>
        <v/>
      </c>
      <c r="N1939" s="9" t="n"/>
      <c r="O1939" s="9" t="n"/>
      <c r="P1939" s="9" t="n"/>
      <c r="Q1939" s="9" t="n"/>
    </row>
    <row r="1940">
      <c r="A1940" s="9" t="n"/>
      <c r="B1940" s="70" t="n"/>
      <c r="C1940" s="9" t="n"/>
      <c r="D1940" s="9" t="n"/>
      <c r="E1940" s="9" t="n"/>
      <c r="F1940" s="9" t="n"/>
      <c r="G1940" s="9" t="n"/>
      <c r="H1940" s="71" t="n"/>
      <c r="I1940" s="9" t="n"/>
      <c r="J1940" s="89">
        <f>IF(H1940="","",IF(I1940="Sí",ROUND(H1940*Configuracion!$B$11,0),0))</f>
        <v/>
      </c>
      <c r="K1940" s="89">
        <f>IF(H1940="","",H1940+J1940)</f>
        <v/>
      </c>
      <c r="L1940" s="13">
        <f>IF(B1940="","",YEAR(B1940))</f>
        <v/>
      </c>
      <c r="M1940" s="13">
        <f>IF(B1940="","",MONTH(B1940))</f>
        <v/>
      </c>
      <c r="N1940" s="9" t="n"/>
      <c r="O1940" s="9" t="n"/>
      <c r="P1940" s="9" t="n"/>
      <c r="Q1940" s="9" t="n"/>
    </row>
    <row r="1941">
      <c r="A1941" s="9" t="n"/>
      <c r="B1941" s="70" t="n"/>
      <c r="C1941" s="9" t="n"/>
      <c r="D1941" s="9" t="n"/>
      <c r="E1941" s="9" t="n"/>
      <c r="F1941" s="9" t="n"/>
      <c r="G1941" s="9" t="n"/>
      <c r="H1941" s="71" t="n"/>
      <c r="I1941" s="9" t="n"/>
      <c r="J1941" s="89">
        <f>IF(H1941="","",IF(I1941="Sí",ROUND(H1941*Configuracion!$B$11,0),0))</f>
        <v/>
      </c>
      <c r="K1941" s="89">
        <f>IF(H1941="","",H1941+J1941)</f>
        <v/>
      </c>
      <c r="L1941" s="13">
        <f>IF(B1941="","",YEAR(B1941))</f>
        <v/>
      </c>
      <c r="M1941" s="13">
        <f>IF(B1941="","",MONTH(B1941))</f>
        <v/>
      </c>
      <c r="N1941" s="9" t="n"/>
      <c r="O1941" s="9" t="n"/>
      <c r="P1941" s="9" t="n"/>
      <c r="Q1941" s="9" t="n"/>
    </row>
    <row r="1942">
      <c r="A1942" s="9" t="n"/>
      <c r="B1942" s="70" t="n"/>
      <c r="C1942" s="9" t="n"/>
      <c r="D1942" s="9" t="n"/>
      <c r="E1942" s="9" t="n"/>
      <c r="F1942" s="9" t="n"/>
      <c r="G1942" s="9" t="n"/>
      <c r="H1942" s="71" t="n"/>
      <c r="I1942" s="9" t="n"/>
      <c r="J1942" s="89">
        <f>IF(H1942="","",IF(I1942="Sí",ROUND(H1942*Configuracion!$B$11,0),0))</f>
        <v/>
      </c>
      <c r="K1942" s="89">
        <f>IF(H1942="","",H1942+J1942)</f>
        <v/>
      </c>
      <c r="L1942" s="13">
        <f>IF(B1942="","",YEAR(B1942))</f>
        <v/>
      </c>
      <c r="M1942" s="13">
        <f>IF(B1942="","",MONTH(B1942))</f>
        <v/>
      </c>
      <c r="N1942" s="9" t="n"/>
      <c r="O1942" s="9" t="n"/>
      <c r="P1942" s="9" t="n"/>
      <c r="Q1942" s="9" t="n"/>
    </row>
    <row r="1943">
      <c r="A1943" s="9" t="n"/>
      <c r="B1943" s="70" t="n"/>
      <c r="C1943" s="9" t="n"/>
      <c r="D1943" s="9" t="n"/>
      <c r="E1943" s="9" t="n"/>
      <c r="F1943" s="9" t="n"/>
      <c r="G1943" s="9" t="n"/>
      <c r="H1943" s="71" t="n"/>
      <c r="I1943" s="9" t="n"/>
      <c r="J1943" s="89">
        <f>IF(H1943="","",IF(I1943="Sí",ROUND(H1943*Configuracion!$B$11,0),0))</f>
        <v/>
      </c>
      <c r="K1943" s="89">
        <f>IF(H1943="","",H1943+J1943)</f>
        <v/>
      </c>
      <c r="L1943" s="13">
        <f>IF(B1943="","",YEAR(B1943))</f>
        <v/>
      </c>
      <c r="M1943" s="13">
        <f>IF(B1943="","",MONTH(B1943))</f>
        <v/>
      </c>
      <c r="N1943" s="9" t="n"/>
      <c r="O1943" s="9" t="n"/>
      <c r="P1943" s="9" t="n"/>
      <c r="Q1943" s="9" t="n"/>
    </row>
    <row r="1944">
      <c r="A1944" s="9" t="n"/>
      <c r="B1944" s="70" t="n"/>
      <c r="C1944" s="9" t="n"/>
      <c r="D1944" s="9" t="n"/>
      <c r="E1944" s="9" t="n"/>
      <c r="F1944" s="9" t="n"/>
      <c r="G1944" s="9" t="n"/>
      <c r="H1944" s="71" t="n"/>
      <c r="I1944" s="9" t="n"/>
      <c r="J1944" s="89">
        <f>IF(H1944="","",IF(I1944="Sí",ROUND(H1944*Configuracion!$B$11,0),0))</f>
        <v/>
      </c>
      <c r="K1944" s="89">
        <f>IF(H1944="","",H1944+J1944)</f>
        <v/>
      </c>
      <c r="L1944" s="13">
        <f>IF(B1944="","",YEAR(B1944))</f>
        <v/>
      </c>
      <c r="M1944" s="13">
        <f>IF(B1944="","",MONTH(B1944))</f>
        <v/>
      </c>
      <c r="N1944" s="9" t="n"/>
      <c r="O1944" s="9" t="n"/>
      <c r="P1944" s="9" t="n"/>
      <c r="Q1944" s="9" t="n"/>
    </row>
    <row r="1945">
      <c r="A1945" s="9" t="n"/>
      <c r="B1945" s="70" t="n"/>
      <c r="C1945" s="9" t="n"/>
      <c r="D1945" s="9" t="n"/>
      <c r="E1945" s="9" t="n"/>
      <c r="F1945" s="9" t="n"/>
      <c r="G1945" s="9" t="n"/>
      <c r="H1945" s="71" t="n"/>
      <c r="I1945" s="9" t="n"/>
      <c r="J1945" s="89">
        <f>IF(H1945="","",IF(I1945="Sí",ROUND(H1945*Configuracion!$B$11,0),0))</f>
        <v/>
      </c>
      <c r="K1945" s="89">
        <f>IF(H1945="","",H1945+J1945)</f>
        <v/>
      </c>
      <c r="L1945" s="13">
        <f>IF(B1945="","",YEAR(B1945))</f>
        <v/>
      </c>
      <c r="M1945" s="13">
        <f>IF(B1945="","",MONTH(B1945))</f>
        <v/>
      </c>
      <c r="N1945" s="9" t="n"/>
      <c r="O1945" s="9" t="n"/>
      <c r="P1945" s="9" t="n"/>
      <c r="Q1945" s="9" t="n"/>
    </row>
    <row r="1946">
      <c r="A1946" s="9" t="n"/>
      <c r="B1946" s="70" t="n"/>
      <c r="C1946" s="9" t="n"/>
      <c r="D1946" s="9" t="n"/>
      <c r="E1946" s="9" t="n"/>
      <c r="F1946" s="9" t="n"/>
      <c r="G1946" s="9" t="n"/>
      <c r="H1946" s="71" t="n"/>
      <c r="I1946" s="9" t="n"/>
      <c r="J1946" s="89">
        <f>IF(H1946="","",IF(I1946="Sí",ROUND(H1946*Configuracion!$B$11,0),0))</f>
        <v/>
      </c>
      <c r="K1946" s="89">
        <f>IF(H1946="","",H1946+J1946)</f>
        <v/>
      </c>
      <c r="L1946" s="13">
        <f>IF(B1946="","",YEAR(B1946))</f>
        <v/>
      </c>
      <c r="M1946" s="13">
        <f>IF(B1946="","",MONTH(B1946))</f>
        <v/>
      </c>
      <c r="N1946" s="9" t="n"/>
      <c r="O1946" s="9" t="n"/>
      <c r="P1946" s="9" t="n"/>
      <c r="Q1946" s="9" t="n"/>
    </row>
    <row r="1947">
      <c r="A1947" s="9" t="n"/>
      <c r="B1947" s="70" t="n"/>
      <c r="C1947" s="9" t="n"/>
      <c r="D1947" s="9" t="n"/>
      <c r="E1947" s="9" t="n"/>
      <c r="F1947" s="9" t="n"/>
      <c r="G1947" s="9" t="n"/>
      <c r="H1947" s="71" t="n"/>
      <c r="I1947" s="9" t="n"/>
      <c r="J1947" s="89">
        <f>IF(H1947="","",IF(I1947="Sí",ROUND(H1947*Configuracion!$B$11,0),0))</f>
        <v/>
      </c>
      <c r="K1947" s="89">
        <f>IF(H1947="","",H1947+J1947)</f>
        <v/>
      </c>
      <c r="L1947" s="13">
        <f>IF(B1947="","",YEAR(B1947))</f>
        <v/>
      </c>
      <c r="M1947" s="13">
        <f>IF(B1947="","",MONTH(B1947))</f>
        <v/>
      </c>
      <c r="N1947" s="9" t="n"/>
      <c r="O1947" s="9" t="n"/>
      <c r="P1947" s="9" t="n"/>
      <c r="Q1947" s="9" t="n"/>
    </row>
    <row r="1948">
      <c r="A1948" s="9" t="n"/>
      <c r="B1948" s="70" t="n"/>
      <c r="C1948" s="9" t="n"/>
      <c r="D1948" s="9" t="n"/>
      <c r="E1948" s="9" t="n"/>
      <c r="F1948" s="9" t="n"/>
      <c r="G1948" s="9" t="n"/>
      <c r="H1948" s="71" t="n"/>
      <c r="I1948" s="9" t="n"/>
      <c r="J1948" s="89">
        <f>IF(H1948="","",IF(I1948="Sí",ROUND(H1948*Configuracion!$B$11,0),0))</f>
        <v/>
      </c>
      <c r="K1948" s="89">
        <f>IF(H1948="","",H1948+J1948)</f>
        <v/>
      </c>
      <c r="L1948" s="13">
        <f>IF(B1948="","",YEAR(B1948))</f>
        <v/>
      </c>
      <c r="M1948" s="13">
        <f>IF(B1948="","",MONTH(B1948))</f>
        <v/>
      </c>
      <c r="N1948" s="9" t="n"/>
      <c r="O1948" s="9" t="n"/>
      <c r="P1948" s="9" t="n"/>
      <c r="Q1948" s="9" t="n"/>
    </row>
    <row r="1949">
      <c r="A1949" s="9" t="n"/>
      <c r="B1949" s="70" t="n"/>
      <c r="C1949" s="9" t="n"/>
      <c r="D1949" s="9" t="n"/>
      <c r="E1949" s="9" t="n"/>
      <c r="F1949" s="9" t="n"/>
      <c r="G1949" s="9" t="n"/>
      <c r="H1949" s="71" t="n"/>
      <c r="I1949" s="9" t="n"/>
      <c r="J1949" s="89">
        <f>IF(H1949="","",IF(I1949="Sí",ROUND(H1949*Configuracion!$B$11,0),0))</f>
        <v/>
      </c>
      <c r="K1949" s="89">
        <f>IF(H1949="","",H1949+J1949)</f>
        <v/>
      </c>
      <c r="L1949" s="13">
        <f>IF(B1949="","",YEAR(B1949))</f>
        <v/>
      </c>
      <c r="M1949" s="13">
        <f>IF(B1949="","",MONTH(B1949))</f>
        <v/>
      </c>
      <c r="N1949" s="9" t="n"/>
      <c r="O1949" s="9" t="n"/>
      <c r="P1949" s="9" t="n"/>
      <c r="Q1949" s="9" t="n"/>
    </row>
    <row r="1950">
      <c r="A1950" s="9" t="n"/>
      <c r="B1950" s="70" t="n"/>
      <c r="C1950" s="9" t="n"/>
      <c r="D1950" s="9" t="n"/>
      <c r="E1950" s="9" t="n"/>
      <c r="F1950" s="9" t="n"/>
      <c r="G1950" s="9" t="n"/>
      <c r="H1950" s="71" t="n"/>
      <c r="I1950" s="9" t="n"/>
      <c r="J1950" s="89">
        <f>IF(H1950="","",IF(I1950="Sí",ROUND(H1950*Configuracion!$B$11,0),0))</f>
        <v/>
      </c>
      <c r="K1950" s="89">
        <f>IF(H1950="","",H1950+J1950)</f>
        <v/>
      </c>
      <c r="L1950" s="13">
        <f>IF(B1950="","",YEAR(B1950))</f>
        <v/>
      </c>
      <c r="M1950" s="13">
        <f>IF(B1950="","",MONTH(B1950))</f>
        <v/>
      </c>
      <c r="N1950" s="9" t="n"/>
      <c r="O1950" s="9" t="n"/>
      <c r="P1950" s="9" t="n"/>
      <c r="Q1950" s="9" t="n"/>
    </row>
    <row r="1951">
      <c r="A1951" s="9" t="n"/>
      <c r="B1951" s="70" t="n"/>
      <c r="C1951" s="9" t="n"/>
      <c r="D1951" s="9" t="n"/>
      <c r="E1951" s="9" t="n"/>
      <c r="F1951" s="9" t="n"/>
      <c r="G1951" s="9" t="n"/>
      <c r="H1951" s="71" t="n"/>
      <c r="I1951" s="9" t="n"/>
      <c r="J1951" s="89">
        <f>IF(H1951="","",IF(I1951="Sí",ROUND(H1951*Configuracion!$B$11,0),0))</f>
        <v/>
      </c>
      <c r="K1951" s="89">
        <f>IF(H1951="","",H1951+J1951)</f>
        <v/>
      </c>
      <c r="L1951" s="13">
        <f>IF(B1951="","",YEAR(B1951))</f>
        <v/>
      </c>
      <c r="M1951" s="13">
        <f>IF(B1951="","",MONTH(B1951))</f>
        <v/>
      </c>
      <c r="N1951" s="9" t="n"/>
      <c r="O1951" s="9" t="n"/>
      <c r="P1951" s="9" t="n"/>
      <c r="Q1951" s="9" t="n"/>
    </row>
    <row r="1952">
      <c r="A1952" s="9" t="n"/>
      <c r="B1952" s="70" t="n"/>
      <c r="C1952" s="9" t="n"/>
      <c r="D1952" s="9" t="n"/>
      <c r="E1952" s="9" t="n"/>
      <c r="F1952" s="9" t="n"/>
      <c r="G1952" s="9" t="n"/>
      <c r="H1952" s="71" t="n"/>
      <c r="I1952" s="9" t="n"/>
      <c r="J1952" s="89">
        <f>IF(H1952="","",IF(I1952="Sí",ROUND(H1952*Configuracion!$B$11,0),0))</f>
        <v/>
      </c>
      <c r="K1952" s="89">
        <f>IF(H1952="","",H1952+J1952)</f>
        <v/>
      </c>
      <c r="L1952" s="13">
        <f>IF(B1952="","",YEAR(B1952))</f>
        <v/>
      </c>
      <c r="M1952" s="13">
        <f>IF(B1952="","",MONTH(B1952))</f>
        <v/>
      </c>
      <c r="N1952" s="9" t="n"/>
      <c r="O1952" s="9" t="n"/>
      <c r="P1952" s="9" t="n"/>
      <c r="Q1952" s="9" t="n"/>
    </row>
    <row r="1953">
      <c r="A1953" s="9" t="n"/>
      <c r="B1953" s="70" t="n"/>
      <c r="C1953" s="9" t="n"/>
      <c r="D1953" s="9" t="n"/>
      <c r="E1953" s="9" t="n"/>
      <c r="F1953" s="9" t="n"/>
      <c r="G1953" s="9" t="n"/>
      <c r="H1953" s="71" t="n"/>
      <c r="I1953" s="9" t="n"/>
      <c r="J1953" s="89">
        <f>IF(H1953="","",IF(I1953="Sí",ROUND(H1953*Configuracion!$B$11,0),0))</f>
        <v/>
      </c>
      <c r="K1953" s="89">
        <f>IF(H1953="","",H1953+J1953)</f>
        <v/>
      </c>
      <c r="L1953" s="13">
        <f>IF(B1953="","",YEAR(B1953))</f>
        <v/>
      </c>
      <c r="M1953" s="13">
        <f>IF(B1953="","",MONTH(B1953))</f>
        <v/>
      </c>
      <c r="N1953" s="9" t="n"/>
      <c r="O1953" s="9" t="n"/>
      <c r="P1953" s="9" t="n"/>
      <c r="Q1953" s="9" t="n"/>
    </row>
    <row r="1954">
      <c r="A1954" s="9" t="n"/>
      <c r="B1954" s="70" t="n"/>
      <c r="C1954" s="9" t="n"/>
      <c r="D1954" s="9" t="n"/>
      <c r="E1954" s="9" t="n"/>
      <c r="F1954" s="9" t="n"/>
      <c r="G1954" s="9" t="n"/>
      <c r="H1954" s="71" t="n"/>
      <c r="I1954" s="9" t="n"/>
      <c r="J1954" s="89">
        <f>IF(H1954="","",IF(I1954="Sí",ROUND(H1954*Configuracion!$B$11,0),0))</f>
        <v/>
      </c>
      <c r="K1954" s="89">
        <f>IF(H1954="","",H1954+J1954)</f>
        <v/>
      </c>
      <c r="L1954" s="13">
        <f>IF(B1954="","",YEAR(B1954))</f>
        <v/>
      </c>
      <c r="M1954" s="13">
        <f>IF(B1954="","",MONTH(B1954))</f>
        <v/>
      </c>
      <c r="N1954" s="9" t="n"/>
      <c r="O1954" s="9" t="n"/>
      <c r="P1954" s="9" t="n"/>
      <c r="Q1954" s="9" t="n"/>
    </row>
    <row r="1955">
      <c r="A1955" s="9" t="n"/>
      <c r="B1955" s="70" t="n"/>
      <c r="C1955" s="9" t="n"/>
      <c r="D1955" s="9" t="n"/>
      <c r="E1955" s="9" t="n"/>
      <c r="F1955" s="9" t="n"/>
      <c r="G1955" s="9" t="n"/>
      <c r="H1955" s="71" t="n"/>
      <c r="I1955" s="9" t="n"/>
      <c r="J1955" s="89">
        <f>IF(H1955="","",IF(I1955="Sí",ROUND(H1955*Configuracion!$B$11,0),0))</f>
        <v/>
      </c>
      <c r="K1955" s="89">
        <f>IF(H1955="","",H1955+J1955)</f>
        <v/>
      </c>
      <c r="L1955" s="13">
        <f>IF(B1955="","",YEAR(B1955))</f>
        <v/>
      </c>
      <c r="M1955" s="13">
        <f>IF(B1955="","",MONTH(B1955))</f>
        <v/>
      </c>
      <c r="N1955" s="9" t="n"/>
      <c r="O1955" s="9" t="n"/>
      <c r="P1955" s="9" t="n"/>
      <c r="Q1955" s="9" t="n"/>
    </row>
    <row r="1956">
      <c r="A1956" s="9" t="n"/>
      <c r="B1956" s="70" t="n"/>
      <c r="C1956" s="9" t="n"/>
      <c r="D1956" s="9" t="n"/>
      <c r="E1956" s="9" t="n"/>
      <c r="F1956" s="9" t="n"/>
      <c r="G1956" s="9" t="n"/>
      <c r="H1956" s="71" t="n"/>
      <c r="I1956" s="9" t="n"/>
      <c r="J1956" s="89">
        <f>IF(H1956="","",IF(I1956="Sí",ROUND(H1956*Configuracion!$B$11,0),0))</f>
        <v/>
      </c>
      <c r="K1956" s="89">
        <f>IF(H1956="","",H1956+J1956)</f>
        <v/>
      </c>
      <c r="L1956" s="13">
        <f>IF(B1956="","",YEAR(B1956))</f>
        <v/>
      </c>
      <c r="M1956" s="13">
        <f>IF(B1956="","",MONTH(B1956))</f>
        <v/>
      </c>
      <c r="N1956" s="9" t="n"/>
      <c r="O1956" s="9" t="n"/>
      <c r="P1956" s="9" t="n"/>
      <c r="Q1956" s="9" t="n"/>
    </row>
    <row r="1957">
      <c r="A1957" s="9" t="n"/>
      <c r="B1957" s="70" t="n"/>
      <c r="C1957" s="9" t="n"/>
      <c r="D1957" s="9" t="n"/>
      <c r="E1957" s="9" t="n"/>
      <c r="F1957" s="9" t="n"/>
      <c r="G1957" s="9" t="n"/>
      <c r="H1957" s="71" t="n"/>
      <c r="I1957" s="9" t="n"/>
      <c r="J1957" s="89">
        <f>IF(H1957="","",IF(I1957="Sí",ROUND(H1957*Configuracion!$B$11,0),0))</f>
        <v/>
      </c>
      <c r="K1957" s="89">
        <f>IF(H1957="","",H1957+J1957)</f>
        <v/>
      </c>
      <c r="L1957" s="13">
        <f>IF(B1957="","",YEAR(B1957))</f>
        <v/>
      </c>
      <c r="M1957" s="13">
        <f>IF(B1957="","",MONTH(B1957))</f>
        <v/>
      </c>
      <c r="N1957" s="9" t="n"/>
      <c r="O1957" s="9" t="n"/>
      <c r="P1957" s="9" t="n"/>
      <c r="Q1957" s="9" t="n"/>
    </row>
    <row r="1958">
      <c r="A1958" s="9" t="n"/>
      <c r="B1958" s="70" t="n"/>
      <c r="C1958" s="9" t="n"/>
      <c r="D1958" s="9" t="n"/>
      <c r="E1958" s="9" t="n"/>
      <c r="F1958" s="9" t="n"/>
      <c r="G1958" s="9" t="n"/>
      <c r="H1958" s="71" t="n"/>
      <c r="I1958" s="9" t="n"/>
      <c r="J1958" s="89">
        <f>IF(H1958="","",IF(I1958="Sí",ROUND(H1958*Configuracion!$B$11,0),0))</f>
        <v/>
      </c>
      <c r="K1958" s="89">
        <f>IF(H1958="","",H1958+J1958)</f>
        <v/>
      </c>
      <c r="L1958" s="13">
        <f>IF(B1958="","",YEAR(B1958))</f>
        <v/>
      </c>
      <c r="M1958" s="13">
        <f>IF(B1958="","",MONTH(B1958))</f>
        <v/>
      </c>
      <c r="N1958" s="9" t="n"/>
      <c r="O1958" s="9" t="n"/>
      <c r="P1958" s="9" t="n"/>
      <c r="Q1958" s="9" t="n"/>
    </row>
    <row r="1959">
      <c r="A1959" s="9" t="n"/>
      <c r="B1959" s="70" t="n"/>
      <c r="C1959" s="9" t="n"/>
      <c r="D1959" s="9" t="n"/>
      <c r="E1959" s="9" t="n"/>
      <c r="F1959" s="9" t="n"/>
      <c r="G1959" s="9" t="n"/>
      <c r="H1959" s="71" t="n"/>
      <c r="I1959" s="9" t="n"/>
      <c r="J1959" s="89">
        <f>IF(H1959="","",IF(I1959="Sí",ROUND(H1959*Configuracion!$B$11,0),0))</f>
        <v/>
      </c>
      <c r="K1959" s="89">
        <f>IF(H1959="","",H1959+J1959)</f>
        <v/>
      </c>
      <c r="L1959" s="13">
        <f>IF(B1959="","",YEAR(B1959))</f>
        <v/>
      </c>
      <c r="M1959" s="13">
        <f>IF(B1959="","",MONTH(B1959))</f>
        <v/>
      </c>
      <c r="N1959" s="9" t="n"/>
      <c r="O1959" s="9" t="n"/>
      <c r="P1959" s="9" t="n"/>
      <c r="Q1959" s="9" t="n"/>
    </row>
    <row r="1960">
      <c r="A1960" s="9" t="n"/>
      <c r="B1960" s="70" t="n"/>
      <c r="C1960" s="9" t="n"/>
      <c r="D1960" s="9" t="n"/>
      <c r="E1960" s="9" t="n"/>
      <c r="F1960" s="9" t="n"/>
      <c r="G1960" s="9" t="n"/>
      <c r="H1960" s="71" t="n"/>
      <c r="I1960" s="9" t="n"/>
      <c r="J1960" s="89">
        <f>IF(H1960="","",IF(I1960="Sí",ROUND(H1960*Configuracion!$B$11,0),0))</f>
        <v/>
      </c>
      <c r="K1960" s="89">
        <f>IF(H1960="","",H1960+J1960)</f>
        <v/>
      </c>
      <c r="L1960" s="13">
        <f>IF(B1960="","",YEAR(B1960))</f>
        <v/>
      </c>
      <c r="M1960" s="13">
        <f>IF(B1960="","",MONTH(B1960))</f>
        <v/>
      </c>
      <c r="N1960" s="9" t="n"/>
      <c r="O1960" s="9" t="n"/>
      <c r="P1960" s="9" t="n"/>
      <c r="Q1960" s="9" t="n"/>
    </row>
    <row r="1961">
      <c r="A1961" s="9" t="n"/>
      <c r="B1961" s="70" t="n"/>
      <c r="C1961" s="9" t="n"/>
      <c r="D1961" s="9" t="n"/>
      <c r="E1961" s="9" t="n"/>
      <c r="F1961" s="9" t="n"/>
      <c r="G1961" s="9" t="n"/>
      <c r="H1961" s="71" t="n"/>
      <c r="I1961" s="9" t="n"/>
      <c r="J1961" s="89">
        <f>IF(H1961="","",IF(I1961="Sí",ROUND(H1961*Configuracion!$B$11,0),0))</f>
        <v/>
      </c>
      <c r="K1961" s="89">
        <f>IF(H1961="","",H1961+J1961)</f>
        <v/>
      </c>
      <c r="L1961" s="13">
        <f>IF(B1961="","",YEAR(B1961))</f>
        <v/>
      </c>
      <c r="M1961" s="13">
        <f>IF(B1961="","",MONTH(B1961))</f>
        <v/>
      </c>
      <c r="N1961" s="9" t="n"/>
      <c r="O1961" s="9" t="n"/>
      <c r="P1961" s="9" t="n"/>
      <c r="Q1961" s="9" t="n"/>
    </row>
    <row r="1962">
      <c r="A1962" s="9" t="n"/>
      <c r="B1962" s="70" t="n"/>
      <c r="C1962" s="9" t="n"/>
      <c r="D1962" s="9" t="n"/>
      <c r="E1962" s="9" t="n"/>
      <c r="F1962" s="9" t="n"/>
      <c r="G1962" s="9" t="n"/>
      <c r="H1962" s="71" t="n"/>
      <c r="I1962" s="9" t="n"/>
      <c r="J1962" s="89">
        <f>IF(H1962="","",IF(I1962="Sí",ROUND(H1962*Configuracion!$B$11,0),0))</f>
        <v/>
      </c>
      <c r="K1962" s="89">
        <f>IF(H1962="","",H1962+J1962)</f>
        <v/>
      </c>
      <c r="L1962" s="13">
        <f>IF(B1962="","",YEAR(B1962))</f>
        <v/>
      </c>
      <c r="M1962" s="13">
        <f>IF(B1962="","",MONTH(B1962))</f>
        <v/>
      </c>
      <c r="N1962" s="9" t="n"/>
      <c r="O1962" s="9" t="n"/>
      <c r="P1962" s="9" t="n"/>
      <c r="Q1962" s="9" t="n"/>
    </row>
    <row r="1963">
      <c r="A1963" s="9" t="n"/>
      <c r="B1963" s="70" t="n"/>
      <c r="C1963" s="9" t="n"/>
      <c r="D1963" s="9" t="n"/>
      <c r="E1963" s="9" t="n"/>
      <c r="F1963" s="9" t="n"/>
      <c r="G1963" s="9" t="n"/>
      <c r="H1963" s="71" t="n"/>
      <c r="I1963" s="9" t="n"/>
      <c r="J1963" s="89">
        <f>IF(H1963="","",IF(I1963="Sí",ROUND(H1963*Configuracion!$B$11,0),0))</f>
        <v/>
      </c>
      <c r="K1963" s="89">
        <f>IF(H1963="","",H1963+J1963)</f>
        <v/>
      </c>
      <c r="L1963" s="13">
        <f>IF(B1963="","",YEAR(B1963))</f>
        <v/>
      </c>
      <c r="M1963" s="13">
        <f>IF(B1963="","",MONTH(B1963))</f>
        <v/>
      </c>
      <c r="N1963" s="9" t="n"/>
      <c r="O1963" s="9" t="n"/>
      <c r="P1963" s="9" t="n"/>
      <c r="Q1963" s="9" t="n"/>
    </row>
    <row r="1964">
      <c r="A1964" s="9" t="n"/>
      <c r="B1964" s="70" t="n"/>
      <c r="C1964" s="9" t="n"/>
      <c r="D1964" s="9" t="n"/>
      <c r="E1964" s="9" t="n"/>
      <c r="F1964" s="9" t="n"/>
      <c r="G1964" s="9" t="n"/>
      <c r="H1964" s="71" t="n"/>
      <c r="I1964" s="9" t="n"/>
      <c r="J1964" s="89">
        <f>IF(H1964="","",IF(I1964="Sí",ROUND(H1964*Configuracion!$B$11,0),0))</f>
        <v/>
      </c>
      <c r="K1964" s="89">
        <f>IF(H1964="","",H1964+J1964)</f>
        <v/>
      </c>
      <c r="L1964" s="13">
        <f>IF(B1964="","",YEAR(B1964))</f>
        <v/>
      </c>
      <c r="M1964" s="13">
        <f>IF(B1964="","",MONTH(B1964))</f>
        <v/>
      </c>
      <c r="N1964" s="9" t="n"/>
      <c r="O1964" s="9" t="n"/>
      <c r="P1964" s="9" t="n"/>
      <c r="Q1964" s="9" t="n"/>
    </row>
    <row r="1965">
      <c r="A1965" s="9" t="n"/>
      <c r="B1965" s="70" t="n"/>
      <c r="C1965" s="9" t="n"/>
      <c r="D1965" s="9" t="n"/>
      <c r="E1965" s="9" t="n"/>
      <c r="F1965" s="9" t="n"/>
      <c r="G1965" s="9" t="n"/>
      <c r="H1965" s="71" t="n"/>
      <c r="I1965" s="9" t="n"/>
      <c r="J1965" s="89">
        <f>IF(H1965="","",IF(I1965="Sí",ROUND(H1965*Configuracion!$B$11,0),0))</f>
        <v/>
      </c>
      <c r="K1965" s="89">
        <f>IF(H1965="","",H1965+J1965)</f>
        <v/>
      </c>
      <c r="L1965" s="13">
        <f>IF(B1965="","",YEAR(B1965))</f>
        <v/>
      </c>
      <c r="M1965" s="13">
        <f>IF(B1965="","",MONTH(B1965))</f>
        <v/>
      </c>
      <c r="N1965" s="9" t="n"/>
      <c r="O1965" s="9" t="n"/>
      <c r="P1965" s="9" t="n"/>
      <c r="Q1965" s="9" t="n"/>
    </row>
    <row r="1966">
      <c r="A1966" s="9" t="n"/>
      <c r="B1966" s="70" t="n"/>
      <c r="C1966" s="9" t="n"/>
      <c r="D1966" s="9" t="n"/>
      <c r="E1966" s="9" t="n"/>
      <c r="F1966" s="9" t="n"/>
      <c r="G1966" s="9" t="n"/>
      <c r="H1966" s="71" t="n"/>
      <c r="I1966" s="9" t="n"/>
      <c r="J1966" s="89">
        <f>IF(H1966="","",IF(I1966="Sí",ROUND(H1966*Configuracion!$B$11,0),0))</f>
        <v/>
      </c>
      <c r="K1966" s="89">
        <f>IF(H1966="","",H1966+J1966)</f>
        <v/>
      </c>
      <c r="L1966" s="13">
        <f>IF(B1966="","",YEAR(B1966))</f>
        <v/>
      </c>
      <c r="M1966" s="13">
        <f>IF(B1966="","",MONTH(B1966))</f>
        <v/>
      </c>
      <c r="N1966" s="9" t="n"/>
      <c r="O1966" s="9" t="n"/>
      <c r="P1966" s="9" t="n"/>
      <c r="Q1966" s="9" t="n"/>
    </row>
    <row r="1967">
      <c r="A1967" s="9" t="n"/>
      <c r="B1967" s="70" t="n"/>
      <c r="C1967" s="9" t="n"/>
      <c r="D1967" s="9" t="n"/>
      <c r="E1967" s="9" t="n"/>
      <c r="F1967" s="9" t="n"/>
      <c r="G1967" s="9" t="n"/>
      <c r="H1967" s="71" t="n"/>
      <c r="I1967" s="9" t="n"/>
      <c r="J1967" s="89">
        <f>IF(H1967="","",IF(I1967="Sí",ROUND(H1967*Configuracion!$B$11,0),0))</f>
        <v/>
      </c>
      <c r="K1967" s="89">
        <f>IF(H1967="","",H1967+J1967)</f>
        <v/>
      </c>
      <c r="L1967" s="13">
        <f>IF(B1967="","",YEAR(B1967))</f>
        <v/>
      </c>
      <c r="M1967" s="13">
        <f>IF(B1967="","",MONTH(B1967))</f>
        <v/>
      </c>
      <c r="N1967" s="9" t="n"/>
      <c r="O1967" s="9" t="n"/>
      <c r="P1967" s="9" t="n"/>
      <c r="Q1967" s="9" t="n"/>
    </row>
    <row r="1968">
      <c r="A1968" s="9" t="n"/>
      <c r="B1968" s="70" t="n"/>
      <c r="C1968" s="9" t="n"/>
      <c r="D1968" s="9" t="n"/>
      <c r="E1968" s="9" t="n"/>
      <c r="F1968" s="9" t="n"/>
      <c r="G1968" s="9" t="n"/>
      <c r="H1968" s="71" t="n"/>
      <c r="I1968" s="9" t="n"/>
      <c r="J1968" s="89">
        <f>IF(H1968="","",IF(I1968="Sí",ROUND(H1968*Configuracion!$B$11,0),0))</f>
        <v/>
      </c>
      <c r="K1968" s="89">
        <f>IF(H1968="","",H1968+J1968)</f>
        <v/>
      </c>
      <c r="L1968" s="13">
        <f>IF(B1968="","",YEAR(B1968))</f>
        <v/>
      </c>
      <c r="M1968" s="13">
        <f>IF(B1968="","",MONTH(B1968))</f>
        <v/>
      </c>
      <c r="N1968" s="9" t="n"/>
      <c r="O1968" s="9" t="n"/>
      <c r="P1968" s="9" t="n"/>
      <c r="Q1968" s="9" t="n"/>
    </row>
    <row r="1969">
      <c r="A1969" s="9" t="n"/>
      <c r="B1969" s="70" t="n"/>
      <c r="C1969" s="9" t="n"/>
      <c r="D1969" s="9" t="n"/>
      <c r="E1969" s="9" t="n"/>
      <c r="F1969" s="9" t="n"/>
      <c r="G1969" s="9" t="n"/>
      <c r="H1969" s="71" t="n"/>
      <c r="I1969" s="9" t="n"/>
      <c r="J1969" s="89">
        <f>IF(H1969="","",IF(I1969="Sí",ROUND(H1969*Configuracion!$B$11,0),0))</f>
        <v/>
      </c>
      <c r="K1969" s="89">
        <f>IF(H1969="","",H1969+J1969)</f>
        <v/>
      </c>
      <c r="L1969" s="13">
        <f>IF(B1969="","",YEAR(B1969))</f>
        <v/>
      </c>
      <c r="M1969" s="13">
        <f>IF(B1969="","",MONTH(B1969))</f>
        <v/>
      </c>
      <c r="N1969" s="9" t="n"/>
      <c r="O1969" s="9" t="n"/>
      <c r="P1969" s="9" t="n"/>
      <c r="Q1969" s="9" t="n"/>
    </row>
    <row r="1970">
      <c r="A1970" s="9" t="n"/>
      <c r="B1970" s="70" t="n"/>
      <c r="C1970" s="9" t="n"/>
      <c r="D1970" s="9" t="n"/>
      <c r="E1970" s="9" t="n"/>
      <c r="F1970" s="9" t="n"/>
      <c r="G1970" s="9" t="n"/>
      <c r="H1970" s="71" t="n"/>
      <c r="I1970" s="9" t="n"/>
      <c r="J1970" s="89">
        <f>IF(H1970="","",IF(I1970="Sí",ROUND(H1970*Configuracion!$B$11,0),0))</f>
        <v/>
      </c>
      <c r="K1970" s="89">
        <f>IF(H1970="","",H1970+J1970)</f>
        <v/>
      </c>
      <c r="L1970" s="13">
        <f>IF(B1970="","",YEAR(B1970))</f>
        <v/>
      </c>
      <c r="M1970" s="13">
        <f>IF(B1970="","",MONTH(B1970))</f>
        <v/>
      </c>
      <c r="N1970" s="9" t="n"/>
      <c r="O1970" s="9" t="n"/>
      <c r="P1970" s="9" t="n"/>
      <c r="Q1970" s="9" t="n"/>
    </row>
    <row r="1971">
      <c r="A1971" s="9" t="n"/>
      <c r="B1971" s="70" t="n"/>
      <c r="C1971" s="9" t="n"/>
      <c r="D1971" s="9" t="n"/>
      <c r="E1971" s="9" t="n"/>
      <c r="F1971" s="9" t="n"/>
      <c r="G1971" s="9" t="n"/>
      <c r="H1971" s="71" t="n"/>
      <c r="I1971" s="9" t="n"/>
      <c r="J1971" s="89">
        <f>IF(H1971="","",IF(I1971="Sí",ROUND(H1971*Configuracion!$B$11,0),0))</f>
        <v/>
      </c>
      <c r="K1971" s="89">
        <f>IF(H1971="","",H1971+J1971)</f>
        <v/>
      </c>
      <c r="L1971" s="13">
        <f>IF(B1971="","",YEAR(B1971))</f>
        <v/>
      </c>
      <c r="M1971" s="13">
        <f>IF(B1971="","",MONTH(B1971))</f>
        <v/>
      </c>
      <c r="N1971" s="9" t="n"/>
      <c r="O1971" s="9" t="n"/>
      <c r="P1971" s="9" t="n"/>
      <c r="Q1971" s="9" t="n"/>
    </row>
    <row r="1972">
      <c r="A1972" s="9" t="n"/>
      <c r="B1972" s="70" t="n"/>
      <c r="C1972" s="9" t="n"/>
      <c r="D1972" s="9" t="n"/>
      <c r="E1972" s="9" t="n"/>
      <c r="F1972" s="9" t="n"/>
      <c r="G1972" s="9" t="n"/>
      <c r="H1972" s="71" t="n"/>
      <c r="I1972" s="9" t="n"/>
      <c r="J1972" s="89">
        <f>IF(H1972="","",IF(I1972="Sí",ROUND(H1972*Configuracion!$B$11,0),0))</f>
        <v/>
      </c>
      <c r="K1972" s="89">
        <f>IF(H1972="","",H1972+J1972)</f>
        <v/>
      </c>
      <c r="L1972" s="13">
        <f>IF(B1972="","",YEAR(B1972))</f>
        <v/>
      </c>
      <c r="M1972" s="13">
        <f>IF(B1972="","",MONTH(B1972))</f>
        <v/>
      </c>
      <c r="N1972" s="9" t="n"/>
      <c r="O1972" s="9" t="n"/>
      <c r="P1972" s="9" t="n"/>
      <c r="Q1972" s="9" t="n"/>
    </row>
    <row r="1973">
      <c r="A1973" s="9" t="n"/>
      <c r="B1973" s="70" t="n"/>
      <c r="C1973" s="9" t="n"/>
      <c r="D1973" s="9" t="n"/>
      <c r="E1973" s="9" t="n"/>
      <c r="F1973" s="9" t="n"/>
      <c r="G1973" s="9" t="n"/>
      <c r="H1973" s="71" t="n"/>
      <c r="I1973" s="9" t="n"/>
      <c r="J1973" s="89">
        <f>IF(H1973="","",IF(I1973="Sí",ROUND(H1973*Configuracion!$B$11,0),0))</f>
        <v/>
      </c>
      <c r="K1973" s="89">
        <f>IF(H1973="","",H1973+J1973)</f>
        <v/>
      </c>
      <c r="L1973" s="13">
        <f>IF(B1973="","",YEAR(B1973))</f>
        <v/>
      </c>
      <c r="M1973" s="13">
        <f>IF(B1973="","",MONTH(B1973))</f>
        <v/>
      </c>
      <c r="N1973" s="9" t="n"/>
      <c r="O1973" s="9" t="n"/>
      <c r="P1973" s="9" t="n"/>
      <c r="Q1973" s="9" t="n"/>
    </row>
    <row r="1974">
      <c r="A1974" s="9" t="n"/>
      <c r="B1974" s="70" t="n"/>
      <c r="C1974" s="9" t="n"/>
      <c r="D1974" s="9" t="n"/>
      <c r="E1974" s="9" t="n"/>
      <c r="F1974" s="9" t="n"/>
      <c r="G1974" s="9" t="n"/>
      <c r="H1974" s="71" t="n"/>
      <c r="I1974" s="9" t="n"/>
      <c r="J1974" s="89">
        <f>IF(H1974="","",IF(I1974="Sí",ROUND(H1974*Configuracion!$B$11,0),0))</f>
        <v/>
      </c>
      <c r="K1974" s="89">
        <f>IF(H1974="","",H1974+J1974)</f>
        <v/>
      </c>
      <c r="L1974" s="13">
        <f>IF(B1974="","",YEAR(B1974))</f>
        <v/>
      </c>
      <c r="M1974" s="13">
        <f>IF(B1974="","",MONTH(B1974))</f>
        <v/>
      </c>
      <c r="N1974" s="9" t="n"/>
      <c r="O1974" s="9" t="n"/>
      <c r="P1974" s="9" t="n"/>
      <c r="Q1974" s="9" t="n"/>
    </row>
    <row r="1975">
      <c r="A1975" s="9" t="n"/>
      <c r="B1975" s="70" t="n"/>
      <c r="C1975" s="9" t="n"/>
      <c r="D1975" s="9" t="n"/>
      <c r="E1975" s="9" t="n"/>
      <c r="F1975" s="9" t="n"/>
      <c r="G1975" s="9" t="n"/>
      <c r="H1975" s="71" t="n"/>
      <c r="I1975" s="9" t="n"/>
      <c r="J1975" s="89">
        <f>IF(H1975="","",IF(I1975="Sí",ROUND(H1975*Configuracion!$B$11,0),0))</f>
        <v/>
      </c>
      <c r="K1975" s="89">
        <f>IF(H1975="","",H1975+J1975)</f>
        <v/>
      </c>
      <c r="L1975" s="13">
        <f>IF(B1975="","",YEAR(B1975))</f>
        <v/>
      </c>
      <c r="M1975" s="13">
        <f>IF(B1975="","",MONTH(B1975))</f>
        <v/>
      </c>
      <c r="N1975" s="9" t="n"/>
      <c r="O1975" s="9" t="n"/>
      <c r="P1975" s="9" t="n"/>
      <c r="Q1975" s="9" t="n"/>
    </row>
    <row r="1976">
      <c r="A1976" s="9" t="n"/>
      <c r="B1976" s="70" t="n"/>
      <c r="C1976" s="9" t="n"/>
      <c r="D1976" s="9" t="n"/>
      <c r="E1976" s="9" t="n"/>
      <c r="F1976" s="9" t="n"/>
      <c r="G1976" s="9" t="n"/>
      <c r="H1976" s="71" t="n"/>
      <c r="I1976" s="9" t="n"/>
      <c r="J1976" s="89">
        <f>IF(H1976="","",IF(I1976="Sí",ROUND(H1976*Configuracion!$B$11,0),0))</f>
        <v/>
      </c>
      <c r="K1976" s="89">
        <f>IF(H1976="","",H1976+J1976)</f>
        <v/>
      </c>
      <c r="L1976" s="13">
        <f>IF(B1976="","",YEAR(B1976))</f>
        <v/>
      </c>
      <c r="M1976" s="13">
        <f>IF(B1976="","",MONTH(B1976))</f>
        <v/>
      </c>
      <c r="N1976" s="9" t="n"/>
      <c r="O1976" s="9" t="n"/>
      <c r="P1976" s="9" t="n"/>
      <c r="Q1976" s="9" t="n"/>
    </row>
    <row r="1977">
      <c r="A1977" s="9" t="n"/>
      <c r="B1977" s="70" t="n"/>
      <c r="C1977" s="9" t="n"/>
      <c r="D1977" s="9" t="n"/>
      <c r="E1977" s="9" t="n"/>
      <c r="F1977" s="9" t="n"/>
      <c r="G1977" s="9" t="n"/>
      <c r="H1977" s="71" t="n"/>
      <c r="I1977" s="9" t="n"/>
      <c r="J1977" s="89">
        <f>IF(H1977="","",IF(I1977="Sí",ROUND(H1977*Configuracion!$B$11,0),0))</f>
        <v/>
      </c>
      <c r="K1977" s="89">
        <f>IF(H1977="","",H1977+J1977)</f>
        <v/>
      </c>
      <c r="L1977" s="13">
        <f>IF(B1977="","",YEAR(B1977))</f>
        <v/>
      </c>
      <c r="M1977" s="13">
        <f>IF(B1977="","",MONTH(B1977))</f>
        <v/>
      </c>
      <c r="N1977" s="9" t="n"/>
      <c r="O1977" s="9" t="n"/>
      <c r="P1977" s="9" t="n"/>
      <c r="Q1977" s="9" t="n"/>
    </row>
    <row r="1978">
      <c r="A1978" s="9" t="n"/>
      <c r="B1978" s="70" t="n"/>
      <c r="C1978" s="9" t="n"/>
      <c r="D1978" s="9" t="n"/>
      <c r="E1978" s="9" t="n"/>
      <c r="F1978" s="9" t="n"/>
      <c r="G1978" s="9" t="n"/>
      <c r="H1978" s="71" t="n"/>
      <c r="I1978" s="9" t="n"/>
      <c r="J1978" s="89">
        <f>IF(H1978="","",IF(I1978="Sí",ROUND(H1978*Configuracion!$B$11,0),0))</f>
        <v/>
      </c>
      <c r="K1978" s="89">
        <f>IF(H1978="","",H1978+J1978)</f>
        <v/>
      </c>
      <c r="L1978" s="13">
        <f>IF(B1978="","",YEAR(B1978))</f>
        <v/>
      </c>
      <c r="M1978" s="13">
        <f>IF(B1978="","",MONTH(B1978))</f>
        <v/>
      </c>
      <c r="N1978" s="9" t="n"/>
      <c r="O1978" s="9" t="n"/>
      <c r="P1978" s="9" t="n"/>
      <c r="Q1978" s="9" t="n"/>
    </row>
    <row r="1979">
      <c r="A1979" s="9" t="n"/>
      <c r="B1979" s="70" t="n"/>
      <c r="C1979" s="9" t="n"/>
      <c r="D1979" s="9" t="n"/>
      <c r="E1979" s="9" t="n"/>
      <c r="F1979" s="9" t="n"/>
      <c r="G1979" s="9" t="n"/>
      <c r="H1979" s="71" t="n"/>
      <c r="I1979" s="9" t="n"/>
      <c r="J1979" s="89">
        <f>IF(H1979="","",IF(I1979="Sí",ROUND(H1979*Configuracion!$B$11,0),0))</f>
        <v/>
      </c>
      <c r="K1979" s="89">
        <f>IF(H1979="","",H1979+J1979)</f>
        <v/>
      </c>
      <c r="L1979" s="13">
        <f>IF(B1979="","",YEAR(B1979))</f>
        <v/>
      </c>
      <c r="M1979" s="13">
        <f>IF(B1979="","",MONTH(B1979))</f>
        <v/>
      </c>
      <c r="N1979" s="9" t="n"/>
      <c r="O1979" s="9" t="n"/>
      <c r="P1979" s="9" t="n"/>
      <c r="Q1979" s="9" t="n"/>
    </row>
    <row r="1980">
      <c r="A1980" s="9" t="n"/>
      <c r="B1980" s="70" t="n"/>
      <c r="C1980" s="9" t="n"/>
      <c r="D1980" s="9" t="n"/>
      <c r="E1980" s="9" t="n"/>
      <c r="F1980" s="9" t="n"/>
      <c r="G1980" s="9" t="n"/>
      <c r="H1980" s="71" t="n"/>
      <c r="I1980" s="9" t="n"/>
      <c r="J1980" s="89">
        <f>IF(H1980="","",IF(I1980="Sí",ROUND(H1980*Configuracion!$B$11,0),0))</f>
        <v/>
      </c>
      <c r="K1980" s="89">
        <f>IF(H1980="","",H1980+J1980)</f>
        <v/>
      </c>
      <c r="L1980" s="13">
        <f>IF(B1980="","",YEAR(B1980))</f>
        <v/>
      </c>
      <c r="M1980" s="13">
        <f>IF(B1980="","",MONTH(B1980))</f>
        <v/>
      </c>
      <c r="N1980" s="9" t="n"/>
      <c r="O1980" s="9" t="n"/>
      <c r="P1980" s="9" t="n"/>
      <c r="Q1980" s="9" t="n"/>
    </row>
    <row r="1981">
      <c r="A1981" s="9" t="n"/>
      <c r="B1981" s="70" t="n"/>
      <c r="C1981" s="9" t="n"/>
      <c r="D1981" s="9" t="n"/>
      <c r="E1981" s="9" t="n"/>
      <c r="F1981" s="9" t="n"/>
      <c r="G1981" s="9" t="n"/>
      <c r="H1981" s="71" t="n"/>
      <c r="I1981" s="9" t="n"/>
      <c r="J1981" s="89">
        <f>IF(H1981="","",IF(I1981="Sí",ROUND(H1981*Configuracion!$B$11,0),0))</f>
        <v/>
      </c>
      <c r="K1981" s="89">
        <f>IF(H1981="","",H1981+J1981)</f>
        <v/>
      </c>
      <c r="L1981" s="13">
        <f>IF(B1981="","",YEAR(B1981))</f>
        <v/>
      </c>
      <c r="M1981" s="13">
        <f>IF(B1981="","",MONTH(B1981))</f>
        <v/>
      </c>
      <c r="N1981" s="9" t="n"/>
      <c r="O1981" s="9" t="n"/>
      <c r="P1981" s="9" t="n"/>
      <c r="Q1981" s="9" t="n"/>
    </row>
    <row r="1982">
      <c r="A1982" s="9" t="n"/>
      <c r="B1982" s="70" t="n"/>
      <c r="C1982" s="9" t="n"/>
      <c r="D1982" s="9" t="n"/>
      <c r="E1982" s="9" t="n"/>
      <c r="F1982" s="9" t="n"/>
      <c r="G1982" s="9" t="n"/>
      <c r="H1982" s="71" t="n"/>
      <c r="I1982" s="9" t="n"/>
      <c r="J1982" s="89">
        <f>IF(H1982="","",IF(I1982="Sí",ROUND(H1982*Configuracion!$B$11,0),0))</f>
        <v/>
      </c>
      <c r="K1982" s="89">
        <f>IF(H1982="","",H1982+J1982)</f>
        <v/>
      </c>
      <c r="L1982" s="13">
        <f>IF(B1982="","",YEAR(B1982))</f>
        <v/>
      </c>
      <c r="M1982" s="13">
        <f>IF(B1982="","",MONTH(B1982))</f>
        <v/>
      </c>
      <c r="N1982" s="9" t="n"/>
      <c r="O1982" s="9" t="n"/>
      <c r="P1982" s="9" t="n"/>
      <c r="Q1982" s="9" t="n"/>
    </row>
    <row r="1983">
      <c r="A1983" s="9" t="n"/>
      <c r="B1983" s="70" t="n"/>
      <c r="C1983" s="9" t="n"/>
      <c r="D1983" s="9" t="n"/>
      <c r="E1983" s="9" t="n"/>
      <c r="F1983" s="9" t="n"/>
      <c r="G1983" s="9" t="n"/>
      <c r="H1983" s="71" t="n"/>
      <c r="I1983" s="9" t="n"/>
      <c r="J1983" s="89">
        <f>IF(H1983="","",IF(I1983="Sí",ROUND(H1983*Configuracion!$B$11,0),0))</f>
        <v/>
      </c>
      <c r="K1983" s="89">
        <f>IF(H1983="","",H1983+J1983)</f>
        <v/>
      </c>
      <c r="L1983" s="13">
        <f>IF(B1983="","",YEAR(B1983))</f>
        <v/>
      </c>
      <c r="M1983" s="13">
        <f>IF(B1983="","",MONTH(B1983))</f>
        <v/>
      </c>
      <c r="N1983" s="9" t="n"/>
      <c r="O1983" s="9" t="n"/>
      <c r="P1983" s="9" t="n"/>
      <c r="Q1983" s="9" t="n"/>
    </row>
    <row r="1984">
      <c r="A1984" s="9" t="n"/>
      <c r="B1984" s="70" t="n"/>
      <c r="C1984" s="9" t="n"/>
      <c r="D1984" s="9" t="n"/>
      <c r="E1984" s="9" t="n"/>
      <c r="F1984" s="9" t="n"/>
      <c r="G1984" s="9" t="n"/>
      <c r="H1984" s="71" t="n"/>
      <c r="I1984" s="9" t="n"/>
      <c r="J1984" s="89">
        <f>IF(H1984="","",IF(I1984="Sí",ROUND(H1984*Configuracion!$B$11,0),0))</f>
        <v/>
      </c>
      <c r="K1984" s="89">
        <f>IF(H1984="","",H1984+J1984)</f>
        <v/>
      </c>
      <c r="L1984" s="13">
        <f>IF(B1984="","",YEAR(B1984))</f>
        <v/>
      </c>
      <c r="M1984" s="13">
        <f>IF(B1984="","",MONTH(B1984))</f>
        <v/>
      </c>
      <c r="N1984" s="9" t="n"/>
      <c r="O1984" s="9" t="n"/>
      <c r="P1984" s="9" t="n"/>
      <c r="Q1984" s="9" t="n"/>
    </row>
    <row r="1985">
      <c r="A1985" s="9" t="n"/>
      <c r="B1985" s="70" t="n"/>
      <c r="C1985" s="9" t="n"/>
      <c r="D1985" s="9" t="n"/>
      <c r="E1985" s="9" t="n"/>
      <c r="F1985" s="9" t="n"/>
      <c r="G1985" s="9" t="n"/>
      <c r="H1985" s="71" t="n"/>
      <c r="I1985" s="9" t="n"/>
      <c r="J1985" s="89">
        <f>IF(H1985="","",IF(I1985="Sí",ROUND(H1985*Configuracion!$B$11,0),0))</f>
        <v/>
      </c>
      <c r="K1985" s="89">
        <f>IF(H1985="","",H1985+J1985)</f>
        <v/>
      </c>
      <c r="L1985" s="13">
        <f>IF(B1985="","",YEAR(B1985))</f>
        <v/>
      </c>
      <c r="M1985" s="13">
        <f>IF(B1985="","",MONTH(B1985))</f>
        <v/>
      </c>
      <c r="N1985" s="9" t="n"/>
      <c r="O1985" s="9" t="n"/>
      <c r="P1985" s="9" t="n"/>
      <c r="Q1985" s="9" t="n"/>
    </row>
    <row r="1986">
      <c r="A1986" s="9" t="n"/>
      <c r="B1986" s="70" t="n"/>
      <c r="C1986" s="9" t="n"/>
      <c r="D1986" s="9" t="n"/>
      <c r="E1986" s="9" t="n"/>
      <c r="F1986" s="9" t="n"/>
      <c r="G1986" s="9" t="n"/>
      <c r="H1986" s="71" t="n"/>
      <c r="I1986" s="9" t="n"/>
      <c r="J1986" s="89">
        <f>IF(H1986="","",IF(I1986="Sí",ROUND(H1986*Configuracion!$B$11,0),0))</f>
        <v/>
      </c>
      <c r="K1986" s="89">
        <f>IF(H1986="","",H1986+J1986)</f>
        <v/>
      </c>
      <c r="L1986" s="13">
        <f>IF(B1986="","",YEAR(B1986))</f>
        <v/>
      </c>
      <c r="M1986" s="13">
        <f>IF(B1986="","",MONTH(B1986))</f>
        <v/>
      </c>
      <c r="N1986" s="9" t="n"/>
      <c r="O1986" s="9" t="n"/>
      <c r="P1986" s="9" t="n"/>
      <c r="Q1986" s="9" t="n"/>
    </row>
    <row r="1987">
      <c r="A1987" s="9" t="n"/>
      <c r="B1987" s="70" t="n"/>
      <c r="C1987" s="9" t="n"/>
      <c r="D1987" s="9" t="n"/>
      <c r="E1987" s="9" t="n"/>
      <c r="F1987" s="9" t="n"/>
      <c r="G1987" s="9" t="n"/>
      <c r="H1987" s="71" t="n"/>
      <c r="I1987" s="9" t="n"/>
      <c r="J1987" s="89">
        <f>IF(H1987="","",IF(I1987="Sí",ROUND(H1987*Configuracion!$B$11,0),0))</f>
        <v/>
      </c>
      <c r="K1987" s="89">
        <f>IF(H1987="","",H1987+J1987)</f>
        <v/>
      </c>
      <c r="L1987" s="13">
        <f>IF(B1987="","",YEAR(B1987))</f>
        <v/>
      </c>
      <c r="M1987" s="13">
        <f>IF(B1987="","",MONTH(B1987))</f>
        <v/>
      </c>
      <c r="N1987" s="9" t="n"/>
      <c r="O1987" s="9" t="n"/>
      <c r="P1987" s="9" t="n"/>
      <c r="Q1987" s="9" t="n"/>
    </row>
    <row r="1988">
      <c r="A1988" s="9" t="n"/>
      <c r="B1988" s="70" t="n"/>
      <c r="C1988" s="9" t="n"/>
      <c r="D1988" s="9" t="n"/>
      <c r="E1988" s="9" t="n"/>
      <c r="F1988" s="9" t="n"/>
      <c r="G1988" s="9" t="n"/>
      <c r="H1988" s="71" t="n"/>
      <c r="I1988" s="9" t="n"/>
      <c r="J1988" s="89">
        <f>IF(H1988="","",IF(I1988="Sí",ROUND(H1988*Configuracion!$B$11,0),0))</f>
        <v/>
      </c>
      <c r="K1988" s="89">
        <f>IF(H1988="","",H1988+J1988)</f>
        <v/>
      </c>
      <c r="L1988" s="13">
        <f>IF(B1988="","",YEAR(B1988))</f>
        <v/>
      </c>
      <c r="M1988" s="13">
        <f>IF(B1988="","",MONTH(B1988))</f>
        <v/>
      </c>
      <c r="N1988" s="9" t="n"/>
      <c r="O1988" s="9" t="n"/>
      <c r="P1988" s="9" t="n"/>
      <c r="Q1988" s="9" t="n"/>
    </row>
    <row r="1989">
      <c r="A1989" s="9" t="n"/>
      <c r="B1989" s="70" t="n"/>
      <c r="C1989" s="9" t="n"/>
      <c r="D1989" s="9" t="n"/>
      <c r="E1989" s="9" t="n"/>
      <c r="F1989" s="9" t="n"/>
      <c r="G1989" s="9" t="n"/>
      <c r="H1989" s="71" t="n"/>
      <c r="I1989" s="9" t="n"/>
      <c r="J1989" s="89">
        <f>IF(H1989="","",IF(I1989="Sí",ROUND(H1989*Configuracion!$B$11,0),0))</f>
        <v/>
      </c>
      <c r="K1989" s="89">
        <f>IF(H1989="","",H1989+J1989)</f>
        <v/>
      </c>
      <c r="L1989" s="13">
        <f>IF(B1989="","",YEAR(B1989))</f>
        <v/>
      </c>
      <c r="M1989" s="13">
        <f>IF(B1989="","",MONTH(B1989))</f>
        <v/>
      </c>
      <c r="N1989" s="9" t="n"/>
      <c r="O1989" s="9" t="n"/>
      <c r="P1989" s="9" t="n"/>
      <c r="Q1989" s="9" t="n"/>
    </row>
    <row r="1990">
      <c r="A1990" s="9" t="n"/>
      <c r="B1990" s="70" t="n"/>
      <c r="C1990" s="9" t="n"/>
      <c r="D1990" s="9" t="n"/>
      <c r="E1990" s="9" t="n"/>
      <c r="F1990" s="9" t="n"/>
      <c r="G1990" s="9" t="n"/>
      <c r="H1990" s="71" t="n"/>
      <c r="I1990" s="9" t="n"/>
      <c r="J1990" s="89">
        <f>IF(H1990="","",IF(I1990="Sí",ROUND(H1990*Configuracion!$B$11,0),0))</f>
        <v/>
      </c>
      <c r="K1990" s="89">
        <f>IF(H1990="","",H1990+J1990)</f>
        <v/>
      </c>
      <c r="L1990" s="13">
        <f>IF(B1990="","",YEAR(B1990))</f>
        <v/>
      </c>
      <c r="M1990" s="13">
        <f>IF(B1990="","",MONTH(B1990))</f>
        <v/>
      </c>
      <c r="N1990" s="9" t="n"/>
      <c r="O1990" s="9" t="n"/>
      <c r="P1990" s="9" t="n"/>
      <c r="Q1990" s="9" t="n"/>
    </row>
    <row r="1991">
      <c r="A1991" s="9" t="n"/>
      <c r="B1991" s="70" t="n"/>
      <c r="C1991" s="9" t="n"/>
      <c r="D1991" s="9" t="n"/>
      <c r="E1991" s="9" t="n"/>
      <c r="F1991" s="9" t="n"/>
      <c r="G1991" s="9" t="n"/>
      <c r="H1991" s="71" t="n"/>
      <c r="I1991" s="9" t="n"/>
      <c r="J1991" s="89">
        <f>IF(H1991="","",IF(I1991="Sí",ROUND(H1991*Configuracion!$B$11,0),0))</f>
        <v/>
      </c>
      <c r="K1991" s="89">
        <f>IF(H1991="","",H1991+J1991)</f>
        <v/>
      </c>
      <c r="L1991" s="13">
        <f>IF(B1991="","",YEAR(B1991))</f>
        <v/>
      </c>
      <c r="M1991" s="13">
        <f>IF(B1991="","",MONTH(B1991))</f>
        <v/>
      </c>
      <c r="N1991" s="9" t="n"/>
      <c r="O1991" s="9" t="n"/>
      <c r="P1991" s="9" t="n"/>
      <c r="Q1991" s="9" t="n"/>
    </row>
    <row r="1992">
      <c r="A1992" s="9" t="n"/>
      <c r="B1992" s="70" t="n"/>
      <c r="C1992" s="9" t="n"/>
      <c r="D1992" s="9" t="n"/>
      <c r="E1992" s="9" t="n"/>
      <c r="F1992" s="9" t="n"/>
      <c r="G1992" s="9" t="n"/>
      <c r="H1992" s="71" t="n"/>
      <c r="I1992" s="9" t="n"/>
      <c r="J1992" s="89">
        <f>IF(H1992="","",IF(I1992="Sí",ROUND(H1992*Configuracion!$B$11,0),0))</f>
        <v/>
      </c>
      <c r="K1992" s="89">
        <f>IF(H1992="","",H1992+J1992)</f>
        <v/>
      </c>
      <c r="L1992" s="13">
        <f>IF(B1992="","",YEAR(B1992))</f>
        <v/>
      </c>
      <c r="M1992" s="13">
        <f>IF(B1992="","",MONTH(B1992))</f>
        <v/>
      </c>
      <c r="N1992" s="9" t="n"/>
      <c r="O1992" s="9" t="n"/>
      <c r="P1992" s="9" t="n"/>
      <c r="Q1992" s="9" t="n"/>
    </row>
    <row r="1993">
      <c r="A1993" s="9" t="n"/>
      <c r="B1993" s="70" t="n"/>
      <c r="C1993" s="9" t="n"/>
      <c r="D1993" s="9" t="n"/>
      <c r="E1993" s="9" t="n"/>
      <c r="F1993" s="9" t="n"/>
      <c r="G1993" s="9" t="n"/>
      <c r="H1993" s="71" t="n"/>
      <c r="I1993" s="9" t="n"/>
      <c r="J1993" s="89">
        <f>IF(H1993="","",IF(I1993="Sí",ROUND(H1993*Configuracion!$B$11,0),0))</f>
        <v/>
      </c>
      <c r="K1993" s="89">
        <f>IF(H1993="","",H1993+J1993)</f>
        <v/>
      </c>
      <c r="L1993" s="13">
        <f>IF(B1993="","",YEAR(B1993))</f>
        <v/>
      </c>
      <c r="M1993" s="13">
        <f>IF(B1993="","",MONTH(B1993))</f>
        <v/>
      </c>
      <c r="N1993" s="9" t="n"/>
      <c r="O1993" s="9" t="n"/>
      <c r="P1993" s="9" t="n"/>
      <c r="Q1993" s="9" t="n"/>
    </row>
    <row r="1994">
      <c r="A1994" s="9" t="n"/>
      <c r="B1994" s="70" t="n"/>
      <c r="C1994" s="9" t="n"/>
      <c r="D1994" s="9" t="n"/>
      <c r="E1994" s="9" t="n"/>
      <c r="F1994" s="9" t="n"/>
      <c r="G1994" s="9" t="n"/>
      <c r="H1994" s="71" t="n"/>
      <c r="I1994" s="9" t="n"/>
      <c r="J1994" s="89">
        <f>IF(H1994="","",IF(I1994="Sí",ROUND(H1994*Configuracion!$B$11,0),0))</f>
        <v/>
      </c>
      <c r="K1994" s="89">
        <f>IF(H1994="","",H1994+J1994)</f>
        <v/>
      </c>
      <c r="L1994" s="13">
        <f>IF(B1994="","",YEAR(B1994))</f>
        <v/>
      </c>
      <c r="M1994" s="13">
        <f>IF(B1994="","",MONTH(B1994))</f>
        <v/>
      </c>
      <c r="N1994" s="9" t="n"/>
      <c r="O1994" s="9" t="n"/>
      <c r="P1994" s="9" t="n"/>
      <c r="Q1994" s="9" t="n"/>
    </row>
    <row r="1995">
      <c r="A1995" s="9" t="n"/>
      <c r="B1995" s="70" t="n"/>
      <c r="C1995" s="9" t="n"/>
      <c r="D1995" s="9" t="n"/>
      <c r="E1995" s="9" t="n"/>
      <c r="F1995" s="9" t="n"/>
      <c r="G1995" s="9" t="n"/>
      <c r="H1995" s="71" t="n"/>
      <c r="I1995" s="9" t="n"/>
      <c r="J1995" s="89">
        <f>IF(H1995="","",IF(I1995="Sí",ROUND(H1995*Configuracion!$B$11,0),0))</f>
        <v/>
      </c>
      <c r="K1995" s="89">
        <f>IF(H1995="","",H1995+J1995)</f>
        <v/>
      </c>
      <c r="L1995" s="13">
        <f>IF(B1995="","",YEAR(B1995))</f>
        <v/>
      </c>
      <c r="M1995" s="13">
        <f>IF(B1995="","",MONTH(B1995))</f>
        <v/>
      </c>
      <c r="N1995" s="9" t="n"/>
      <c r="O1995" s="9" t="n"/>
      <c r="P1995" s="9" t="n"/>
      <c r="Q1995" s="9" t="n"/>
    </row>
    <row r="1996">
      <c r="A1996" s="9" t="n"/>
      <c r="B1996" s="70" t="n"/>
      <c r="C1996" s="9" t="n"/>
      <c r="D1996" s="9" t="n"/>
      <c r="E1996" s="9" t="n"/>
      <c r="F1996" s="9" t="n"/>
      <c r="G1996" s="9" t="n"/>
      <c r="H1996" s="71" t="n"/>
      <c r="I1996" s="9" t="n"/>
      <c r="J1996" s="89">
        <f>IF(H1996="","",IF(I1996="Sí",ROUND(H1996*Configuracion!$B$11,0),0))</f>
        <v/>
      </c>
      <c r="K1996" s="89">
        <f>IF(H1996="","",H1996+J1996)</f>
        <v/>
      </c>
      <c r="L1996" s="13">
        <f>IF(B1996="","",YEAR(B1996))</f>
        <v/>
      </c>
      <c r="M1996" s="13">
        <f>IF(B1996="","",MONTH(B1996))</f>
        <v/>
      </c>
      <c r="N1996" s="9" t="n"/>
      <c r="O1996" s="9" t="n"/>
      <c r="P1996" s="9" t="n"/>
      <c r="Q1996" s="9" t="n"/>
    </row>
    <row r="1997">
      <c r="A1997" s="9" t="n"/>
      <c r="B1997" s="70" t="n"/>
      <c r="C1997" s="9" t="n"/>
      <c r="D1997" s="9" t="n"/>
      <c r="E1997" s="9" t="n"/>
      <c r="F1997" s="9" t="n"/>
      <c r="G1997" s="9" t="n"/>
      <c r="H1997" s="71" t="n"/>
      <c r="I1997" s="9" t="n"/>
      <c r="J1997" s="89">
        <f>IF(H1997="","",IF(I1997="Sí",ROUND(H1997*Configuracion!$B$11,0),0))</f>
        <v/>
      </c>
      <c r="K1997" s="89">
        <f>IF(H1997="","",H1997+J1997)</f>
        <v/>
      </c>
      <c r="L1997" s="13">
        <f>IF(B1997="","",YEAR(B1997))</f>
        <v/>
      </c>
      <c r="M1997" s="13">
        <f>IF(B1997="","",MONTH(B1997))</f>
        <v/>
      </c>
      <c r="N1997" s="9" t="n"/>
      <c r="O1997" s="9" t="n"/>
      <c r="P1997" s="9" t="n"/>
      <c r="Q1997" s="9" t="n"/>
    </row>
    <row r="1998">
      <c r="A1998" s="9" t="n"/>
      <c r="B1998" s="70" t="n"/>
      <c r="C1998" s="9" t="n"/>
      <c r="D1998" s="9" t="n"/>
      <c r="E1998" s="9" t="n"/>
      <c r="F1998" s="9" t="n"/>
      <c r="G1998" s="9" t="n"/>
      <c r="H1998" s="71" t="n"/>
      <c r="I1998" s="9" t="n"/>
      <c r="J1998" s="89">
        <f>IF(H1998="","",IF(I1998="Sí",ROUND(H1998*Configuracion!$B$11,0),0))</f>
        <v/>
      </c>
      <c r="K1998" s="89">
        <f>IF(H1998="","",H1998+J1998)</f>
        <v/>
      </c>
      <c r="L1998" s="13">
        <f>IF(B1998="","",YEAR(B1998))</f>
        <v/>
      </c>
      <c r="M1998" s="13">
        <f>IF(B1998="","",MONTH(B1998))</f>
        <v/>
      </c>
      <c r="N1998" s="9" t="n"/>
      <c r="O1998" s="9" t="n"/>
      <c r="P1998" s="9" t="n"/>
      <c r="Q1998" s="9" t="n"/>
    </row>
    <row r="1999">
      <c r="A1999" s="9" t="n"/>
      <c r="B1999" s="70" t="n"/>
      <c r="C1999" s="9" t="n"/>
      <c r="D1999" s="9" t="n"/>
      <c r="E1999" s="9" t="n"/>
      <c r="F1999" s="9" t="n"/>
      <c r="G1999" s="9" t="n"/>
      <c r="H1999" s="71" t="n"/>
      <c r="I1999" s="9" t="n"/>
      <c r="J1999" s="89">
        <f>IF(H1999="","",IF(I1999="Sí",ROUND(H1999*Configuracion!$B$11,0),0))</f>
        <v/>
      </c>
      <c r="K1999" s="89">
        <f>IF(H1999="","",H1999+J1999)</f>
        <v/>
      </c>
      <c r="L1999" s="13">
        <f>IF(B1999="","",YEAR(B1999))</f>
        <v/>
      </c>
      <c r="M1999" s="13">
        <f>IF(B1999="","",MONTH(B1999))</f>
        <v/>
      </c>
      <c r="N1999" s="9" t="n"/>
      <c r="O1999" s="9" t="n"/>
      <c r="P1999" s="9" t="n"/>
      <c r="Q1999" s="9" t="n"/>
    </row>
    <row r="2000">
      <c r="A2000" s="9" t="n"/>
      <c r="B2000" s="70" t="n"/>
      <c r="C2000" s="9" t="n"/>
      <c r="D2000" s="9" t="n"/>
      <c r="E2000" s="9" t="n"/>
      <c r="F2000" s="9" t="n"/>
      <c r="G2000" s="9" t="n"/>
      <c r="H2000" s="71" t="n"/>
      <c r="I2000" s="9" t="n"/>
      <c r="J2000" s="89">
        <f>IF(H2000="","",IF(I2000="Sí",ROUND(H2000*Configuracion!$B$11,0),0))</f>
        <v/>
      </c>
      <c r="K2000" s="89">
        <f>IF(H2000="","",H2000+J2000)</f>
        <v/>
      </c>
      <c r="L2000" s="13">
        <f>IF(B2000="","",YEAR(B2000))</f>
        <v/>
      </c>
      <c r="M2000" s="13">
        <f>IF(B2000="","",MONTH(B2000))</f>
        <v/>
      </c>
      <c r="N2000" s="9" t="n"/>
      <c r="O2000" s="9" t="n"/>
      <c r="P2000" s="9" t="n"/>
      <c r="Q2000" s="9" t="n"/>
    </row>
    <row r="2001">
      <c r="A2001" s="9" t="n"/>
      <c r="B2001" s="70" t="n"/>
      <c r="C2001" s="9" t="n"/>
      <c r="D2001" s="9" t="n"/>
      <c r="E2001" s="9" t="n"/>
      <c r="F2001" s="9" t="n"/>
      <c r="G2001" s="9" t="n"/>
      <c r="H2001" s="71" t="n"/>
      <c r="I2001" s="9" t="n"/>
      <c r="J2001" s="89">
        <f>IF(H2001="","",IF(I2001="Sí",ROUND(H2001*Configuracion!$B$11,0),0))</f>
        <v/>
      </c>
      <c r="K2001" s="89">
        <f>IF(H2001="","",H2001+J2001)</f>
        <v/>
      </c>
      <c r="L2001" s="13">
        <f>IF(B2001="","",YEAR(B2001))</f>
        <v/>
      </c>
      <c r="M2001" s="13">
        <f>IF(B2001="","",MONTH(B2001))</f>
        <v/>
      </c>
      <c r="N2001" s="9" t="n"/>
      <c r="O2001" s="9" t="n"/>
      <c r="P2001" s="9" t="n"/>
      <c r="Q2001" s="9" t="n"/>
    </row>
    <row r="2002">
      <c r="A2002" s="9" t="n"/>
      <c r="B2002" s="70" t="n"/>
      <c r="C2002" s="9" t="n"/>
      <c r="D2002" s="9" t="n"/>
      <c r="E2002" s="9" t="n"/>
      <c r="F2002" s="9" t="n"/>
      <c r="G2002" s="9" t="n"/>
      <c r="H2002" s="71" t="n"/>
      <c r="I2002" s="9" t="n"/>
      <c r="J2002" s="89">
        <f>IF(H2002="","",IF(I2002="Sí",ROUND(H2002*Configuracion!$B$11,0),0))</f>
        <v/>
      </c>
      <c r="K2002" s="89">
        <f>IF(H2002="","",H2002+J2002)</f>
        <v/>
      </c>
      <c r="L2002" s="13">
        <f>IF(B2002="","",YEAR(B2002))</f>
        <v/>
      </c>
      <c r="M2002" s="13">
        <f>IF(B2002="","",MONTH(B2002))</f>
        <v/>
      </c>
      <c r="N2002" s="9" t="n"/>
      <c r="O2002" s="9" t="n"/>
      <c r="P2002" s="9" t="n"/>
      <c r="Q2002" s="9" t="n"/>
    </row>
    <row r="2003">
      <c r="A2003" s="9" t="n"/>
      <c r="B2003" s="70" t="n"/>
      <c r="C2003" s="9" t="n"/>
      <c r="D2003" s="9" t="n"/>
      <c r="E2003" s="9" t="n"/>
      <c r="F2003" s="9" t="n"/>
      <c r="G2003" s="9" t="n"/>
      <c r="H2003" s="71" t="n"/>
      <c r="I2003" s="9" t="n"/>
      <c r="J2003" s="89">
        <f>IF(H2003="","",IF(I2003="Sí",ROUND(H2003*Configuracion!$B$11,0),0))</f>
        <v/>
      </c>
      <c r="K2003" s="89">
        <f>IF(H2003="","",H2003+J2003)</f>
        <v/>
      </c>
      <c r="L2003" s="13">
        <f>IF(B2003="","",YEAR(B2003))</f>
        <v/>
      </c>
      <c r="M2003" s="13">
        <f>IF(B2003="","",MONTH(B2003))</f>
        <v/>
      </c>
      <c r="N2003" s="9" t="n"/>
      <c r="O2003" s="9" t="n"/>
      <c r="P2003" s="9" t="n"/>
      <c r="Q2003" s="9" t="n"/>
    </row>
    <row r="2004">
      <c r="A2004" s="9" t="n"/>
      <c r="B2004" s="70" t="n"/>
      <c r="C2004" s="9" t="n"/>
      <c r="D2004" s="9" t="n"/>
      <c r="E2004" s="9" t="n"/>
      <c r="F2004" s="9" t="n"/>
      <c r="G2004" s="9" t="n"/>
      <c r="H2004" s="71" t="n"/>
      <c r="I2004" s="9" t="n"/>
      <c r="J2004" s="89">
        <f>IF(H2004="","",IF(I2004="Sí",ROUND(H2004*Configuracion!$B$11,0),0))</f>
        <v/>
      </c>
      <c r="K2004" s="89">
        <f>IF(H2004="","",H2004+J2004)</f>
        <v/>
      </c>
      <c r="L2004" s="13">
        <f>IF(B2004="","",YEAR(B2004))</f>
        <v/>
      </c>
      <c r="M2004" s="13">
        <f>IF(B2004="","",MONTH(B2004))</f>
        <v/>
      </c>
      <c r="N2004" s="9" t="n"/>
      <c r="O2004" s="9" t="n"/>
      <c r="P2004" s="9" t="n"/>
      <c r="Q2004" s="9" t="n"/>
    </row>
    <row r="2005">
      <c r="A2005" s="9" t="n"/>
      <c r="B2005" s="70" t="n"/>
      <c r="C2005" s="9" t="n"/>
      <c r="D2005" s="9" t="n"/>
      <c r="E2005" s="9" t="n"/>
      <c r="F2005" s="9" t="n"/>
      <c r="G2005" s="9" t="n"/>
      <c r="H2005" s="71" t="n"/>
      <c r="I2005" s="9" t="n"/>
      <c r="J2005" s="89">
        <f>IF(H2005="","",IF(I2005="Sí",ROUND(H2005*Configuracion!$B$11,0),0))</f>
        <v/>
      </c>
      <c r="K2005" s="89">
        <f>IF(H2005="","",H2005+J2005)</f>
        <v/>
      </c>
      <c r="L2005" s="13">
        <f>IF(B2005="","",YEAR(B2005))</f>
        <v/>
      </c>
      <c r="M2005" s="13">
        <f>IF(B2005="","",MONTH(B2005))</f>
        <v/>
      </c>
      <c r="N2005" s="9" t="n"/>
      <c r="O2005" s="9" t="n"/>
      <c r="P2005" s="9" t="n"/>
      <c r="Q2005" s="9" t="n"/>
    </row>
  </sheetData>
  <autoFilter ref="A5:Q2005"/>
  <mergeCells count="3">
    <mergeCell ref="A3:Q3"/>
    <mergeCell ref="A2:Q2"/>
    <mergeCell ref="A1:Q1"/>
  </mergeCells>
  <dataValidations count="3">
    <dataValidation sqref="C6:C2005" showDropDown="0" showInputMessage="0" showErrorMessage="0" allowBlank="1" type="list">
      <formula1>"Gasto fijo,Gasto variable,Otro ingreso,Taller,Repuestos,Venta auto"</formula1>
    </dataValidation>
    <dataValidation sqref="I6:I2005" showDropDown="0" showInputMessage="0" showErrorMessage="0" allowBlank="1" type="list">
      <formula1>"Sí,No"</formula1>
    </dataValidation>
    <dataValidation sqref="O6:O2005" showDropDown="0" showInputMessage="0" showErrorMessage="0" allowBlank="1" type="list">
      <formula1>"Confirmado,Anulado"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B25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92" customWidth="1" min="2" max="2"/>
  </cols>
  <sheetData>
    <row r="1" ht="28" customHeight="1">
      <c r="A1" s="1" t="inlineStr">
        <is>
          <t xml:space="preserve">  Cómo usar esta planilla</t>
        </is>
      </c>
    </row>
    <row r="2" ht="20" customHeight="1">
      <c r="A2" s="3" t="inlineStr">
        <is>
          <t xml:space="preserve">  Control de ingresos, gastos, IVA y PPM — Automotora</t>
        </is>
      </c>
    </row>
    <row r="4" ht="22" customHeight="1">
      <c r="B4" s="4" t="inlineStr">
        <is>
          <t>Color de las celdas</t>
        </is>
      </c>
    </row>
    <row r="5" ht="64" customHeight="1">
      <c r="B5" s="5" t="inlineStr">
        <is>
          <t>Amarillo claro: tú escribes. Gris azulado: fórmula, no la borres. Los totales y el resumen se calculan solos.</t>
        </is>
      </c>
    </row>
    <row r="7" ht="22" customHeight="1">
      <c r="B7" s="4" t="inlineStr">
        <is>
          <t>Orden de trabajo cada mes</t>
        </is>
      </c>
    </row>
    <row r="8" ht="78" customHeight="1">
      <c r="B8" s="5" t="inlineStr">
        <is>
          <t>1) En Configuracion elige el año y el mes que estás cerrando.
2) Carga ventas de autos (propios y consignación) en Ventas_Autos.
3) Carga taller y repuestos en Taller_Repuestos.
4) Completa Gastos_Fijos y Gastos_Variables en la columna del mes.
5) Revisa Resumen, IVA y PPM. El F29 del mes se declara al mes siguiente.</t>
        </is>
      </c>
    </row>
    <row r="10" ht="22" customHeight="1">
      <c r="B10" s="4" t="inlineStr">
        <is>
          <t>IVA (19%)</t>
        </is>
      </c>
    </row>
    <row r="11" ht="78" customHeight="1">
      <c r="B11" s="5" t="inlineStr">
        <is>
          <t>El IVA no es un gasto de la automotora: es un impuesto que cobras y pagas.
• IVA débito: el IVA de tus ventas y servicios (autos vendidos, taller, repuestos, comisiones).
• IVA crédito: el IVA de tus compras afectas (autos con factura, insumos, publicidad, luz, etc.).
• IVA a pagar = débito − crédito − remanente del mes anterior. Si da negativo, queda remanente.
Importante: si compras un usado a un particular, casi nunca hay crédito fiscal. Marca Compra afecta IVA = No.</t>
        </is>
      </c>
    </row>
    <row r="13" ht="22" customHeight="1">
      <c r="B13" s="4" t="inlineStr">
        <is>
          <t>PPM (Pagos Provisionales Mensuales)</t>
        </is>
      </c>
    </row>
    <row r="14" ht="78" customHeight="1">
      <c r="B14" s="5" t="inlineStr">
        <is>
          <t>El PPM se calcula sobre los ingresos netos del mes (sin IVA), no sobre la utilidad. Aunque un mes salgas a pérdida, igual puede corresponder PPM.
La tasa vive en Configuracion. Si es el primer año comercial suele usarse 0,25%. Después el SII fija un factor según el año anterior. Confírmala con tu contador.
El PPM se imputa al impuesto a la renta de primera categoría al cierre del año.</t>
        </is>
      </c>
    </row>
    <row r="16" ht="22" customHeight="1">
      <c r="B16" s="4" t="inlineStr">
        <is>
          <t>Consignación vs. venta propia</t>
        </is>
      </c>
    </row>
    <row r="17" ht="78" customHeight="1">
      <c r="B17" s="5" t="inlineStr">
        <is>
          <t>• Auto propio (Nuevo o Usado): el ingreso es el precio de venta. El costo es lo que te costó. La utilidad de la unidad es venta neta − costo neto − comisión del vendedor.
• Consignación: el auto no es tuyo. El ingreso de la automotora es la comisión. Llena Comisión consignación (con IVA) y deja el costo en 0.</t>
        </is>
      </c>
    </row>
    <row r="19" ht="22" customHeight="1">
      <c r="B19" s="4" t="inlineStr">
        <is>
          <t>Pasar a Google Sheets</t>
        </is>
      </c>
    </row>
    <row r="20" ht="78" customHeight="1">
      <c r="B20" s="5" t="inlineStr">
        <is>
          <t>1. Sube este archivo a Google Drive.
2. Clic derecho → Abrir con → Google Sheets.
3. Archivo → Guardar como Google Sheets (así queda nativo y se puede compartir).
Las fórmulas están en formato compatible (SUMIFS, INDEX, IF). No uses macros.</t>
        </is>
      </c>
    </row>
    <row r="22" ht="22" customHeight="1">
      <c r="B22" s="4" t="inlineStr">
        <is>
          <t>Qué no reemplaza esta planilla</t>
        </is>
      </c>
    </row>
    <row r="23" ht="78" customHeight="1">
      <c r="B23" s="5" t="inlineStr">
        <is>
          <t>Es un control de gestión para ver si el negocio gana plata y qué hay que pagar de IVA y PPM. No reemplaza el libro de compras/ventas ni el F29 que hace tu contador. Si hay diferencias con el SII, manda la planilla y los documentos al contador.</t>
        </is>
      </c>
    </row>
    <row r="25">
      <c r="B25" s="6" t="inlineStr">
        <is>
          <t>Las filas de ejemplo en agosto 2026 se pueden borrar. No borres columnas ni encabezados.</t>
        </is>
      </c>
    </row>
  </sheetData>
  <mergeCells count="16">
    <mergeCell ref="B8"/>
    <mergeCell ref="B19"/>
    <mergeCell ref="B4"/>
    <mergeCell ref="A2:B2"/>
    <mergeCell ref="B17"/>
    <mergeCell ref="B13"/>
    <mergeCell ref="B7"/>
    <mergeCell ref="B11"/>
    <mergeCell ref="B16"/>
    <mergeCell ref="B20"/>
    <mergeCell ref="B22"/>
    <mergeCell ref="B10"/>
    <mergeCell ref="A1:B1"/>
    <mergeCell ref="B5"/>
    <mergeCell ref="B14"/>
    <mergeCell ref="B23"/>
  </mergeCells>
  <printOptions horizontalCentered="1"/>
  <pageMargins left="0.4" right="0.4" top="0.5" bottom="0.5" header="0.5" footer="0.5"/>
  <pageSetup orientation="portrait" paperSize="9"/>
  <headerFooter>
    <oddHeader>&amp;LControl financiero automotora</oddHeader>
    <oddFooter>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C28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62" customWidth="1" min="3" max="3"/>
  </cols>
  <sheetData>
    <row r="1" ht="28" customHeight="1">
      <c r="A1" s="1" t="inlineStr">
        <is>
          <t xml:space="preserve">  Configuración</t>
        </is>
      </c>
    </row>
    <row r="2" ht="20" customHeight="1">
      <c r="A2" s="3" t="inlineStr">
        <is>
          <t xml:space="preserve">  Cambia solo las celdas amarillas. El resto de la planilla toma estos valores.</t>
        </is>
      </c>
    </row>
    <row r="4">
      <c r="A4" s="7" t="inlineStr">
        <is>
          <t>DATOS DE LA EMPRESA</t>
        </is>
      </c>
    </row>
    <row r="5">
      <c r="A5" s="8" t="inlineStr">
        <is>
          <t>Nombre de la automotora</t>
        </is>
      </c>
      <c r="B5" s="9" t="inlineStr">
        <is>
          <t>Mi Automotora</t>
        </is>
      </c>
      <c r="C5" s="10" t="inlineStr">
        <is>
          <t>Aparece en el resumen y en las impresiones.</t>
        </is>
      </c>
    </row>
    <row r="6">
      <c r="A6" s="8" t="inlineStr">
        <is>
          <t>RUT</t>
        </is>
      </c>
      <c r="B6" s="9" t="inlineStr">
        <is>
          <t>76.000.000-K</t>
        </is>
      </c>
      <c r="C6" s="10" t="inlineStr">
        <is>
          <t>Solo referencia; no se usa en fórmulas.</t>
        </is>
      </c>
    </row>
    <row r="7">
      <c r="A7" s="8" t="inlineStr">
        <is>
          <t>Año de trabajo</t>
        </is>
      </c>
      <c r="B7" s="11" t="n">
        <v>2026</v>
      </c>
      <c r="C7" s="10" t="inlineStr">
        <is>
          <t>Filtra ventas, IVA y PPM. Cámbialo en enero.</t>
        </is>
      </c>
    </row>
    <row r="8">
      <c r="A8" s="8" t="inlineStr">
        <is>
          <t>Mes de trabajo (1 a 12)</t>
        </is>
      </c>
      <c r="B8" s="11" t="n">
        <v>8</v>
      </c>
      <c r="C8" s="10" t="inlineStr">
        <is>
          <t>El Resumen, IVA y PPM muestran este mes. 8 = agosto.</t>
        </is>
      </c>
    </row>
    <row r="10">
      <c r="A10" s="7" t="inlineStr">
        <is>
          <t>TASAS TRIBUTARIAS</t>
        </is>
      </c>
    </row>
    <row r="11">
      <c r="A11" s="7" t="inlineStr">
        <is>
          <t>Tasa IVA</t>
        </is>
      </c>
      <c r="B11" s="12" t="n">
        <v>0.19</v>
      </c>
      <c r="C11" s="6" t="inlineStr">
        <is>
          <t>Chile: 19%. No la cambies salvo cambio legal.</t>
        </is>
      </c>
    </row>
    <row r="12">
      <c r="A12" s="7" t="inlineStr">
        <is>
          <t>Tasa PPM</t>
        </is>
      </c>
      <c r="B12" s="12" t="n">
        <v>0.0025</v>
      </c>
      <c r="C12" s="6" t="inlineStr">
        <is>
          <t>Por defecto 0,25% (primer año). Reemplázala por el factor del SII.</t>
        </is>
      </c>
    </row>
    <row r="13">
      <c r="A13" s="7" t="inlineStr">
        <is>
          <t>Tasa impuesto 1ª categoría</t>
        </is>
      </c>
      <c r="B13" s="12" t="n">
        <v>0.27</v>
      </c>
      <c r="C13" s="6" t="inlineStr">
        <is>
          <t>27% régimen general. PyME 14 D puede ser 25%. Confirma con tu contador.</t>
        </is>
      </c>
    </row>
    <row r="15">
      <c r="A15" s="7" t="inlineStr">
        <is>
          <t>MES EN CURSO (se calcula solo)</t>
        </is>
      </c>
    </row>
    <row r="16">
      <c r="A16" s="7" t="inlineStr">
        <is>
          <t>Nombre del mes</t>
        </is>
      </c>
      <c r="B16" s="13">
        <f>CHOOSE(B8,"Enero","Febrero","Marzo","Abril","Mayo","Junio","Julio","Agosto","Septiembre","Octubre","Noviembre","Diciembre")</f>
        <v/>
      </c>
      <c r="C16" s="6" t="inlineStr">
        <is>
          <t>Lo usa el Resumen como título del período.</t>
        </is>
      </c>
    </row>
    <row r="18">
      <c r="A18" s="7" t="inlineStr">
        <is>
          <t>LEYENDA</t>
        </is>
      </c>
    </row>
    <row r="19">
      <c r="A19" s="14" t="inlineStr">
        <is>
          <t>Celda de entrada</t>
        </is>
      </c>
      <c r="B19" s="9" t="inlineStr">
        <is>
          <t>Dato que tú escribes</t>
        </is>
      </c>
    </row>
    <row r="20">
      <c r="A20" s="14" t="inlineStr">
        <is>
          <t>Celda calculada</t>
        </is>
      </c>
      <c r="B20" s="15">
        <f>"Cálculo automático"</f>
        <v/>
      </c>
    </row>
    <row r="22" ht="36" customHeight="1">
      <c r="A22" s="7" t="inlineStr">
        <is>
          <t>Notas para el contador</t>
        </is>
      </c>
      <c r="B22" s="16" t="inlineStr">
        <is>
          <t>Tasa PPM confirmada con contador: _  /  Régimen: _</t>
        </is>
      </c>
      <c r="C22" s="90" t="n"/>
    </row>
    <row r="23">
      <c r="B23" s="91" t="n"/>
      <c r="C23" s="92" t="n"/>
    </row>
    <row r="24">
      <c r="B24" s="93" t="n"/>
      <c r="C24" s="94" t="n"/>
    </row>
    <row r="26" ht="48" customHeight="1">
      <c r="A26" s="17" t="inlineStr">
        <is>
          <t>Los movimientos de agosto 2026 son EJEMPLOS (pocas ventas y una nómina completa, por eso el mes puede salir a pérdida). Bórralos y carga tus datos reales. Cambia el nombre de la automotora arriba.</t>
        </is>
      </c>
    </row>
    <row r="27"/>
    <row r="28"/>
  </sheetData>
  <mergeCells count="5">
    <mergeCell ref="A1:C1"/>
    <mergeCell ref="A26:C28"/>
    <mergeCell ref="B22:C24"/>
    <mergeCell ref="A22:A24"/>
    <mergeCell ref="A2:C2"/>
  </mergeCells>
  <dataValidations count="1">
    <dataValidation sqref="B8" showDropDown="0" showInputMessage="1" showErrorMessage="1" allowBlank="1" errorTitle="Valor no válido" error="Use un valor de la lista." promptTitle="Lista" prompt="Elija un valor" type="list">
      <formula1>"1,2,3,4,5,6,7,8,9,10,11,12"</formula1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>&amp;LControl financiero automotora</oddHeader>
    <oddFooter>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A365D"/>
    <outlinePr summaryBelow="1" summaryRight="1"/>
    <pageSetUpPr fitToPage="1"/>
  </sheetPr>
  <dimension ref="A1:L38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1" t="inlineStr">
        <is>
          <t xml:space="preserve">  Resumen de gestión</t>
        </is>
      </c>
    </row>
    <row r="2" ht="22" customHeight="1">
      <c r="A2" s="18">
        <f> Configuracion!$B$5 &amp; "  ·  " &amp; Configuracion!B16 &amp; " " &amp; Configuracion!$B$7 &amp; "  ·  Cifras netas, sin IVA"</f>
        <v/>
      </c>
    </row>
    <row r="4" ht="18" customHeight="1">
      <c r="A4" s="19" t="inlineStr">
        <is>
          <t>INGRESOS DEL MES</t>
        </is>
      </c>
      <c r="B4" s="95" t="n"/>
      <c r="C4" s="96" t="n"/>
      <c r="D4" s="19" t="inlineStr">
        <is>
          <t>MARGEN BRUTO</t>
        </is>
      </c>
      <c r="E4" s="95" t="n"/>
      <c r="F4" s="96" t="n"/>
      <c r="G4" s="19" t="inlineStr">
        <is>
          <t>UTILIDAD OPERACIONAL</t>
        </is>
      </c>
      <c r="H4" s="95" t="n"/>
      <c r="I4" s="96" t="n"/>
      <c r="J4" s="19" t="inlineStr">
        <is>
          <t>UTILIDAD NETA EST.</t>
        </is>
      </c>
      <c r="K4" s="95" t="n"/>
      <c r="L4" s="96" t="n"/>
    </row>
    <row r="5" ht="28" customHeight="1">
      <c r="A5" s="21">
        <f>INDEX(Estado_Resultados!$B$13:$M$13,1,Configuracion!$B$8)</f>
        <v/>
      </c>
      <c r="B5" s="95" t="n"/>
      <c r="C5" s="96" t="n"/>
      <c r="D5" s="21">
        <f>INDEX(Estado_Resultados!$B$19:$M$19,1,Configuracion!$B$8)</f>
        <v/>
      </c>
      <c r="E5" s="95" t="n"/>
      <c r="F5" s="96" t="n"/>
      <c r="G5" s="21">
        <f>INDEX(Estado_Resultados!$B$27:$M$27,1,Configuracion!$B$8)</f>
        <v/>
      </c>
      <c r="H5" s="95" t="n"/>
      <c r="I5" s="96" t="n"/>
      <c r="J5" s="21">
        <f>INDEX(Estado_Resultados!$B$32:$M$32,1,Configuracion!$B$8)</f>
        <v/>
      </c>
      <c r="K5" s="95" t="n"/>
      <c r="L5" s="96" t="n"/>
    </row>
    <row r="6" ht="18" customHeight="1">
      <c r="A6" s="23">
        <f>"Mes en curso"</f>
        <v/>
      </c>
      <c r="B6" s="95" t="n"/>
      <c r="C6" s="96" t="n"/>
      <c r="D6" s="23">
        <f>IF(INDEX(Estado_Resultados!$B$13:$M$13,1,Configuracion!$B$8)=0,"",TEXT(INDEX(Estado_Resultados!$B$20:$M$20,1,Configuracion!$B$8),"0.0%")&amp;" sobre ventas")</f>
        <v/>
      </c>
      <c r="E6" s="95" t="n"/>
      <c r="F6" s="96" t="n"/>
      <c r="G6" s="23">
        <f>IF(INDEX(Estado_Resultados!$B$27:$M$27,1,Configuracion!$B$8)&gt;=0,"La operación gana","La operación pierde")</f>
        <v/>
      </c>
      <c r="H6" s="95" t="n"/>
      <c r="I6" s="96" t="n"/>
      <c r="J6" s="23">
        <f>"Después de provisión 1ª cat."</f>
        <v/>
      </c>
      <c r="K6" s="95" t="n"/>
      <c r="L6" s="96" t="n"/>
    </row>
    <row r="8">
      <c r="A8" s="24" t="inlineStr">
        <is>
          <t>De dónde sale la plata este mes</t>
        </is>
      </c>
      <c r="H8" s="25" t="inlineStr">
        <is>
          <t>Qué hay que pagar al SII este mes (F29)</t>
        </is>
      </c>
    </row>
    <row r="9">
      <c r="A9" s="26" t="inlineStr">
        <is>
          <t>Línea</t>
        </is>
      </c>
      <c r="B9" s="26" t="inlineStr">
        <is>
          <t>Monto neto</t>
        </is>
      </c>
      <c r="C9" s="26" t="inlineStr">
        <is>
          <t>% de ingresos</t>
        </is>
      </c>
      <c r="H9" s="27" t="inlineStr">
        <is>
          <t>Concepto</t>
        </is>
      </c>
      <c r="I9" s="27" t="inlineStr">
        <is>
          <t>Monto</t>
        </is>
      </c>
      <c r="J9" s="97" t="n"/>
      <c r="K9" s="97" t="n"/>
      <c r="L9" s="98" t="n"/>
    </row>
    <row r="10">
      <c r="A10" s="29" t="inlineStr">
        <is>
          <t>Autos nuevos</t>
        </is>
      </c>
      <c r="B10" s="30">
        <f>INDEX(Estado_Resultados!$B$7:$M$7,1,Configuracion!$B$8)</f>
        <v/>
      </c>
      <c r="C10" s="31">
        <f>IF(INDEX(Estado_Resultados!$B$13:$M$13,1,Configuracion!$B$8)=0,"",B10/INDEX(Estado_Resultados!$B$13:$M$13,1,Configuracion!$B$8))</f>
        <v/>
      </c>
      <c r="H10" s="29" t="inlineStr">
        <is>
          <t>IVA débito</t>
        </is>
      </c>
      <c r="I10" s="30">
        <f>INDEX(IVA!$B$10:$M$10,1,Configuracion!$B$8)</f>
        <v/>
      </c>
      <c r="J10" s="97" t="n"/>
      <c r="K10" s="97" t="n"/>
      <c r="L10" s="98" t="n"/>
    </row>
    <row r="11">
      <c r="A11" s="29" t="inlineStr">
        <is>
          <t>Autos usados</t>
        </is>
      </c>
      <c r="B11" s="30">
        <f>INDEX(Estado_Resultados!$B$8:$M$8,1,Configuracion!$B$8)</f>
        <v/>
      </c>
      <c r="C11" s="31">
        <f>IF(INDEX(Estado_Resultados!$B$13:$M$13,1,Configuracion!$B$8)=0,"",B11/INDEX(Estado_Resultados!$B$13:$M$13,1,Configuracion!$B$8))</f>
        <v/>
      </c>
      <c r="H11" s="29" t="inlineStr">
        <is>
          <t>IVA crédito</t>
        </is>
      </c>
      <c r="I11" s="30">
        <f>INDEX(IVA!$B$17:$M$17,1,Configuracion!$B$8)</f>
        <v/>
      </c>
      <c r="J11" s="97" t="n"/>
      <c r="K11" s="97" t="n"/>
      <c r="L11" s="98" t="n"/>
    </row>
    <row r="12">
      <c r="A12" s="29" t="inlineStr">
        <is>
          <t>Consignación (comisiones)</t>
        </is>
      </c>
      <c r="B12" s="30">
        <f>INDEX(Estado_Resultados!$B$9:$M$9,1,Configuracion!$B$8)</f>
        <v/>
      </c>
      <c r="C12" s="31">
        <f>IF(INDEX(Estado_Resultados!$B$13:$M$13,1,Configuracion!$B$8)=0,"",B12/INDEX(Estado_Resultados!$B$13:$M$13,1,Configuracion!$B$8))</f>
        <v/>
      </c>
      <c r="H12" s="29" t="inlineStr">
        <is>
          <t>IVA determinado</t>
        </is>
      </c>
      <c r="I12" s="30">
        <f>INDEX(IVA!$B$19:$M$19,1,Configuracion!$B$8)</f>
        <v/>
      </c>
      <c r="J12" s="97" t="n"/>
      <c r="K12" s="97" t="n"/>
      <c r="L12" s="98" t="n"/>
    </row>
    <row r="13">
      <c r="A13" s="29" t="inlineStr">
        <is>
          <t>Taller</t>
        </is>
      </c>
      <c r="B13" s="30">
        <f>INDEX(Estado_Resultados!$B$10:$M$10,1,Configuracion!$B$8)</f>
        <v/>
      </c>
      <c r="C13" s="31">
        <f>IF(INDEX(Estado_Resultados!$B$13:$M$13,1,Configuracion!$B$8)=0,"",B13/INDEX(Estado_Resultados!$B$13:$M$13,1,Configuracion!$B$8))</f>
        <v/>
      </c>
      <c r="H13" s="29" t="inlineStr">
        <is>
          <t>Remanente anterior</t>
        </is>
      </c>
      <c r="I13" s="30">
        <f>INDEX(IVA!$B$20:$M$20,1,Configuracion!$B$8)</f>
        <v/>
      </c>
      <c r="J13" s="97" t="n"/>
      <c r="K13" s="97" t="n"/>
      <c r="L13" s="98" t="n"/>
    </row>
    <row r="14">
      <c r="A14" s="29" t="inlineStr">
        <is>
          <t>Repuestos</t>
        </is>
      </c>
      <c r="B14" s="30">
        <f>INDEX(Estado_Resultados!$B$11:$M$11,1,Configuracion!$B$8)</f>
        <v/>
      </c>
      <c r="C14" s="31">
        <f>IF(INDEX(Estado_Resultados!$B$13:$M$13,1,Configuracion!$B$8)=0,"",B14/INDEX(Estado_Resultados!$B$13:$M$13,1,Configuracion!$B$8))</f>
        <v/>
      </c>
      <c r="H14" s="33" t="inlineStr">
        <is>
          <t>IVA A PAGAR</t>
        </is>
      </c>
      <c r="I14" s="34">
        <f>INDEX(IVA!$B$21:$M$21,1,Configuracion!$B$8)</f>
        <v/>
      </c>
      <c r="J14" s="97" t="n"/>
      <c r="K14" s="97" t="n"/>
      <c r="L14" s="98" t="n"/>
    </row>
    <row r="15">
      <c r="A15" s="29" t="inlineStr">
        <is>
          <t>Otros ingresos</t>
        </is>
      </c>
      <c r="B15" s="30">
        <f>INDEX(Estado_Resultados!$B$12:$M$12,1,Configuracion!$B$8)</f>
        <v/>
      </c>
      <c r="C15" s="31">
        <f>IF(INDEX(Estado_Resultados!$B$13:$M$13,1,Configuracion!$B$8)=0,"",B15/INDEX(Estado_Resultados!$B$13:$M$13,1,Configuracion!$B$8))</f>
        <v/>
      </c>
      <c r="H15" s="33" t="inlineStr">
        <is>
          <t>PPM A PAGAR</t>
        </is>
      </c>
      <c r="I15" s="34">
        <f>INDEX(PPM!$B$8:$M$8,1,Configuracion!$B$8)</f>
        <v/>
      </c>
      <c r="J15" s="97" t="n"/>
      <c r="K15" s="97" t="n"/>
      <c r="L15" s="98" t="n"/>
    </row>
    <row r="16">
      <c r="A16" s="33" t="inlineStr">
        <is>
          <t>TOTAL INGRESOS</t>
        </is>
      </c>
      <c r="B16" s="34">
        <f>INDEX(Estado_Resultados!$B$13:$M$13,1,Configuracion!$B$8)</f>
        <v/>
      </c>
      <c r="C16" s="35">
        <f>IF(INDEX(Estado_Resultados!$B$13:$M$13,1,Configuracion!$B$8)=0,"",B16/INDEX(Estado_Resultados!$B$13:$M$13,1,Configuracion!$B$8))</f>
        <v/>
      </c>
      <c r="H16" s="33" t="inlineStr">
        <is>
          <t>TOTAL F29 (IVA + PPM)</t>
        </is>
      </c>
      <c r="I16" s="34">
        <f>I14+I15</f>
        <v/>
      </c>
      <c r="J16" s="97" t="n"/>
      <c r="K16" s="97" t="n"/>
      <c r="L16" s="98" t="n"/>
    </row>
    <row r="18" ht="18" customHeight="1">
      <c r="A18" s="29" t="inlineStr">
        <is>
          <t>Costo de autos vendidos</t>
        </is>
      </c>
      <c r="B18" s="30">
        <f>INDEX(Estado_Resultados!$B$16:$M$16,1,Configuracion!$B$8)</f>
        <v/>
      </c>
      <c r="C18" s="31">
        <f>IF(INDEX(Estado_Resultados!$B$13:$M$13,1,Configuracion!$B$8)=0,"",B18/INDEX(Estado_Resultados!$B$13:$M$13,1,Configuracion!$B$8))</f>
        <v/>
      </c>
      <c r="H18" s="17">
        <f>"Declarar en el F29 de "&amp;TEXT(DATE(Configuracion!$B$7,Configuracion!$B$8,1)+32-DAY(DATE(Configuracion!$B$7,Configuracion!$B$8,1)+32),"MMMM YYYY")&amp;". Fecha habitual: día 12 del mes siguiente (o hábil siguiente)."</f>
        <v/>
      </c>
    </row>
    <row r="19" ht="18" customHeight="1">
      <c r="A19" s="29" t="inlineStr">
        <is>
          <t>Costo taller y repuestos</t>
        </is>
      </c>
      <c r="B19" s="30">
        <f>INDEX(Estado_Resultados!$B$17:$M$17,1,Configuracion!$B$8)</f>
        <v/>
      </c>
      <c r="C19" s="31">
        <f>IF(INDEX(Estado_Resultados!$B$13:$M$13,1,Configuracion!$B$8)=0,"",B19/INDEX(Estado_Resultados!$B$13:$M$13,1,Configuracion!$B$8))</f>
        <v/>
      </c>
    </row>
    <row r="20">
      <c r="A20" s="36" t="inlineStr">
        <is>
          <t>MARGEN BRUTO</t>
        </is>
      </c>
      <c r="B20" s="37">
        <f>INDEX(Estado_Resultados!$B$19:$M$19,1,Configuracion!$B$8)</f>
        <v/>
      </c>
      <c r="C20" s="38">
        <f>IF(INDEX(Estado_Resultados!$B$13:$M$13,1,Configuracion!$B$8)=0,"",B20/INDEX(Estado_Resultados!$B$13:$M$13,1,Configuracion!$B$8))</f>
        <v/>
      </c>
    </row>
    <row r="22">
      <c r="A22" s="29" t="inlineStr">
        <is>
          <t>Gastos fijos</t>
        </is>
      </c>
      <c r="B22" s="30">
        <f>INDEX(Estado_Resultados!$B$23:$M$23,1,Configuracion!$B$8)</f>
        <v/>
      </c>
      <c r="C22" s="31">
        <f>IF(INDEX(Estado_Resultados!$B$13:$M$13,1,Configuracion!$B$8)=0,"",B22/INDEX(Estado_Resultados!$B$13:$M$13,1,Configuracion!$B$8))</f>
        <v/>
      </c>
    </row>
    <row r="23">
      <c r="A23" s="29" t="inlineStr">
        <is>
          <t>Comisiones de vendedores</t>
        </is>
      </c>
      <c r="B23" s="30">
        <f>INDEX(Estado_Resultados!$B$24:$M$24,1,Configuracion!$B$8)</f>
        <v/>
      </c>
      <c r="C23" s="31">
        <f>IF(INDEX(Estado_Resultados!$B$13:$M$13,1,Configuracion!$B$8)=0,"",B23/INDEX(Estado_Resultados!$B$13:$M$13,1,Configuracion!$B$8))</f>
        <v/>
      </c>
    </row>
    <row r="24">
      <c r="A24" s="29" t="inlineStr">
        <is>
          <t>Gastos variables</t>
        </is>
      </c>
      <c r="B24" s="30">
        <f>INDEX(Estado_Resultados!$B$25:$M$25,1,Configuracion!$B$8)</f>
        <v/>
      </c>
      <c r="C24" s="31">
        <f>IF(INDEX(Estado_Resultados!$B$13:$M$13,1,Configuracion!$B$8)=0,"",B24/INDEX(Estado_Resultados!$B$13:$M$13,1,Configuracion!$B$8))</f>
        <v/>
      </c>
    </row>
    <row r="25">
      <c r="A25" s="33" t="inlineStr">
        <is>
          <t>TOTAL GASTOS</t>
        </is>
      </c>
      <c r="B25" s="34">
        <f>INDEX(Estado_Resultados!$B$26:$M$26,1,Configuracion!$B$8)</f>
        <v/>
      </c>
      <c r="C25" s="35">
        <f>IF(INDEX(Estado_Resultados!$B$13:$M$13,1,Configuracion!$B$8)=0,"",B25/INDEX(Estado_Resultados!$B$13:$M$13,1,Configuracion!$B$8))</f>
        <v/>
      </c>
    </row>
    <row r="27">
      <c r="A27" s="39" t="inlineStr">
        <is>
          <t>UTILIDAD OPERACIONAL</t>
        </is>
      </c>
      <c r="B27" s="40">
        <f>INDEX(Estado_Resultados!$B$27:$M$27,1,Configuracion!$B$8)</f>
        <v/>
      </c>
      <c r="C27" s="41">
        <f>IF(INDEX(Estado_Resultados!$B$13:$M$13,1,Configuracion!$B$8)=0,"",B27/INDEX(Estado_Resultados!$B$13:$M$13,1,Configuracion!$B$8))</f>
        <v/>
      </c>
    </row>
    <row r="28">
      <c r="A28" s="29" t="inlineStr">
        <is>
          <t>Provisión impuesto renta</t>
        </is>
      </c>
      <c r="B28" s="30">
        <f>INDEX(Estado_Resultados!$B$31:$M$31,1,Configuracion!$B$8)</f>
        <v/>
      </c>
      <c r="C28" s="31">
        <f>IF(INDEX(Estado_Resultados!$B$13:$M$13,1,Configuracion!$B$8)=0,"",B28/INDEX(Estado_Resultados!$B$13:$M$13,1,Configuracion!$B$8))</f>
        <v/>
      </c>
    </row>
    <row r="29">
      <c r="A29" s="42" t="inlineStr">
        <is>
          <t>UTILIDAD NETA ESTIMADA</t>
        </is>
      </c>
      <c r="B29" s="43">
        <f>INDEX(Estado_Resultados!$B$32:$M$32,1,Configuracion!$B$8)</f>
        <v/>
      </c>
      <c r="C29" s="44">
        <f>IF(INDEX(Estado_Resultados!$B$13:$M$13,1,Configuracion!$B$8)=0,"",B29/INDEX(Estado_Resultados!$B$13:$M$13,1,Configuracion!$B$8))</f>
        <v/>
      </c>
    </row>
    <row r="31">
      <c r="A31" s="24" t="inlineStr">
        <is>
          <t>Acumulado del año</t>
        </is>
      </c>
      <c r="H31" s="24" t="inlineStr">
        <is>
          <t>Lectura rápida</t>
        </is>
      </c>
    </row>
    <row r="32">
      <c r="A32" s="26" t="inlineStr">
        <is>
          <t>Indicador</t>
        </is>
      </c>
      <c r="B32" s="26" t="inlineStr">
        <is>
          <t>Acumulado hasta el mes en curso</t>
        </is>
      </c>
      <c r="C32" s="26" t="inlineStr">
        <is>
          <t>Proyección año (suma 12 meses)</t>
        </is>
      </c>
      <c r="H32" s="46">
        <f>IF(INDEX(Estado_Resultados!$B$13:$M$13,1,Configuracion!$B$8)=0,"Carga ventas o elige un mes con movimiento.",IF(INDEX(Estado_Resultados!$B$27:$M$27,1,Configuracion!$B$8)&gt;=0,"Este mes la automotora gana "&amp;TEXT(INDEX(Estado_Resultados!$B$27:$M$27,1,Configuracion!$B$8),"$#,##0")&amp;" a nivel operacional. "&amp;"El F29 estimado (IVA + PPM) es "&amp;TEXT(I16,"$#,##0")&amp;".","Este mes la operación pierde "&amp;TEXT(-(INDEX(Estado_Resultados!$B$27:$M$27,1,Configuracion!$B$8)),"$#,##0")&amp;". "&amp;"Revisa gastos fijos y el margen por auto. El F29 igual puede corresponder: "&amp;TEXT(I16,"$#,##0")&amp;"."))</f>
        <v/>
      </c>
    </row>
    <row r="33">
      <c r="A33" s="29" t="inlineStr">
        <is>
          <t>Ingresos</t>
        </is>
      </c>
      <c r="B33" s="30">
        <f>SUM(OFFSET(Estado_Resultados!$B$13,0,0,1,Configuracion!$B$8))</f>
        <v/>
      </c>
      <c r="C33" s="30">
        <f>Estado_Resultados!N13</f>
        <v/>
      </c>
    </row>
    <row r="34">
      <c r="A34" s="29" t="inlineStr">
        <is>
          <t>Margen bruto</t>
        </is>
      </c>
      <c r="B34" s="30">
        <f>SUM(OFFSET(Estado_Resultados!$B$19,0,0,1,Configuracion!$B$8))</f>
        <v/>
      </c>
      <c r="C34" s="30">
        <f>Estado_Resultados!N19</f>
        <v/>
      </c>
    </row>
    <row r="35">
      <c r="A35" s="29" t="inlineStr">
        <is>
          <t>Utilidad operacional</t>
        </is>
      </c>
      <c r="B35" s="30">
        <f>SUM(OFFSET(Estado_Resultados!$B$27,0,0,1,Configuracion!$B$8))</f>
        <v/>
      </c>
      <c r="C35" s="30">
        <f>Estado_Resultados!N27</f>
        <v/>
      </c>
    </row>
    <row r="36">
      <c r="A36" s="29" t="inlineStr">
        <is>
          <t>Utilidad neta estimada</t>
        </is>
      </c>
      <c r="B36" s="30">
        <f>SUM(OFFSET(Estado_Resultados!$B$32,0,0,1,Configuracion!$B$8))</f>
        <v/>
      </c>
      <c r="C36" s="30">
        <f>Estado_Resultados!N32</f>
        <v/>
      </c>
    </row>
    <row r="37">
      <c r="A37" s="29" t="inlineStr">
        <is>
          <t>IVA pagado / a pagar</t>
        </is>
      </c>
      <c r="B37" s="30">
        <f>SUM(OFFSET(IVA!$B$21,0,0,1,Configuracion!$B$8))</f>
        <v/>
      </c>
      <c r="C37" s="30">
        <f>IVA!N21</f>
        <v/>
      </c>
    </row>
    <row r="38">
      <c r="A38" s="29" t="inlineStr">
        <is>
          <t>PPM pagado / a pagar</t>
        </is>
      </c>
      <c r="B38" s="30">
        <f>SUM(OFFSET(PPM!$B$8,0,0,1,Configuracion!$B$8))</f>
        <v/>
      </c>
      <c r="C38" s="30">
        <f>PPM!N8</f>
        <v/>
      </c>
    </row>
  </sheetData>
  <mergeCells count="28">
    <mergeCell ref="J6:L6"/>
    <mergeCell ref="I14:L14"/>
    <mergeCell ref="G6:I6"/>
    <mergeCell ref="J4:L4"/>
    <mergeCell ref="I10:L10"/>
    <mergeCell ref="H31:L31"/>
    <mergeCell ref="I13:L13"/>
    <mergeCell ref="A2:L2"/>
    <mergeCell ref="I9:L9"/>
    <mergeCell ref="A5:C5"/>
    <mergeCell ref="G5:I5"/>
    <mergeCell ref="D4:F4"/>
    <mergeCell ref="A8:F8"/>
    <mergeCell ref="G4:I4"/>
    <mergeCell ref="H18:L19"/>
    <mergeCell ref="I15:L15"/>
    <mergeCell ref="A4:C4"/>
    <mergeCell ref="I11:L11"/>
    <mergeCell ref="D5:F5"/>
    <mergeCell ref="A31:C31"/>
    <mergeCell ref="I16:L16"/>
    <mergeCell ref="J5:L5"/>
    <mergeCell ref="A1:L1"/>
    <mergeCell ref="A6:C6"/>
    <mergeCell ref="I12:L12"/>
    <mergeCell ref="H32:L38"/>
    <mergeCell ref="D6:F6"/>
    <mergeCell ref="H8:L8"/>
  </mergeCells>
  <conditionalFormatting sqref="B27">
    <cfRule type="cellIs" priority="1" operator="lessThan" dxfId="0">
      <formula>0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>&amp;LControl financiero automotora</oddHeader>
    <oddFooter>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B6CB0"/>
    <outlinePr summaryBelow="1" summaryRight="1"/>
    <pageSetUpPr fitToPage="1"/>
  </sheetPr>
  <dimension ref="A1:N32"/>
  <sheetViews>
    <sheetView showGridLines="0" zoomScale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1" t="inlineStr">
        <is>
          <t xml:space="preserve">  Estado de resultados — 12 meses</t>
        </is>
      </c>
    </row>
    <row r="2" ht="20" customHeight="1">
      <c r="A2" s="3" t="inlineStr">
        <is>
          <t xml:space="preserve">  Motor de cálculo. No edites esta hoja: se alimenta de las cargas. Cifras NETAS, sin IVA.</t>
        </is>
      </c>
    </row>
    <row r="3">
      <c r="A3" s="6" t="inlineStr">
        <is>
          <t>Año de las cifras</t>
        </is>
      </c>
      <c r="B3" s="47">
        <f>Configuracion!$B$7</f>
        <v/>
      </c>
      <c r="C3" s="6" t="inlineStr">
        <is>
          <t>Todas las columnas de esta hoja son fórmulas. Los datos se cargan en las otras pestañas.</t>
        </is>
      </c>
    </row>
    <row r="4" ht="22" customHeight="1">
      <c r="A4" s="26" t="inlineStr">
        <is>
          <t>Concepto</t>
        </is>
      </c>
      <c r="B4" s="26" t="inlineStr">
        <is>
          <t>Enero</t>
        </is>
      </c>
      <c r="C4" s="26" t="inlineStr">
        <is>
          <t>Febrero</t>
        </is>
      </c>
      <c r="D4" s="26" t="inlineStr">
        <is>
          <t>Marzo</t>
        </is>
      </c>
      <c r="E4" s="26" t="inlineStr">
        <is>
          <t>Abril</t>
        </is>
      </c>
      <c r="F4" s="26" t="inlineStr">
        <is>
          <t>Mayo</t>
        </is>
      </c>
      <c r="G4" s="26" t="inlineStr">
        <is>
          <t>Junio</t>
        </is>
      </c>
      <c r="H4" s="26" t="inlineStr">
        <is>
          <t>Julio</t>
        </is>
      </c>
      <c r="I4" s="26" t="inlineStr">
        <is>
          <t>Agosto</t>
        </is>
      </c>
      <c r="J4" s="26" t="inlineStr">
        <is>
          <t>Septiembre</t>
        </is>
      </c>
      <c r="K4" s="26" t="inlineStr">
        <is>
          <t>Octubre</t>
        </is>
      </c>
      <c r="L4" s="26" t="inlineStr">
        <is>
          <t>Noviembre</t>
        </is>
      </c>
      <c r="M4" s="26" t="inlineStr">
        <is>
          <t>Diciembre</t>
        </is>
      </c>
      <c r="N4" s="48" t="inlineStr">
        <is>
          <t>Total año</t>
        </is>
      </c>
    </row>
    <row r="6" ht="20" customHeight="1">
      <c r="A6" s="49" t="inlineStr">
        <is>
          <t>INGRESOS</t>
        </is>
      </c>
    </row>
    <row r="7">
      <c r="A7" s="50" t="inlineStr">
        <is>
          <t>Autos nuevos</t>
        </is>
      </c>
      <c r="B7" s="51">
        <f>SUMIFS(Ventas_Autos!$W$6:$W$205,Ventas_Autos!$D$6:$D$205,"Nuevo",Ventas_Autos!$U$6:$U$205,Configuracion!$B$7,Ventas_Autos!$V$6:$V$205,1,Ventas_Autos!$Q$6:$Q$205,"Vendido")</f>
        <v/>
      </c>
      <c r="C7" s="51">
        <f>SUMIFS(Ventas_Autos!$W$6:$W$205,Ventas_Autos!$D$6:$D$205,"Nuevo",Ventas_Autos!$U$6:$U$205,Configuracion!$B$7,Ventas_Autos!$V$6:$V$205,2,Ventas_Autos!$Q$6:$Q$205,"Vendido")</f>
        <v/>
      </c>
      <c r="D7" s="51">
        <f>SUMIFS(Ventas_Autos!$W$6:$W$205,Ventas_Autos!$D$6:$D$205,"Nuevo",Ventas_Autos!$U$6:$U$205,Configuracion!$B$7,Ventas_Autos!$V$6:$V$205,3,Ventas_Autos!$Q$6:$Q$205,"Vendido")</f>
        <v/>
      </c>
      <c r="E7" s="51">
        <f>SUMIFS(Ventas_Autos!$W$6:$W$205,Ventas_Autos!$D$6:$D$205,"Nuevo",Ventas_Autos!$U$6:$U$205,Configuracion!$B$7,Ventas_Autos!$V$6:$V$205,4,Ventas_Autos!$Q$6:$Q$205,"Vendido")</f>
        <v/>
      </c>
      <c r="F7" s="51">
        <f>SUMIFS(Ventas_Autos!$W$6:$W$205,Ventas_Autos!$D$6:$D$205,"Nuevo",Ventas_Autos!$U$6:$U$205,Configuracion!$B$7,Ventas_Autos!$V$6:$V$205,5,Ventas_Autos!$Q$6:$Q$205,"Vendido")</f>
        <v/>
      </c>
      <c r="G7" s="51">
        <f>SUMIFS(Ventas_Autos!$W$6:$W$205,Ventas_Autos!$D$6:$D$205,"Nuevo",Ventas_Autos!$U$6:$U$205,Configuracion!$B$7,Ventas_Autos!$V$6:$V$205,6,Ventas_Autos!$Q$6:$Q$205,"Vendido")</f>
        <v/>
      </c>
      <c r="H7" s="51">
        <f>SUMIFS(Ventas_Autos!$W$6:$W$205,Ventas_Autos!$D$6:$D$205,"Nuevo",Ventas_Autos!$U$6:$U$205,Configuracion!$B$7,Ventas_Autos!$V$6:$V$205,7,Ventas_Autos!$Q$6:$Q$205,"Vendido")</f>
        <v/>
      </c>
      <c r="I7" s="51">
        <f>SUMIFS(Ventas_Autos!$W$6:$W$205,Ventas_Autos!$D$6:$D$205,"Nuevo",Ventas_Autos!$U$6:$U$205,Configuracion!$B$7,Ventas_Autos!$V$6:$V$205,8,Ventas_Autos!$Q$6:$Q$205,"Vendido")</f>
        <v/>
      </c>
      <c r="J7" s="51">
        <f>SUMIFS(Ventas_Autos!$W$6:$W$205,Ventas_Autos!$D$6:$D$205,"Nuevo",Ventas_Autos!$U$6:$U$205,Configuracion!$B$7,Ventas_Autos!$V$6:$V$205,9,Ventas_Autos!$Q$6:$Q$205,"Vendido")</f>
        <v/>
      </c>
      <c r="K7" s="51">
        <f>SUMIFS(Ventas_Autos!$W$6:$W$205,Ventas_Autos!$D$6:$D$205,"Nuevo",Ventas_Autos!$U$6:$U$205,Configuracion!$B$7,Ventas_Autos!$V$6:$V$205,10,Ventas_Autos!$Q$6:$Q$205,"Vendido")</f>
        <v/>
      </c>
      <c r="L7" s="51">
        <f>SUMIFS(Ventas_Autos!$W$6:$W$205,Ventas_Autos!$D$6:$D$205,"Nuevo",Ventas_Autos!$U$6:$U$205,Configuracion!$B$7,Ventas_Autos!$V$6:$V$205,11,Ventas_Autos!$Q$6:$Q$205,"Vendido")</f>
        <v/>
      </c>
      <c r="M7" s="51">
        <f>SUMIFS(Ventas_Autos!$W$6:$W$205,Ventas_Autos!$D$6:$D$205,"Nuevo",Ventas_Autos!$U$6:$U$205,Configuracion!$B$7,Ventas_Autos!$V$6:$V$205,12,Ventas_Autos!$Q$6:$Q$205,"Vendido")</f>
        <v/>
      </c>
      <c r="N7" s="52">
        <f>SUM(B7:M7)</f>
        <v/>
      </c>
    </row>
    <row r="8">
      <c r="A8" s="50" t="inlineStr">
        <is>
          <t>Autos usados</t>
        </is>
      </c>
      <c r="B8" s="51">
        <f>SUMIFS(Ventas_Autos!$W$6:$W$205,Ventas_Autos!$D$6:$D$205,"Usado",Ventas_Autos!$U$6:$U$205,Configuracion!$B$7,Ventas_Autos!$V$6:$V$205,1,Ventas_Autos!$Q$6:$Q$205,"Vendido")</f>
        <v/>
      </c>
      <c r="C8" s="51">
        <f>SUMIFS(Ventas_Autos!$W$6:$W$205,Ventas_Autos!$D$6:$D$205,"Usado",Ventas_Autos!$U$6:$U$205,Configuracion!$B$7,Ventas_Autos!$V$6:$V$205,2,Ventas_Autos!$Q$6:$Q$205,"Vendido")</f>
        <v/>
      </c>
      <c r="D8" s="51">
        <f>SUMIFS(Ventas_Autos!$W$6:$W$205,Ventas_Autos!$D$6:$D$205,"Usado",Ventas_Autos!$U$6:$U$205,Configuracion!$B$7,Ventas_Autos!$V$6:$V$205,3,Ventas_Autos!$Q$6:$Q$205,"Vendido")</f>
        <v/>
      </c>
      <c r="E8" s="51">
        <f>SUMIFS(Ventas_Autos!$W$6:$W$205,Ventas_Autos!$D$6:$D$205,"Usado",Ventas_Autos!$U$6:$U$205,Configuracion!$B$7,Ventas_Autos!$V$6:$V$205,4,Ventas_Autos!$Q$6:$Q$205,"Vendido")</f>
        <v/>
      </c>
      <c r="F8" s="51">
        <f>SUMIFS(Ventas_Autos!$W$6:$W$205,Ventas_Autos!$D$6:$D$205,"Usado",Ventas_Autos!$U$6:$U$205,Configuracion!$B$7,Ventas_Autos!$V$6:$V$205,5,Ventas_Autos!$Q$6:$Q$205,"Vendido")</f>
        <v/>
      </c>
      <c r="G8" s="51">
        <f>SUMIFS(Ventas_Autos!$W$6:$W$205,Ventas_Autos!$D$6:$D$205,"Usado",Ventas_Autos!$U$6:$U$205,Configuracion!$B$7,Ventas_Autos!$V$6:$V$205,6,Ventas_Autos!$Q$6:$Q$205,"Vendido")</f>
        <v/>
      </c>
      <c r="H8" s="51">
        <f>SUMIFS(Ventas_Autos!$W$6:$W$205,Ventas_Autos!$D$6:$D$205,"Usado",Ventas_Autos!$U$6:$U$205,Configuracion!$B$7,Ventas_Autos!$V$6:$V$205,7,Ventas_Autos!$Q$6:$Q$205,"Vendido")</f>
        <v/>
      </c>
      <c r="I8" s="51">
        <f>SUMIFS(Ventas_Autos!$W$6:$W$205,Ventas_Autos!$D$6:$D$205,"Usado",Ventas_Autos!$U$6:$U$205,Configuracion!$B$7,Ventas_Autos!$V$6:$V$205,8,Ventas_Autos!$Q$6:$Q$205,"Vendido")</f>
        <v/>
      </c>
      <c r="J8" s="51">
        <f>SUMIFS(Ventas_Autos!$W$6:$W$205,Ventas_Autos!$D$6:$D$205,"Usado",Ventas_Autos!$U$6:$U$205,Configuracion!$B$7,Ventas_Autos!$V$6:$V$205,9,Ventas_Autos!$Q$6:$Q$205,"Vendido")</f>
        <v/>
      </c>
      <c r="K8" s="51">
        <f>SUMIFS(Ventas_Autos!$W$6:$W$205,Ventas_Autos!$D$6:$D$205,"Usado",Ventas_Autos!$U$6:$U$205,Configuracion!$B$7,Ventas_Autos!$V$6:$V$205,10,Ventas_Autos!$Q$6:$Q$205,"Vendido")</f>
        <v/>
      </c>
      <c r="L8" s="51">
        <f>SUMIFS(Ventas_Autos!$W$6:$W$205,Ventas_Autos!$D$6:$D$205,"Usado",Ventas_Autos!$U$6:$U$205,Configuracion!$B$7,Ventas_Autos!$V$6:$V$205,11,Ventas_Autos!$Q$6:$Q$205,"Vendido")</f>
        <v/>
      </c>
      <c r="M8" s="51">
        <f>SUMIFS(Ventas_Autos!$W$6:$W$205,Ventas_Autos!$D$6:$D$205,"Usado",Ventas_Autos!$U$6:$U$205,Configuracion!$B$7,Ventas_Autos!$V$6:$V$205,12,Ventas_Autos!$Q$6:$Q$205,"Vendido")</f>
        <v/>
      </c>
      <c r="N8" s="52">
        <f>SUM(B8:M8)</f>
        <v/>
      </c>
    </row>
    <row r="9">
      <c r="A9" s="50" t="inlineStr">
        <is>
          <t>Comisiones por consignación</t>
        </is>
      </c>
      <c r="B9" s="51">
        <f>SUMIFS(Ventas_Autos!$W$6:$W$205,Ventas_Autos!$D$6:$D$205,"Consignación",Ventas_Autos!$U$6:$U$205,Configuracion!$B$7,Ventas_Autos!$V$6:$V$205,1,Ventas_Autos!$Q$6:$Q$205,"Vendido")</f>
        <v/>
      </c>
      <c r="C9" s="51">
        <f>SUMIFS(Ventas_Autos!$W$6:$W$205,Ventas_Autos!$D$6:$D$205,"Consignación",Ventas_Autos!$U$6:$U$205,Configuracion!$B$7,Ventas_Autos!$V$6:$V$205,2,Ventas_Autos!$Q$6:$Q$205,"Vendido")</f>
        <v/>
      </c>
      <c r="D9" s="51">
        <f>SUMIFS(Ventas_Autos!$W$6:$W$205,Ventas_Autos!$D$6:$D$205,"Consignación",Ventas_Autos!$U$6:$U$205,Configuracion!$B$7,Ventas_Autos!$V$6:$V$205,3,Ventas_Autos!$Q$6:$Q$205,"Vendido")</f>
        <v/>
      </c>
      <c r="E9" s="51">
        <f>SUMIFS(Ventas_Autos!$W$6:$W$205,Ventas_Autos!$D$6:$D$205,"Consignación",Ventas_Autos!$U$6:$U$205,Configuracion!$B$7,Ventas_Autos!$V$6:$V$205,4,Ventas_Autos!$Q$6:$Q$205,"Vendido")</f>
        <v/>
      </c>
      <c r="F9" s="51">
        <f>SUMIFS(Ventas_Autos!$W$6:$W$205,Ventas_Autos!$D$6:$D$205,"Consignación",Ventas_Autos!$U$6:$U$205,Configuracion!$B$7,Ventas_Autos!$V$6:$V$205,5,Ventas_Autos!$Q$6:$Q$205,"Vendido")</f>
        <v/>
      </c>
      <c r="G9" s="51">
        <f>SUMIFS(Ventas_Autos!$W$6:$W$205,Ventas_Autos!$D$6:$D$205,"Consignación",Ventas_Autos!$U$6:$U$205,Configuracion!$B$7,Ventas_Autos!$V$6:$V$205,6,Ventas_Autos!$Q$6:$Q$205,"Vendido")</f>
        <v/>
      </c>
      <c r="H9" s="51">
        <f>SUMIFS(Ventas_Autos!$W$6:$W$205,Ventas_Autos!$D$6:$D$205,"Consignación",Ventas_Autos!$U$6:$U$205,Configuracion!$B$7,Ventas_Autos!$V$6:$V$205,7,Ventas_Autos!$Q$6:$Q$205,"Vendido")</f>
        <v/>
      </c>
      <c r="I9" s="51">
        <f>SUMIFS(Ventas_Autos!$W$6:$W$205,Ventas_Autos!$D$6:$D$205,"Consignación",Ventas_Autos!$U$6:$U$205,Configuracion!$B$7,Ventas_Autos!$V$6:$V$205,8,Ventas_Autos!$Q$6:$Q$205,"Vendido")</f>
        <v/>
      </c>
      <c r="J9" s="51">
        <f>SUMIFS(Ventas_Autos!$W$6:$W$205,Ventas_Autos!$D$6:$D$205,"Consignación",Ventas_Autos!$U$6:$U$205,Configuracion!$B$7,Ventas_Autos!$V$6:$V$205,9,Ventas_Autos!$Q$6:$Q$205,"Vendido")</f>
        <v/>
      </c>
      <c r="K9" s="51">
        <f>SUMIFS(Ventas_Autos!$W$6:$W$205,Ventas_Autos!$D$6:$D$205,"Consignación",Ventas_Autos!$U$6:$U$205,Configuracion!$B$7,Ventas_Autos!$V$6:$V$205,10,Ventas_Autos!$Q$6:$Q$205,"Vendido")</f>
        <v/>
      </c>
      <c r="L9" s="51">
        <f>SUMIFS(Ventas_Autos!$W$6:$W$205,Ventas_Autos!$D$6:$D$205,"Consignación",Ventas_Autos!$U$6:$U$205,Configuracion!$B$7,Ventas_Autos!$V$6:$V$205,11,Ventas_Autos!$Q$6:$Q$205,"Vendido")</f>
        <v/>
      </c>
      <c r="M9" s="51">
        <f>SUMIFS(Ventas_Autos!$W$6:$W$205,Ventas_Autos!$D$6:$D$205,"Consignación",Ventas_Autos!$U$6:$U$205,Configuracion!$B$7,Ventas_Autos!$V$6:$V$205,12,Ventas_Autos!$Q$6:$Q$205,"Vendido")</f>
        <v/>
      </c>
      <c r="N9" s="52">
        <f>SUM(B9:M9)</f>
        <v/>
      </c>
    </row>
    <row r="10">
      <c r="A10" s="50" t="inlineStr">
        <is>
          <t>Taller (mano de obra)</t>
        </is>
      </c>
      <c r="B10" s="51">
        <f>SUMIFS(Taller_Repuestos!$F$6:$F$205,Taller_Repuestos!$B$6:$B$205,"Taller",Taller_Repuestos!$M$6:$M$205,Configuracion!$B$7,Taller_Repuestos!$N$6:$N$205,1)</f>
        <v/>
      </c>
      <c r="C10" s="51">
        <f>SUMIFS(Taller_Repuestos!$F$6:$F$205,Taller_Repuestos!$B$6:$B$205,"Taller",Taller_Repuestos!$M$6:$M$205,Configuracion!$B$7,Taller_Repuestos!$N$6:$N$205,2)</f>
        <v/>
      </c>
      <c r="D10" s="51">
        <f>SUMIFS(Taller_Repuestos!$F$6:$F$205,Taller_Repuestos!$B$6:$B$205,"Taller",Taller_Repuestos!$M$6:$M$205,Configuracion!$B$7,Taller_Repuestos!$N$6:$N$205,3)</f>
        <v/>
      </c>
      <c r="E10" s="51">
        <f>SUMIFS(Taller_Repuestos!$F$6:$F$205,Taller_Repuestos!$B$6:$B$205,"Taller",Taller_Repuestos!$M$6:$M$205,Configuracion!$B$7,Taller_Repuestos!$N$6:$N$205,4)</f>
        <v/>
      </c>
      <c r="F10" s="51">
        <f>SUMIFS(Taller_Repuestos!$F$6:$F$205,Taller_Repuestos!$B$6:$B$205,"Taller",Taller_Repuestos!$M$6:$M$205,Configuracion!$B$7,Taller_Repuestos!$N$6:$N$205,5)</f>
        <v/>
      </c>
      <c r="G10" s="51">
        <f>SUMIFS(Taller_Repuestos!$F$6:$F$205,Taller_Repuestos!$B$6:$B$205,"Taller",Taller_Repuestos!$M$6:$M$205,Configuracion!$B$7,Taller_Repuestos!$N$6:$N$205,6)</f>
        <v/>
      </c>
      <c r="H10" s="51">
        <f>SUMIFS(Taller_Repuestos!$F$6:$F$205,Taller_Repuestos!$B$6:$B$205,"Taller",Taller_Repuestos!$M$6:$M$205,Configuracion!$B$7,Taller_Repuestos!$N$6:$N$205,7)</f>
        <v/>
      </c>
      <c r="I10" s="51">
        <f>SUMIFS(Taller_Repuestos!$F$6:$F$205,Taller_Repuestos!$B$6:$B$205,"Taller",Taller_Repuestos!$M$6:$M$205,Configuracion!$B$7,Taller_Repuestos!$N$6:$N$205,8)</f>
        <v/>
      </c>
      <c r="J10" s="51">
        <f>SUMIFS(Taller_Repuestos!$F$6:$F$205,Taller_Repuestos!$B$6:$B$205,"Taller",Taller_Repuestos!$M$6:$M$205,Configuracion!$B$7,Taller_Repuestos!$N$6:$N$205,9)</f>
        <v/>
      </c>
      <c r="K10" s="51">
        <f>SUMIFS(Taller_Repuestos!$F$6:$F$205,Taller_Repuestos!$B$6:$B$205,"Taller",Taller_Repuestos!$M$6:$M$205,Configuracion!$B$7,Taller_Repuestos!$N$6:$N$205,10)</f>
        <v/>
      </c>
      <c r="L10" s="51">
        <f>SUMIFS(Taller_Repuestos!$F$6:$F$205,Taller_Repuestos!$B$6:$B$205,"Taller",Taller_Repuestos!$M$6:$M$205,Configuracion!$B$7,Taller_Repuestos!$N$6:$N$205,11)</f>
        <v/>
      </c>
      <c r="M10" s="51">
        <f>SUMIFS(Taller_Repuestos!$F$6:$F$205,Taller_Repuestos!$B$6:$B$205,"Taller",Taller_Repuestos!$M$6:$M$205,Configuracion!$B$7,Taller_Repuestos!$N$6:$N$205,12)</f>
        <v/>
      </c>
      <c r="N10" s="52">
        <f>SUM(B10:M10)</f>
        <v/>
      </c>
    </row>
    <row r="11">
      <c r="A11" s="50" t="inlineStr">
        <is>
          <t>Repuestos</t>
        </is>
      </c>
      <c r="B11" s="51">
        <f>SUMIFS(Taller_Repuestos!$F$6:$F$205,Taller_Repuestos!$B$6:$B$205,"Repuestos",Taller_Repuestos!$M$6:$M$205,Configuracion!$B$7,Taller_Repuestos!$N$6:$N$205,1)</f>
        <v/>
      </c>
      <c r="C11" s="51">
        <f>SUMIFS(Taller_Repuestos!$F$6:$F$205,Taller_Repuestos!$B$6:$B$205,"Repuestos",Taller_Repuestos!$M$6:$M$205,Configuracion!$B$7,Taller_Repuestos!$N$6:$N$205,2)</f>
        <v/>
      </c>
      <c r="D11" s="51">
        <f>SUMIFS(Taller_Repuestos!$F$6:$F$205,Taller_Repuestos!$B$6:$B$205,"Repuestos",Taller_Repuestos!$M$6:$M$205,Configuracion!$B$7,Taller_Repuestos!$N$6:$N$205,3)</f>
        <v/>
      </c>
      <c r="E11" s="51">
        <f>SUMIFS(Taller_Repuestos!$F$6:$F$205,Taller_Repuestos!$B$6:$B$205,"Repuestos",Taller_Repuestos!$M$6:$M$205,Configuracion!$B$7,Taller_Repuestos!$N$6:$N$205,4)</f>
        <v/>
      </c>
      <c r="F11" s="51">
        <f>SUMIFS(Taller_Repuestos!$F$6:$F$205,Taller_Repuestos!$B$6:$B$205,"Repuestos",Taller_Repuestos!$M$6:$M$205,Configuracion!$B$7,Taller_Repuestos!$N$6:$N$205,5)</f>
        <v/>
      </c>
      <c r="G11" s="51">
        <f>SUMIFS(Taller_Repuestos!$F$6:$F$205,Taller_Repuestos!$B$6:$B$205,"Repuestos",Taller_Repuestos!$M$6:$M$205,Configuracion!$B$7,Taller_Repuestos!$N$6:$N$205,6)</f>
        <v/>
      </c>
      <c r="H11" s="51">
        <f>SUMIFS(Taller_Repuestos!$F$6:$F$205,Taller_Repuestos!$B$6:$B$205,"Repuestos",Taller_Repuestos!$M$6:$M$205,Configuracion!$B$7,Taller_Repuestos!$N$6:$N$205,7)</f>
        <v/>
      </c>
      <c r="I11" s="51">
        <f>SUMIFS(Taller_Repuestos!$F$6:$F$205,Taller_Repuestos!$B$6:$B$205,"Repuestos",Taller_Repuestos!$M$6:$M$205,Configuracion!$B$7,Taller_Repuestos!$N$6:$N$205,8)</f>
        <v/>
      </c>
      <c r="J11" s="51">
        <f>SUMIFS(Taller_Repuestos!$F$6:$F$205,Taller_Repuestos!$B$6:$B$205,"Repuestos",Taller_Repuestos!$M$6:$M$205,Configuracion!$B$7,Taller_Repuestos!$N$6:$N$205,9)</f>
        <v/>
      </c>
      <c r="K11" s="51">
        <f>SUMIFS(Taller_Repuestos!$F$6:$F$205,Taller_Repuestos!$B$6:$B$205,"Repuestos",Taller_Repuestos!$M$6:$M$205,Configuracion!$B$7,Taller_Repuestos!$N$6:$N$205,10)</f>
        <v/>
      </c>
      <c r="L11" s="51">
        <f>SUMIFS(Taller_Repuestos!$F$6:$F$205,Taller_Repuestos!$B$6:$B$205,"Repuestos",Taller_Repuestos!$M$6:$M$205,Configuracion!$B$7,Taller_Repuestos!$N$6:$N$205,11)</f>
        <v/>
      </c>
      <c r="M11" s="51">
        <f>SUMIFS(Taller_Repuestos!$F$6:$F$205,Taller_Repuestos!$B$6:$B$205,"Repuestos",Taller_Repuestos!$M$6:$M$205,Configuracion!$B$7,Taller_Repuestos!$N$6:$N$205,12)</f>
        <v/>
      </c>
      <c r="N11" s="52">
        <f>SUM(B11:M11)</f>
        <v/>
      </c>
    </row>
    <row r="12">
      <c r="A12" s="50" t="inlineStr">
        <is>
          <t>Otros ingresos</t>
        </is>
      </c>
      <c r="B12" s="51">
        <f>SUMIFS(Otros_Ingresos!$D$6:$D$105,Otros_Ingresos!$H$6:$H$105,Configuracion!$B$7,Otros_Ingresos!$I$6:$I$105,1)</f>
        <v/>
      </c>
      <c r="C12" s="51">
        <f>SUMIFS(Otros_Ingresos!$D$6:$D$105,Otros_Ingresos!$H$6:$H$105,Configuracion!$B$7,Otros_Ingresos!$I$6:$I$105,2)</f>
        <v/>
      </c>
      <c r="D12" s="51">
        <f>SUMIFS(Otros_Ingresos!$D$6:$D$105,Otros_Ingresos!$H$6:$H$105,Configuracion!$B$7,Otros_Ingresos!$I$6:$I$105,3)</f>
        <v/>
      </c>
      <c r="E12" s="51">
        <f>SUMIFS(Otros_Ingresos!$D$6:$D$105,Otros_Ingresos!$H$6:$H$105,Configuracion!$B$7,Otros_Ingresos!$I$6:$I$105,4)</f>
        <v/>
      </c>
      <c r="F12" s="51">
        <f>SUMIFS(Otros_Ingresos!$D$6:$D$105,Otros_Ingresos!$H$6:$H$105,Configuracion!$B$7,Otros_Ingresos!$I$6:$I$105,5)</f>
        <v/>
      </c>
      <c r="G12" s="51">
        <f>SUMIFS(Otros_Ingresos!$D$6:$D$105,Otros_Ingresos!$H$6:$H$105,Configuracion!$B$7,Otros_Ingresos!$I$6:$I$105,6)</f>
        <v/>
      </c>
      <c r="H12" s="51">
        <f>SUMIFS(Otros_Ingresos!$D$6:$D$105,Otros_Ingresos!$H$6:$H$105,Configuracion!$B$7,Otros_Ingresos!$I$6:$I$105,7)</f>
        <v/>
      </c>
      <c r="I12" s="51">
        <f>SUMIFS(Otros_Ingresos!$D$6:$D$105,Otros_Ingresos!$H$6:$H$105,Configuracion!$B$7,Otros_Ingresos!$I$6:$I$105,8)</f>
        <v/>
      </c>
      <c r="J12" s="51">
        <f>SUMIFS(Otros_Ingresos!$D$6:$D$105,Otros_Ingresos!$H$6:$H$105,Configuracion!$B$7,Otros_Ingresos!$I$6:$I$105,9)</f>
        <v/>
      </c>
      <c r="K12" s="51">
        <f>SUMIFS(Otros_Ingresos!$D$6:$D$105,Otros_Ingresos!$H$6:$H$105,Configuracion!$B$7,Otros_Ingresos!$I$6:$I$105,10)</f>
        <v/>
      </c>
      <c r="L12" s="51">
        <f>SUMIFS(Otros_Ingresos!$D$6:$D$105,Otros_Ingresos!$H$6:$H$105,Configuracion!$B$7,Otros_Ingresos!$I$6:$I$105,11)</f>
        <v/>
      </c>
      <c r="M12" s="51">
        <f>SUMIFS(Otros_Ingresos!$D$6:$D$105,Otros_Ingresos!$H$6:$H$105,Configuracion!$B$7,Otros_Ingresos!$I$6:$I$105,12)</f>
        <v/>
      </c>
      <c r="N12" s="52">
        <f>SUM(B12:M12)</f>
        <v/>
      </c>
    </row>
    <row r="13">
      <c r="A13" s="53" t="inlineStr">
        <is>
          <t>TOTAL INGRESOS</t>
        </is>
      </c>
      <c r="B13" s="54">
        <f>B7+B8+B9+B10+B11+B12</f>
        <v/>
      </c>
      <c r="C13" s="54">
        <f>C7+C8+C9+C10+C11+C12</f>
        <v/>
      </c>
      <c r="D13" s="54">
        <f>D7+D8+D9+D10+D11+D12</f>
        <v/>
      </c>
      <c r="E13" s="54">
        <f>E7+E8+E9+E10+E11+E12</f>
        <v/>
      </c>
      <c r="F13" s="54">
        <f>F7+F8+F9+F10+F11+F12</f>
        <v/>
      </c>
      <c r="G13" s="54">
        <f>G7+G8+G9+G10+G11+G12</f>
        <v/>
      </c>
      <c r="H13" s="54">
        <f>H7+H8+H9+H10+H11+H12</f>
        <v/>
      </c>
      <c r="I13" s="54">
        <f>I7+I8+I9+I10+I11+I12</f>
        <v/>
      </c>
      <c r="J13" s="54">
        <f>J7+J8+J9+J10+J11+J12</f>
        <v/>
      </c>
      <c r="K13" s="54">
        <f>K7+K8+K9+K10+K11+K12</f>
        <v/>
      </c>
      <c r="L13" s="54">
        <f>L7+L8+L9+L10+L11+L12</f>
        <v/>
      </c>
      <c r="M13" s="54">
        <f>M7+M8+M9+M10+M11+M12</f>
        <v/>
      </c>
      <c r="N13" s="54">
        <f>SUM(B13:M13)</f>
        <v/>
      </c>
    </row>
    <row r="15" ht="20" customHeight="1">
      <c r="A15" s="49" t="inlineStr">
        <is>
          <t>COSTOS DIRECTOS</t>
        </is>
      </c>
    </row>
    <row r="16">
      <c r="A16" s="50" t="inlineStr">
        <is>
          <t>Costo de autos vendidos</t>
        </is>
      </c>
      <c r="B16" s="51">
        <f>SUMIFS(Ventas_Autos!$Y$6:$Y$205,Ventas_Autos!$U$6:$U$205,Configuracion!$B$7,Ventas_Autos!$V$6:$V$205,1,Ventas_Autos!$Q$6:$Q$205,"Vendido")</f>
        <v/>
      </c>
      <c r="C16" s="51">
        <f>SUMIFS(Ventas_Autos!$Y$6:$Y$205,Ventas_Autos!$U$6:$U$205,Configuracion!$B$7,Ventas_Autos!$V$6:$V$205,2,Ventas_Autos!$Q$6:$Q$205,"Vendido")</f>
        <v/>
      </c>
      <c r="D16" s="51">
        <f>SUMIFS(Ventas_Autos!$Y$6:$Y$205,Ventas_Autos!$U$6:$U$205,Configuracion!$B$7,Ventas_Autos!$V$6:$V$205,3,Ventas_Autos!$Q$6:$Q$205,"Vendido")</f>
        <v/>
      </c>
      <c r="E16" s="51">
        <f>SUMIFS(Ventas_Autos!$Y$6:$Y$205,Ventas_Autos!$U$6:$U$205,Configuracion!$B$7,Ventas_Autos!$V$6:$V$205,4,Ventas_Autos!$Q$6:$Q$205,"Vendido")</f>
        <v/>
      </c>
      <c r="F16" s="51">
        <f>SUMIFS(Ventas_Autos!$Y$6:$Y$205,Ventas_Autos!$U$6:$U$205,Configuracion!$B$7,Ventas_Autos!$V$6:$V$205,5,Ventas_Autos!$Q$6:$Q$205,"Vendido")</f>
        <v/>
      </c>
      <c r="G16" s="51">
        <f>SUMIFS(Ventas_Autos!$Y$6:$Y$205,Ventas_Autos!$U$6:$U$205,Configuracion!$B$7,Ventas_Autos!$V$6:$V$205,6,Ventas_Autos!$Q$6:$Q$205,"Vendido")</f>
        <v/>
      </c>
      <c r="H16" s="51">
        <f>SUMIFS(Ventas_Autos!$Y$6:$Y$205,Ventas_Autos!$U$6:$U$205,Configuracion!$B$7,Ventas_Autos!$V$6:$V$205,7,Ventas_Autos!$Q$6:$Q$205,"Vendido")</f>
        <v/>
      </c>
      <c r="I16" s="51">
        <f>SUMIFS(Ventas_Autos!$Y$6:$Y$205,Ventas_Autos!$U$6:$U$205,Configuracion!$B$7,Ventas_Autos!$V$6:$V$205,8,Ventas_Autos!$Q$6:$Q$205,"Vendido")</f>
        <v/>
      </c>
      <c r="J16" s="51">
        <f>SUMIFS(Ventas_Autos!$Y$6:$Y$205,Ventas_Autos!$U$6:$U$205,Configuracion!$B$7,Ventas_Autos!$V$6:$V$205,9,Ventas_Autos!$Q$6:$Q$205,"Vendido")</f>
        <v/>
      </c>
      <c r="K16" s="51">
        <f>SUMIFS(Ventas_Autos!$Y$6:$Y$205,Ventas_Autos!$U$6:$U$205,Configuracion!$B$7,Ventas_Autos!$V$6:$V$205,10,Ventas_Autos!$Q$6:$Q$205,"Vendido")</f>
        <v/>
      </c>
      <c r="L16" s="51">
        <f>SUMIFS(Ventas_Autos!$Y$6:$Y$205,Ventas_Autos!$U$6:$U$205,Configuracion!$B$7,Ventas_Autos!$V$6:$V$205,11,Ventas_Autos!$Q$6:$Q$205,"Vendido")</f>
        <v/>
      </c>
      <c r="M16" s="51">
        <f>SUMIFS(Ventas_Autos!$Y$6:$Y$205,Ventas_Autos!$U$6:$U$205,Configuracion!$B$7,Ventas_Autos!$V$6:$V$205,12,Ventas_Autos!$Q$6:$Q$205,"Vendido")</f>
        <v/>
      </c>
      <c r="N16" s="52">
        <f>SUM(B16:M16)</f>
        <v/>
      </c>
    </row>
    <row r="17">
      <c r="A17" s="50" t="inlineStr">
        <is>
          <t>Costo taller y repuestos</t>
        </is>
      </c>
      <c r="B17" s="51">
        <f>SUMIFS(Taller_Repuestos!$I$6:$I$205,Taller_Repuestos!$M$6:$M$205,Configuracion!$B$7,Taller_Repuestos!$N$6:$N$205,1)</f>
        <v/>
      </c>
      <c r="C17" s="51">
        <f>SUMIFS(Taller_Repuestos!$I$6:$I$205,Taller_Repuestos!$M$6:$M$205,Configuracion!$B$7,Taller_Repuestos!$N$6:$N$205,2)</f>
        <v/>
      </c>
      <c r="D17" s="51">
        <f>SUMIFS(Taller_Repuestos!$I$6:$I$205,Taller_Repuestos!$M$6:$M$205,Configuracion!$B$7,Taller_Repuestos!$N$6:$N$205,3)</f>
        <v/>
      </c>
      <c r="E17" s="51">
        <f>SUMIFS(Taller_Repuestos!$I$6:$I$205,Taller_Repuestos!$M$6:$M$205,Configuracion!$B$7,Taller_Repuestos!$N$6:$N$205,4)</f>
        <v/>
      </c>
      <c r="F17" s="51">
        <f>SUMIFS(Taller_Repuestos!$I$6:$I$205,Taller_Repuestos!$M$6:$M$205,Configuracion!$B$7,Taller_Repuestos!$N$6:$N$205,5)</f>
        <v/>
      </c>
      <c r="G17" s="51">
        <f>SUMIFS(Taller_Repuestos!$I$6:$I$205,Taller_Repuestos!$M$6:$M$205,Configuracion!$B$7,Taller_Repuestos!$N$6:$N$205,6)</f>
        <v/>
      </c>
      <c r="H17" s="51">
        <f>SUMIFS(Taller_Repuestos!$I$6:$I$205,Taller_Repuestos!$M$6:$M$205,Configuracion!$B$7,Taller_Repuestos!$N$6:$N$205,7)</f>
        <v/>
      </c>
      <c r="I17" s="51">
        <f>SUMIFS(Taller_Repuestos!$I$6:$I$205,Taller_Repuestos!$M$6:$M$205,Configuracion!$B$7,Taller_Repuestos!$N$6:$N$205,8)</f>
        <v/>
      </c>
      <c r="J17" s="51">
        <f>SUMIFS(Taller_Repuestos!$I$6:$I$205,Taller_Repuestos!$M$6:$M$205,Configuracion!$B$7,Taller_Repuestos!$N$6:$N$205,9)</f>
        <v/>
      </c>
      <c r="K17" s="51">
        <f>SUMIFS(Taller_Repuestos!$I$6:$I$205,Taller_Repuestos!$M$6:$M$205,Configuracion!$B$7,Taller_Repuestos!$N$6:$N$205,10)</f>
        <v/>
      </c>
      <c r="L17" s="51">
        <f>SUMIFS(Taller_Repuestos!$I$6:$I$205,Taller_Repuestos!$M$6:$M$205,Configuracion!$B$7,Taller_Repuestos!$N$6:$N$205,11)</f>
        <v/>
      </c>
      <c r="M17" s="51">
        <f>SUMIFS(Taller_Repuestos!$I$6:$I$205,Taller_Repuestos!$M$6:$M$205,Configuracion!$B$7,Taller_Repuestos!$N$6:$N$205,12)</f>
        <v/>
      </c>
      <c r="N17" s="52">
        <f>SUM(B17:M17)</f>
        <v/>
      </c>
    </row>
    <row r="18">
      <c r="A18" s="55" t="inlineStr">
        <is>
          <t>TOTAL COSTOS DIRECTOS</t>
        </is>
      </c>
      <c r="B18" s="56">
        <f>B16+B17</f>
        <v/>
      </c>
      <c r="C18" s="56">
        <f>C16+C17</f>
        <v/>
      </c>
      <c r="D18" s="56">
        <f>D16+D17</f>
        <v/>
      </c>
      <c r="E18" s="56">
        <f>E16+E17</f>
        <v/>
      </c>
      <c r="F18" s="56">
        <f>F16+F17</f>
        <v/>
      </c>
      <c r="G18" s="56">
        <f>G16+G17</f>
        <v/>
      </c>
      <c r="H18" s="56">
        <f>H16+H17</f>
        <v/>
      </c>
      <c r="I18" s="56">
        <f>I16+I17</f>
        <v/>
      </c>
      <c r="J18" s="56">
        <f>J16+J17</f>
        <v/>
      </c>
      <c r="K18" s="56">
        <f>K16+K17</f>
        <v/>
      </c>
      <c r="L18" s="56">
        <f>L16+L17</f>
        <v/>
      </c>
      <c r="M18" s="56">
        <f>M16+M17</f>
        <v/>
      </c>
      <c r="N18" s="56">
        <f>SUM(B18:M18)</f>
        <v/>
      </c>
    </row>
    <row r="19">
      <c r="A19" s="57" t="inlineStr">
        <is>
          <t>MARGEN BRUTO</t>
        </is>
      </c>
      <c r="B19" s="58">
        <f>B13-B18</f>
        <v/>
      </c>
      <c r="C19" s="58">
        <f>C13-C18</f>
        <v/>
      </c>
      <c r="D19" s="58">
        <f>D13-D18</f>
        <v/>
      </c>
      <c r="E19" s="58">
        <f>E13-E18</f>
        <v/>
      </c>
      <c r="F19" s="58">
        <f>F13-F18</f>
        <v/>
      </c>
      <c r="G19" s="58">
        <f>G13-G18</f>
        <v/>
      </c>
      <c r="H19" s="58">
        <f>H13-H18</f>
        <v/>
      </c>
      <c r="I19" s="58">
        <f>I13-I18</f>
        <v/>
      </c>
      <c r="J19" s="58">
        <f>J13-J18</f>
        <v/>
      </c>
      <c r="K19" s="58">
        <f>K13-K18</f>
        <v/>
      </c>
      <c r="L19" s="58">
        <f>L13-L18</f>
        <v/>
      </c>
      <c r="M19" s="58">
        <f>M13-M18</f>
        <v/>
      </c>
      <c r="N19" s="59">
        <f>N13-N18</f>
        <v/>
      </c>
    </row>
    <row r="20">
      <c r="A20" s="60" t="inlineStr">
        <is>
          <t>Margen bruto %</t>
        </is>
      </c>
      <c r="B20" s="61">
        <f>IF(B13=0,"",B19/B13)</f>
        <v/>
      </c>
      <c r="C20" s="61">
        <f>IF(C13=0,"",C19/C13)</f>
        <v/>
      </c>
      <c r="D20" s="61">
        <f>IF(D13=0,"",D19/D13)</f>
        <v/>
      </c>
      <c r="E20" s="61">
        <f>IF(E13=0,"",E19/E13)</f>
        <v/>
      </c>
      <c r="F20" s="61">
        <f>IF(F13=0,"",F19/F13)</f>
        <v/>
      </c>
      <c r="G20" s="61">
        <f>IF(G13=0,"",G19/G13)</f>
        <v/>
      </c>
      <c r="H20" s="61">
        <f>IF(H13=0,"",H19/H13)</f>
        <v/>
      </c>
      <c r="I20" s="61">
        <f>IF(I13=0,"",I19/I13)</f>
        <v/>
      </c>
      <c r="J20" s="61">
        <f>IF(J13=0,"",J19/J13)</f>
        <v/>
      </c>
      <c r="K20" s="61">
        <f>IF(K13=0,"",K19/K13)</f>
        <v/>
      </c>
      <c r="L20" s="61">
        <f>IF(L13=0,"",L19/L13)</f>
        <v/>
      </c>
      <c r="M20" s="61">
        <f>IF(M13=0,"",M19/M13)</f>
        <v/>
      </c>
      <c r="N20" s="61">
        <f>IF(N13=0,"",N19/N13)</f>
        <v/>
      </c>
    </row>
    <row r="22" ht="20" customHeight="1">
      <c r="A22" s="49" t="inlineStr">
        <is>
          <t>GASTOS OPERACIONALES</t>
        </is>
      </c>
    </row>
    <row r="23">
      <c r="A23" s="50" t="inlineStr">
        <is>
          <t>Gastos fijos</t>
        </is>
      </c>
      <c r="B23" s="51">
        <f>SUM(Gastos_Fijos!C6:C23)</f>
        <v/>
      </c>
      <c r="C23" s="51">
        <f>SUM(Gastos_Fijos!D6:D23)</f>
        <v/>
      </c>
      <c r="D23" s="51">
        <f>SUM(Gastos_Fijos!E6:E23)</f>
        <v/>
      </c>
      <c r="E23" s="51">
        <f>SUM(Gastos_Fijos!F6:F23)</f>
        <v/>
      </c>
      <c r="F23" s="51">
        <f>SUM(Gastos_Fijos!G6:G23)</f>
        <v/>
      </c>
      <c r="G23" s="51">
        <f>SUM(Gastos_Fijos!H6:H23)</f>
        <v/>
      </c>
      <c r="H23" s="51">
        <f>SUM(Gastos_Fijos!I6:I23)</f>
        <v/>
      </c>
      <c r="I23" s="51">
        <f>SUM(Gastos_Fijos!J6:J23)</f>
        <v/>
      </c>
      <c r="J23" s="51">
        <f>SUM(Gastos_Fijos!K6:K23)</f>
        <v/>
      </c>
      <c r="K23" s="51">
        <f>SUM(Gastos_Fijos!L6:L23)</f>
        <v/>
      </c>
      <c r="L23" s="51">
        <f>SUM(Gastos_Fijos!M6:M23)</f>
        <v/>
      </c>
      <c r="M23" s="51">
        <f>SUM(Gastos_Fijos!N6:N23)</f>
        <v/>
      </c>
      <c r="N23" s="52">
        <f>SUM(B23:M23)</f>
        <v/>
      </c>
    </row>
    <row r="24">
      <c r="A24" s="50" t="inlineStr">
        <is>
          <t>Comisiones de vendedores</t>
        </is>
      </c>
      <c r="B24" s="51">
        <f>SUMIFS(Ventas_Autos!$P$6:$P$205,Ventas_Autos!$U$6:$U$205,Configuracion!$B$7,Ventas_Autos!$V$6:$V$205,1,Ventas_Autos!$Q$6:$Q$205,"Vendido")</f>
        <v/>
      </c>
      <c r="C24" s="51">
        <f>SUMIFS(Ventas_Autos!$P$6:$P$205,Ventas_Autos!$U$6:$U$205,Configuracion!$B$7,Ventas_Autos!$V$6:$V$205,2,Ventas_Autos!$Q$6:$Q$205,"Vendido")</f>
        <v/>
      </c>
      <c r="D24" s="51">
        <f>SUMIFS(Ventas_Autos!$P$6:$P$205,Ventas_Autos!$U$6:$U$205,Configuracion!$B$7,Ventas_Autos!$V$6:$V$205,3,Ventas_Autos!$Q$6:$Q$205,"Vendido")</f>
        <v/>
      </c>
      <c r="E24" s="51">
        <f>SUMIFS(Ventas_Autos!$P$6:$P$205,Ventas_Autos!$U$6:$U$205,Configuracion!$B$7,Ventas_Autos!$V$6:$V$205,4,Ventas_Autos!$Q$6:$Q$205,"Vendido")</f>
        <v/>
      </c>
      <c r="F24" s="51">
        <f>SUMIFS(Ventas_Autos!$P$6:$P$205,Ventas_Autos!$U$6:$U$205,Configuracion!$B$7,Ventas_Autos!$V$6:$V$205,5,Ventas_Autos!$Q$6:$Q$205,"Vendido")</f>
        <v/>
      </c>
      <c r="G24" s="51">
        <f>SUMIFS(Ventas_Autos!$P$6:$P$205,Ventas_Autos!$U$6:$U$205,Configuracion!$B$7,Ventas_Autos!$V$6:$V$205,6,Ventas_Autos!$Q$6:$Q$205,"Vendido")</f>
        <v/>
      </c>
      <c r="H24" s="51">
        <f>SUMIFS(Ventas_Autos!$P$6:$P$205,Ventas_Autos!$U$6:$U$205,Configuracion!$B$7,Ventas_Autos!$V$6:$V$205,7,Ventas_Autos!$Q$6:$Q$205,"Vendido")</f>
        <v/>
      </c>
      <c r="I24" s="51">
        <f>SUMIFS(Ventas_Autos!$P$6:$P$205,Ventas_Autos!$U$6:$U$205,Configuracion!$B$7,Ventas_Autos!$V$6:$V$205,8,Ventas_Autos!$Q$6:$Q$205,"Vendido")</f>
        <v/>
      </c>
      <c r="J24" s="51">
        <f>SUMIFS(Ventas_Autos!$P$6:$P$205,Ventas_Autos!$U$6:$U$205,Configuracion!$B$7,Ventas_Autos!$V$6:$V$205,9,Ventas_Autos!$Q$6:$Q$205,"Vendido")</f>
        <v/>
      </c>
      <c r="K24" s="51">
        <f>SUMIFS(Ventas_Autos!$P$6:$P$205,Ventas_Autos!$U$6:$U$205,Configuracion!$B$7,Ventas_Autos!$V$6:$V$205,10,Ventas_Autos!$Q$6:$Q$205,"Vendido")</f>
        <v/>
      </c>
      <c r="L24" s="51">
        <f>SUMIFS(Ventas_Autos!$P$6:$P$205,Ventas_Autos!$U$6:$U$205,Configuracion!$B$7,Ventas_Autos!$V$6:$V$205,11,Ventas_Autos!$Q$6:$Q$205,"Vendido")</f>
        <v/>
      </c>
      <c r="M24" s="51">
        <f>SUMIFS(Ventas_Autos!$P$6:$P$205,Ventas_Autos!$U$6:$U$205,Configuracion!$B$7,Ventas_Autos!$V$6:$V$205,12,Ventas_Autos!$Q$6:$Q$205,"Vendido")</f>
        <v/>
      </c>
      <c r="N24" s="52">
        <f>SUM(B24:M24)</f>
        <v/>
      </c>
    </row>
    <row r="25">
      <c r="A25" s="50" t="inlineStr">
        <is>
          <t>Gastos variables (sin comisiones)</t>
        </is>
      </c>
      <c r="B25" s="51">
        <f>SUM(Gastos_Variables!C6:C20)</f>
        <v/>
      </c>
      <c r="C25" s="51">
        <f>SUM(Gastos_Variables!D6:D20)</f>
        <v/>
      </c>
      <c r="D25" s="51">
        <f>SUM(Gastos_Variables!E6:E20)</f>
        <v/>
      </c>
      <c r="E25" s="51">
        <f>SUM(Gastos_Variables!F6:F20)</f>
        <v/>
      </c>
      <c r="F25" s="51">
        <f>SUM(Gastos_Variables!G6:G20)</f>
        <v/>
      </c>
      <c r="G25" s="51">
        <f>SUM(Gastos_Variables!H6:H20)</f>
        <v/>
      </c>
      <c r="H25" s="51">
        <f>SUM(Gastos_Variables!I6:I20)</f>
        <v/>
      </c>
      <c r="I25" s="51">
        <f>SUM(Gastos_Variables!J6:J20)</f>
        <v/>
      </c>
      <c r="J25" s="51">
        <f>SUM(Gastos_Variables!K6:K20)</f>
        <v/>
      </c>
      <c r="K25" s="51">
        <f>SUM(Gastos_Variables!L6:L20)</f>
        <v/>
      </c>
      <c r="L25" s="51">
        <f>SUM(Gastos_Variables!M6:M20)</f>
        <v/>
      </c>
      <c r="M25" s="51">
        <f>SUM(Gastos_Variables!N6:N20)</f>
        <v/>
      </c>
      <c r="N25" s="52">
        <f>SUM(B25:M25)</f>
        <v/>
      </c>
    </row>
    <row r="26">
      <c r="A26" s="55" t="inlineStr">
        <is>
          <t>TOTAL GASTOS OPERACIONALES</t>
        </is>
      </c>
      <c r="B26" s="56">
        <f>B23+B24+B25</f>
        <v/>
      </c>
      <c r="C26" s="56">
        <f>C23+C24+C25</f>
        <v/>
      </c>
      <c r="D26" s="56">
        <f>D23+D24+D25</f>
        <v/>
      </c>
      <c r="E26" s="56">
        <f>E23+E24+E25</f>
        <v/>
      </c>
      <c r="F26" s="56">
        <f>F23+F24+F25</f>
        <v/>
      </c>
      <c r="G26" s="56">
        <f>G23+G24+G25</f>
        <v/>
      </c>
      <c r="H26" s="56">
        <f>H23+H24+H25</f>
        <v/>
      </c>
      <c r="I26" s="56">
        <f>I23+I24+I25</f>
        <v/>
      </c>
      <c r="J26" s="56">
        <f>J23+J24+J25</f>
        <v/>
      </c>
      <c r="K26" s="56">
        <f>K23+K24+K25</f>
        <v/>
      </c>
      <c r="L26" s="56">
        <f>L23+L24+L25</f>
        <v/>
      </c>
      <c r="M26" s="56">
        <f>M23+M24+M25</f>
        <v/>
      </c>
      <c r="N26" s="56">
        <f>SUM(B26:M26)</f>
        <v/>
      </c>
    </row>
    <row r="27">
      <c r="A27" s="62" t="inlineStr">
        <is>
          <t>UTILIDAD OPERACIONAL</t>
        </is>
      </c>
      <c r="B27" s="63">
        <f>B19-B26</f>
        <v/>
      </c>
      <c r="C27" s="63">
        <f>C19-C26</f>
        <v/>
      </c>
      <c r="D27" s="63">
        <f>D19-D26</f>
        <v/>
      </c>
      <c r="E27" s="63">
        <f>E19-E26</f>
        <v/>
      </c>
      <c r="F27" s="63">
        <f>F19-F26</f>
        <v/>
      </c>
      <c r="G27" s="63">
        <f>G19-G26</f>
        <v/>
      </c>
      <c r="H27" s="63">
        <f>H19-H26</f>
        <v/>
      </c>
      <c r="I27" s="63">
        <f>I19-I26</f>
        <v/>
      </c>
      <c r="J27" s="63">
        <f>J19-J26</f>
        <v/>
      </c>
      <c r="K27" s="63">
        <f>K19-K26</f>
        <v/>
      </c>
      <c r="L27" s="63">
        <f>L19-L26</f>
        <v/>
      </c>
      <c r="M27" s="63">
        <f>M19-M26</f>
        <v/>
      </c>
      <c r="N27" s="52">
        <f>N19-N26</f>
        <v/>
      </c>
    </row>
    <row r="28">
      <c r="A28" s="50" t="inlineStr">
        <is>
          <t>Margen operacional %</t>
        </is>
      </c>
      <c r="B28" s="64">
        <f>IF(B13=0,"",B27/B13)</f>
        <v/>
      </c>
      <c r="C28" s="64">
        <f>IF(C13=0,"",C27/C13)</f>
        <v/>
      </c>
      <c r="D28" s="64">
        <f>IF(D13=0,"",D27/D13)</f>
        <v/>
      </c>
      <c r="E28" s="64">
        <f>IF(E13=0,"",E27/E13)</f>
        <v/>
      </c>
      <c r="F28" s="64">
        <f>IF(F13=0,"",F27/F13)</f>
        <v/>
      </c>
      <c r="G28" s="64">
        <f>IF(G13=0,"",G27/G13)</f>
        <v/>
      </c>
      <c r="H28" s="64">
        <f>IF(H13=0,"",H27/H13)</f>
        <v/>
      </c>
      <c r="I28" s="64">
        <f>IF(I13=0,"",I27/I13)</f>
        <v/>
      </c>
      <c r="J28" s="64">
        <f>IF(J13=0,"",J27/J13)</f>
        <v/>
      </c>
      <c r="K28" s="64">
        <f>IF(K13=0,"",K27/K13)</f>
        <v/>
      </c>
      <c r="L28" s="64">
        <f>IF(L13=0,"",L27/L13)</f>
        <v/>
      </c>
      <c r="M28" s="64">
        <f>IF(M13=0,"",M27/M13)</f>
        <v/>
      </c>
      <c r="N28" s="65">
        <f>IF(N13=0,"",N27/N13)</f>
        <v/>
      </c>
    </row>
    <row r="30" ht="20" customHeight="1">
      <c r="A30" s="49" t="inlineStr">
        <is>
          <t>IMPUESTO A LA RENTA ESTIMADO (no es el F29)</t>
        </is>
      </c>
    </row>
    <row r="31">
      <c r="A31" s="50" t="inlineStr">
        <is>
          <t>Provisión 1ª categoría del mes</t>
        </is>
      </c>
      <c r="B31" s="66">
        <f>IF(B27&gt;0,ROUND(B27*Configuracion!$B$13,0),0)</f>
        <v/>
      </c>
      <c r="C31" s="66">
        <f>IF(C27&gt;0,ROUND(C27*Configuracion!$B$13,0),0)</f>
        <v/>
      </c>
      <c r="D31" s="66">
        <f>IF(D27&gt;0,ROUND(D27*Configuracion!$B$13,0),0)</f>
        <v/>
      </c>
      <c r="E31" s="66">
        <f>IF(E27&gt;0,ROUND(E27*Configuracion!$B$13,0),0)</f>
        <v/>
      </c>
      <c r="F31" s="66">
        <f>IF(F27&gt;0,ROUND(F27*Configuracion!$B$13,0),0)</f>
        <v/>
      </c>
      <c r="G31" s="66">
        <f>IF(G27&gt;0,ROUND(G27*Configuracion!$B$13,0),0)</f>
        <v/>
      </c>
      <c r="H31" s="66">
        <f>IF(H27&gt;0,ROUND(H27*Configuracion!$B$13,0),0)</f>
        <v/>
      </c>
      <c r="I31" s="66">
        <f>IF(I27&gt;0,ROUND(I27*Configuracion!$B$13,0),0)</f>
        <v/>
      </c>
      <c r="J31" s="66">
        <f>IF(J27&gt;0,ROUND(J27*Configuracion!$B$13,0),0)</f>
        <v/>
      </c>
      <c r="K31" s="66">
        <f>IF(K27&gt;0,ROUND(K27*Configuracion!$B$13,0),0)</f>
        <v/>
      </c>
      <c r="L31" s="66">
        <f>IF(L27&gt;0,ROUND(L27*Configuracion!$B$13,0),0)</f>
        <v/>
      </c>
      <c r="M31" s="66">
        <f>IF(M27&gt;0,ROUND(M27*Configuracion!$B$13,0),0)</f>
        <v/>
      </c>
      <c r="N31" s="52">
        <f>SUM(B31:M31)</f>
        <v/>
      </c>
    </row>
    <row r="32">
      <c r="A32" s="67" t="inlineStr">
        <is>
          <t>UTILIDAD NETA ESTIMADA</t>
        </is>
      </c>
      <c r="B32" s="68">
        <f>B27-B31</f>
        <v/>
      </c>
      <c r="C32" s="68">
        <f>C27-C31</f>
        <v/>
      </c>
      <c r="D32" s="68">
        <f>D27-D31</f>
        <v/>
      </c>
      <c r="E32" s="68">
        <f>E27-E31</f>
        <v/>
      </c>
      <c r="F32" s="68">
        <f>F27-F31</f>
        <v/>
      </c>
      <c r="G32" s="68">
        <f>G27-G31</f>
        <v/>
      </c>
      <c r="H32" s="68">
        <f>H27-H31</f>
        <v/>
      </c>
      <c r="I32" s="68">
        <f>I27-I31</f>
        <v/>
      </c>
      <c r="J32" s="68">
        <f>J27-J31</f>
        <v/>
      </c>
      <c r="K32" s="68">
        <f>K27-K31</f>
        <v/>
      </c>
      <c r="L32" s="68">
        <f>L27-L31</f>
        <v/>
      </c>
      <c r="M32" s="68">
        <f>M27-M31</f>
        <v/>
      </c>
      <c r="N32" s="68">
        <f>N27-N31</f>
        <v/>
      </c>
    </row>
  </sheetData>
  <mergeCells count="7">
    <mergeCell ref="A6:N6"/>
    <mergeCell ref="A22:N22"/>
    <mergeCell ref="A30:N30"/>
    <mergeCell ref="A2:N2"/>
    <mergeCell ref="A15:N15"/>
    <mergeCell ref="C3:N3"/>
    <mergeCell ref="A1:N1"/>
  </mergeCells>
  <conditionalFormatting sqref="B27:N27">
    <cfRule type="cellIs" priority="1" operator="lessThan" dxfId="0">
      <formula>0</formula>
    </cfRule>
  </conditionalFormatting>
  <printOptions horizontalCentered="1"/>
  <pageMargins left="0.4" right="0.4" top="0.5" bottom="0.5" header="0.5" footer="0.5"/>
  <pageSetup orientation="landscape" paperSize="9" fitToHeight="0" fitToWidth="1"/>
  <headerFooter>
    <oddHeader>&amp;LControl financiero automotora</oddHeader>
    <oddFooter>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38A169"/>
    <outlinePr summaryBelow="1" summaryRight="1"/>
    <pageSetUpPr fitToPage="1"/>
  </sheetPr>
  <dimension ref="A1:Z205"/>
  <sheetViews>
    <sheetView showGridLines="0" zoomScale="10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24" customWidth="1" min="9" max="9"/>
    <col width="16" customWidth="1" min="10" max="10"/>
    <col width="14" customWidth="1" min="11" max="11"/>
    <col width="13" customWidth="1" min="12" max="12"/>
    <col width="14" customWidth="1" min="13" max="13"/>
    <col width="18" customWidth="1" min="14" max="14"/>
    <col width="22" customWidth="1" min="15" max="15"/>
    <col width="20" customWidth="1" min="16" max="16"/>
    <col width="16" customWidth="1" min="17" max="17"/>
    <col width="4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2" customWidth="1" min="23" max="23"/>
    <col width="13" customWidth="1" min="24" max="24"/>
    <col width="16" customWidth="1" min="25" max="25"/>
    <col width="18" customWidth="1" min="26" max="26"/>
  </cols>
  <sheetData>
    <row r="1" ht="28" customHeight="1">
      <c r="A1" s="1" t="inlineStr">
        <is>
          <t xml:space="preserve">  Ventas de autos — nuevos, usados y consignación</t>
        </is>
      </c>
    </row>
    <row r="2" ht="20" customHeight="1">
      <c r="A2" s="3" t="inlineStr">
        <is>
          <t xml:space="preserve">  Amarillo = datos. En consignación el ingreso es la comisión. En propios, el precio de venta. Estado Vendido entra al resultado; Stock no.</t>
        </is>
      </c>
    </row>
    <row r="3">
      <c r="A3" s="6" t="inlineStr">
        <is>
          <t>IVA débito sale de la venta (o de la comisión). IVA crédito sale de la compra solo si Compra afecta IVA = Sí.</t>
        </is>
      </c>
    </row>
    <row r="5" ht="36" customHeight="1">
      <c r="A5" s="26" t="inlineStr">
        <is>
          <t>N°</t>
        </is>
      </c>
      <c r="B5" s="26" t="inlineStr">
        <is>
          <t>Fecha compra</t>
        </is>
      </c>
      <c r="C5" s="26" t="inlineStr">
        <is>
          <t>Fecha venta</t>
        </is>
      </c>
      <c r="D5" s="26" t="inlineStr">
        <is>
          <t>Tipo</t>
        </is>
      </c>
      <c r="E5" s="26" t="inlineStr">
        <is>
          <t>Marca</t>
        </is>
      </c>
      <c r="F5" s="26" t="inlineStr">
        <is>
          <t>Modelo</t>
        </is>
      </c>
      <c r="G5" s="26" t="inlineStr">
        <is>
          <t>Año auto</t>
        </is>
      </c>
      <c r="H5" s="26" t="inlineStr">
        <is>
          <t>Patente</t>
        </is>
      </c>
      <c r="I5" s="26" t="inlineStr">
        <is>
          <t>Proveedor / consignante</t>
        </is>
      </c>
      <c r="J5" s="26" t="inlineStr">
        <is>
          <t>Compra afecta IVA</t>
        </is>
      </c>
      <c r="K5" s="26" t="inlineStr">
        <is>
          <t>Costo neto</t>
        </is>
      </c>
      <c r="L5" s="26" t="inlineStr">
        <is>
          <t>IVA compra</t>
        </is>
      </c>
      <c r="M5" s="26" t="inlineStr">
        <is>
          <t>Total compra</t>
        </is>
      </c>
      <c r="N5" s="26" t="inlineStr">
        <is>
          <t>Precio venta (c/IVA)</t>
        </is>
      </c>
      <c r="O5" s="26" t="inlineStr">
        <is>
          <t>Comisión consignación (c/IVA)</t>
        </is>
      </c>
      <c r="P5" s="26" t="inlineStr">
        <is>
          <t>Comisión vendedor (neto)</t>
        </is>
      </c>
      <c r="Q5" s="26" t="inlineStr">
        <is>
          <t>Estado</t>
        </is>
      </c>
      <c r="R5" s="26" t="inlineStr">
        <is>
          <t>Notas</t>
        </is>
      </c>
      <c r="S5" s="69" t="inlineStr">
        <is>
          <t>Año compra</t>
        </is>
      </c>
      <c r="T5" s="69" t="inlineStr">
        <is>
          <t>Mes compra</t>
        </is>
      </c>
      <c r="U5" s="69" t="inlineStr">
        <is>
          <t>Año venta</t>
        </is>
      </c>
      <c r="V5" s="69" t="inlineStr">
        <is>
          <t>Mes venta</t>
        </is>
      </c>
      <c r="W5" s="69" t="inlineStr">
        <is>
          <t>Ingreso neto automotora</t>
        </is>
      </c>
      <c r="X5" s="69" t="inlineStr">
        <is>
          <t>IVA débito</t>
        </is>
      </c>
      <c r="Y5" s="69" t="inlineStr">
        <is>
          <t>Costo en resultado</t>
        </is>
      </c>
      <c r="Z5" s="69" t="inlineStr">
        <is>
          <t>Margen de la unidad</t>
        </is>
      </c>
    </row>
    <row r="6">
      <c r="A6" s="15">
        <f>IF(D6="","",ROW()-5)</f>
        <v/>
      </c>
      <c r="B6" s="70" t="n">
        <v>46221</v>
      </c>
      <c r="C6" s="70" t="n">
        <v>46239</v>
      </c>
      <c r="D6" s="9" t="inlineStr">
        <is>
          <t>Usado</t>
        </is>
      </c>
      <c r="E6" s="9" t="inlineStr">
        <is>
          <t>Toyota</t>
        </is>
      </c>
      <c r="F6" s="9" t="inlineStr">
        <is>
          <t>Corolla</t>
        </is>
      </c>
      <c r="G6" s="11" t="n">
        <v>2019</v>
      </c>
      <c r="H6" s="9" t="inlineStr">
        <is>
          <t>RPKB12</t>
        </is>
      </c>
      <c r="I6" s="9" t="inlineStr">
        <is>
          <t>Particular</t>
        </is>
      </c>
      <c r="J6" s="9" t="inlineStr">
        <is>
          <t>No</t>
        </is>
      </c>
      <c r="K6" s="71" t="n">
        <v>8500000</v>
      </c>
      <c r="L6" s="30">
        <f>IF(K6="","",IF(J6="Sí",ROUND(K6*Configuracion!$B$11,0),0))</f>
        <v/>
      </c>
      <c r="M6" s="30">
        <f>IF(K6="","",K6+L6)</f>
        <v/>
      </c>
      <c r="N6" s="71" t="n">
        <v>11900000</v>
      </c>
      <c r="O6" s="71" t="n"/>
      <c r="P6" s="71" t="n">
        <v>280000</v>
      </c>
      <c r="Q6" s="9" t="inlineStr">
        <is>
          <t>Vendido</t>
        </is>
      </c>
      <c r="R6" s="9" t="inlineStr">
        <is>
          <t>EJEMPLO — usado comprado a particular (sin crédito IVA)</t>
        </is>
      </c>
      <c r="S6" s="15">
        <f>IF(B6="","",YEAR(B6))</f>
        <v/>
      </c>
      <c r="T6" s="15">
        <f>IF(B6="","",MONTH(B6))</f>
        <v/>
      </c>
      <c r="U6" s="15">
        <f>IF(C6="","",YEAR(C6))</f>
        <v/>
      </c>
      <c r="V6" s="15">
        <f>IF(C6="","",MONTH(C6))</f>
        <v/>
      </c>
      <c r="W6" s="30">
        <f>IF(D6="","",IF(D6="Consignación",IF(O6="",0,ROUND(O6/(1+Configuracion!$B$11),0)),IF(N6="",0,ROUND(N6/(1+Configuracion!$B$11),0))))</f>
        <v/>
      </c>
      <c r="X6" s="30">
        <f>IF(W6="","",ROUND(W6*Configuracion!$B$11,0))</f>
        <v/>
      </c>
      <c r="Y6" s="30">
        <f>IF(OR(D6="",Q6&lt;&gt;"Vendido"),0,IF(D6="Consignación",0,IF(K6="",0,K6)))</f>
        <v/>
      </c>
      <c r="Z6" s="30">
        <f>IF(Q6&lt;&gt;"Vendido","",W6-Y6-IF(P6="",0,P6))</f>
        <v/>
      </c>
    </row>
    <row r="7">
      <c r="A7" s="15">
        <f>IF(D7="","",ROW()-5)</f>
        <v/>
      </c>
      <c r="B7" s="70" t="n">
        <v>46236</v>
      </c>
      <c r="C7" s="70" t="n">
        <v>46254</v>
      </c>
      <c r="D7" s="9" t="inlineStr">
        <is>
          <t>Nuevo</t>
        </is>
      </c>
      <c r="E7" s="9" t="inlineStr">
        <is>
          <t>Chevrolet</t>
        </is>
      </c>
      <c r="F7" s="9" t="inlineStr">
        <is>
          <t>Onix</t>
        </is>
      </c>
      <c r="G7" s="11" t="n">
        <v>2026</v>
      </c>
      <c r="H7" s="9" t="inlineStr">
        <is>
          <t>JKLP34</t>
        </is>
      </c>
      <c r="I7" s="9" t="inlineStr">
        <is>
          <t>Importadora / marca</t>
        </is>
      </c>
      <c r="J7" s="9" t="inlineStr">
        <is>
          <t>Sí</t>
        </is>
      </c>
      <c r="K7" s="71" t="n">
        <v>10500000</v>
      </c>
      <c r="L7" s="30">
        <f>IF(K7="","",IF(J7="Sí",ROUND(K7*Configuracion!$B$11,0),0))</f>
        <v/>
      </c>
      <c r="M7" s="30">
        <f>IF(K7="","",K7+L7)</f>
        <v/>
      </c>
      <c r="N7" s="71" t="n">
        <v>14900000</v>
      </c>
      <c r="O7" s="71" t="n"/>
      <c r="P7" s="71" t="n">
        <v>350000</v>
      </c>
      <c r="Q7" s="9" t="inlineStr">
        <is>
          <t>Vendido</t>
        </is>
      </c>
      <c r="R7" s="9" t="inlineStr">
        <is>
          <t>EJEMPLO — nuevo con factura (sí hay crédito IVA)</t>
        </is>
      </c>
      <c r="S7" s="15">
        <f>IF(B7="","",YEAR(B7))</f>
        <v/>
      </c>
      <c r="T7" s="15">
        <f>IF(B7="","",MONTH(B7))</f>
        <v/>
      </c>
      <c r="U7" s="15">
        <f>IF(C7="","",YEAR(C7))</f>
        <v/>
      </c>
      <c r="V7" s="15">
        <f>IF(C7="","",MONTH(C7))</f>
        <v/>
      </c>
      <c r="W7" s="30">
        <f>IF(D7="","",IF(D7="Consignación",IF(O7="",0,ROUND(O7/(1+Configuracion!$B$11),0)),IF(N7="",0,ROUND(N7/(1+Configuracion!$B$11),0))))</f>
        <v/>
      </c>
      <c r="X7" s="30">
        <f>IF(W7="","",ROUND(W7*Configuracion!$B$11,0))</f>
        <v/>
      </c>
      <c r="Y7" s="30">
        <f>IF(OR(D7="",Q7&lt;&gt;"Vendido"),0,IF(D7="Consignación",0,IF(K7="",0,K7)))</f>
        <v/>
      </c>
      <c r="Z7" s="30">
        <f>IF(Q7&lt;&gt;"Vendido","",W7-Y7-IF(P7="",0,P7))</f>
        <v/>
      </c>
    </row>
    <row r="8">
      <c r="A8" s="15">
        <f>IF(D8="","",ROW()-5)</f>
        <v/>
      </c>
      <c r="B8" s="70" t="n">
        <v>46235</v>
      </c>
      <c r="C8" s="70" t="n">
        <v>46246</v>
      </c>
      <c r="D8" s="9" t="inlineStr">
        <is>
          <t>Consignación</t>
        </is>
      </c>
      <c r="E8" s="9" t="inlineStr">
        <is>
          <t>Hyundai</t>
        </is>
      </c>
      <c r="F8" s="9" t="inlineStr">
        <is>
          <t>Tucson</t>
        </is>
      </c>
      <c r="G8" s="11" t="n">
        <v>2021</v>
      </c>
      <c r="H8" s="9" t="inlineStr">
        <is>
          <t>LFTW90</t>
        </is>
      </c>
      <c r="I8" s="9" t="inlineStr">
        <is>
          <t>Juan Pérez (consignante)</t>
        </is>
      </c>
      <c r="J8" s="9" t="inlineStr">
        <is>
          <t>No</t>
        </is>
      </c>
      <c r="K8" s="71" t="n">
        <v>0</v>
      </c>
      <c r="L8" s="30">
        <f>IF(K8="","",IF(J8="Sí",ROUND(K8*Configuracion!$B$11,0),0))</f>
        <v/>
      </c>
      <c r="M8" s="30">
        <f>IF(K8="","",K8+L8)</f>
        <v/>
      </c>
      <c r="N8" s="71" t="n">
        <v>14500000</v>
      </c>
      <c r="O8" s="71" t="n">
        <v>950000</v>
      </c>
      <c r="P8" s="71" t="n">
        <v>120000</v>
      </c>
      <c r="Q8" s="9" t="inlineStr">
        <is>
          <t>Vendido</t>
        </is>
      </c>
      <c r="R8" s="9" t="inlineStr">
        <is>
          <t>EJEMPLO — ingreso = comisión, no el precio del auto</t>
        </is>
      </c>
      <c r="S8" s="15">
        <f>IF(B8="","",YEAR(B8))</f>
        <v/>
      </c>
      <c r="T8" s="15">
        <f>IF(B8="","",MONTH(B8))</f>
        <v/>
      </c>
      <c r="U8" s="15">
        <f>IF(C8="","",YEAR(C8))</f>
        <v/>
      </c>
      <c r="V8" s="15">
        <f>IF(C8="","",MONTH(C8))</f>
        <v/>
      </c>
      <c r="W8" s="30">
        <f>IF(D8="","",IF(D8="Consignación",IF(O8="",0,ROUND(O8/(1+Configuracion!$B$11),0)),IF(N8="",0,ROUND(N8/(1+Configuracion!$B$11),0))))</f>
        <v/>
      </c>
      <c r="X8" s="30">
        <f>IF(W8="","",ROUND(W8*Configuracion!$B$11,0))</f>
        <v/>
      </c>
      <c r="Y8" s="30">
        <f>IF(OR(D8="",Q8&lt;&gt;"Vendido"),0,IF(D8="Consignación",0,IF(K8="",0,K8)))</f>
        <v/>
      </c>
      <c r="Z8" s="30">
        <f>IF(Q8&lt;&gt;"Vendido","",W8-Y8-IF(P8="",0,P8))</f>
        <v/>
      </c>
    </row>
    <row r="9">
      <c r="A9" s="15">
        <f>IF(D9="","",ROW()-5)</f>
        <v/>
      </c>
      <c r="B9" s="70" t="n">
        <v>46256</v>
      </c>
      <c r="C9" s="70" t="n"/>
      <c r="D9" s="9" t="inlineStr">
        <is>
          <t>Usado</t>
        </is>
      </c>
      <c r="E9" s="9" t="inlineStr">
        <is>
          <t>Mazda</t>
        </is>
      </c>
      <c r="F9" s="9" t="inlineStr">
        <is>
          <t>3</t>
        </is>
      </c>
      <c r="G9" s="11" t="n">
        <v>2018</v>
      </c>
      <c r="H9" s="9" t="inlineStr">
        <is>
          <t>PDKS21</t>
        </is>
      </c>
      <c r="I9" s="9" t="inlineStr">
        <is>
          <t>Particular</t>
        </is>
      </c>
      <c r="J9" s="9" t="inlineStr">
        <is>
          <t>No</t>
        </is>
      </c>
      <c r="K9" s="71" t="n">
        <v>7200000</v>
      </c>
      <c r="L9" s="30">
        <f>IF(K9="","",IF(J9="Sí",ROUND(K9*Configuracion!$B$11,0),0))</f>
        <v/>
      </c>
      <c r="M9" s="30">
        <f>IF(K9="","",K9+L9)</f>
        <v/>
      </c>
      <c r="N9" s="71" t="n"/>
      <c r="O9" s="71" t="n"/>
      <c r="P9" s="71" t="n"/>
      <c r="Q9" s="9" t="inlineStr">
        <is>
          <t>Stock</t>
        </is>
      </c>
      <c r="R9" s="9" t="inlineStr">
        <is>
          <t>EJEMPLO — en patio, no entra al resultado hasta venderse</t>
        </is>
      </c>
      <c r="S9" s="15">
        <f>IF(B9="","",YEAR(B9))</f>
        <v/>
      </c>
      <c r="T9" s="15">
        <f>IF(B9="","",MONTH(B9))</f>
        <v/>
      </c>
      <c r="U9" s="15">
        <f>IF(C9="","",YEAR(C9))</f>
        <v/>
      </c>
      <c r="V9" s="15">
        <f>IF(C9="","",MONTH(C9))</f>
        <v/>
      </c>
      <c r="W9" s="30">
        <f>IF(D9="","",IF(D9="Consignación",IF(O9="",0,ROUND(O9/(1+Configuracion!$B$11),0)),IF(N9="",0,ROUND(N9/(1+Configuracion!$B$11),0))))</f>
        <v/>
      </c>
      <c r="X9" s="30">
        <f>IF(W9="","",ROUND(W9*Configuracion!$B$11,0))</f>
        <v/>
      </c>
      <c r="Y9" s="30">
        <f>IF(OR(D9="",Q9&lt;&gt;"Vendido"),0,IF(D9="Consignación",0,IF(K9="",0,K9)))</f>
        <v/>
      </c>
      <c r="Z9" s="30">
        <f>IF(Q9&lt;&gt;"Vendido","",W9-Y9-IF(P9="",0,P9))</f>
        <v/>
      </c>
    </row>
    <row r="10">
      <c r="A10" s="15">
        <f>IF(D10="","",ROW()-5)</f>
        <v/>
      </c>
      <c r="B10" s="70" t="n"/>
      <c r="C10" s="70" t="n"/>
      <c r="D10" s="9" t="n"/>
      <c r="E10" s="9" t="n"/>
      <c r="F10" s="9" t="n"/>
      <c r="G10" s="11" t="n"/>
      <c r="H10" s="9" t="n"/>
      <c r="I10" s="9" t="n"/>
      <c r="J10" s="9" t="n"/>
      <c r="K10" s="71" t="n"/>
      <c r="L10" s="30">
        <f>IF(K10="","",IF(J10="Sí",ROUND(K10*Configuracion!$B$11,0),0))</f>
        <v/>
      </c>
      <c r="M10" s="30">
        <f>IF(K10="","",K10+L10)</f>
        <v/>
      </c>
      <c r="N10" s="71" t="n"/>
      <c r="O10" s="71" t="n"/>
      <c r="P10" s="71" t="n"/>
      <c r="Q10" s="9" t="n"/>
      <c r="R10" s="9" t="n"/>
      <c r="S10" s="15">
        <f>IF(B10="","",YEAR(B10))</f>
        <v/>
      </c>
      <c r="T10" s="15">
        <f>IF(B10="","",MONTH(B10))</f>
        <v/>
      </c>
      <c r="U10" s="15">
        <f>IF(C10="","",YEAR(C10))</f>
        <v/>
      </c>
      <c r="V10" s="15">
        <f>IF(C10="","",MONTH(C10))</f>
        <v/>
      </c>
      <c r="W10" s="30">
        <f>IF(D10="","",IF(D10="Consignación",IF(O10="",0,ROUND(O10/(1+Configuracion!$B$11),0)),IF(N10="",0,ROUND(N10/(1+Configuracion!$B$11),0))))</f>
        <v/>
      </c>
      <c r="X10" s="30">
        <f>IF(W10="","",ROUND(W10*Configuracion!$B$11,0))</f>
        <v/>
      </c>
      <c r="Y10" s="30">
        <f>IF(OR(D10="",Q10&lt;&gt;"Vendido"),0,IF(D10="Consignación",0,IF(K10="",0,K10)))</f>
        <v/>
      </c>
      <c r="Z10" s="30">
        <f>IF(Q10&lt;&gt;"Vendido","",W10-Y10-IF(P10="",0,P10))</f>
        <v/>
      </c>
    </row>
    <row r="11">
      <c r="A11" s="15">
        <f>IF(D11="","",ROW()-5)</f>
        <v/>
      </c>
      <c r="B11" s="70" t="n"/>
      <c r="C11" s="70" t="n"/>
      <c r="D11" s="9" t="n"/>
      <c r="E11" s="9" t="n"/>
      <c r="F11" s="9" t="n"/>
      <c r="G11" s="11" t="n"/>
      <c r="H11" s="9" t="n"/>
      <c r="I11" s="9" t="n"/>
      <c r="J11" s="9" t="n"/>
      <c r="K11" s="71" t="n"/>
      <c r="L11" s="30">
        <f>IF(K11="","",IF(J11="Sí",ROUND(K11*Configuracion!$B$11,0),0))</f>
        <v/>
      </c>
      <c r="M11" s="30">
        <f>IF(K11="","",K11+L11)</f>
        <v/>
      </c>
      <c r="N11" s="71" t="n"/>
      <c r="O11" s="71" t="n"/>
      <c r="P11" s="71" t="n"/>
      <c r="Q11" s="9" t="n"/>
      <c r="R11" s="9" t="n"/>
      <c r="S11" s="15">
        <f>IF(B11="","",YEAR(B11))</f>
        <v/>
      </c>
      <c r="T11" s="15">
        <f>IF(B11="","",MONTH(B11))</f>
        <v/>
      </c>
      <c r="U11" s="15">
        <f>IF(C11="","",YEAR(C11))</f>
        <v/>
      </c>
      <c r="V11" s="15">
        <f>IF(C11="","",MONTH(C11))</f>
        <v/>
      </c>
      <c r="W11" s="30">
        <f>IF(D11="","",IF(D11="Consignación",IF(O11="",0,ROUND(O11/(1+Configuracion!$B$11),0)),IF(N11="",0,ROUND(N11/(1+Configuracion!$B$11),0))))</f>
        <v/>
      </c>
      <c r="X11" s="30">
        <f>IF(W11="","",ROUND(W11*Configuracion!$B$11,0))</f>
        <v/>
      </c>
      <c r="Y11" s="30">
        <f>IF(OR(D11="",Q11&lt;&gt;"Vendido"),0,IF(D11="Consignación",0,IF(K11="",0,K11)))</f>
        <v/>
      </c>
      <c r="Z11" s="30">
        <f>IF(Q11&lt;&gt;"Vendido","",W11-Y11-IF(P11="",0,P11))</f>
        <v/>
      </c>
    </row>
    <row r="12">
      <c r="A12" s="15">
        <f>IF(D12="","",ROW()-5)</f>
        <v/>
      </c>
      <c r="B12" s="70" t="n"/>
      <c r="C12" s="70" t="n"/>
      <c r="D12" s="9" t="n"/>
      <c r="E12" s="9" t="n"/>
      <c r="F12" s="9" t="n"/>
      <c r="G12" s="11" t="n"/>
      <c r="H12" s="9" t="n"/>
      <c r="I12" s="9" t="n"/>
      <c r="J12" s="9" t="n"/>
      <c r="K12" s="71" t="n"/>
      <c r="L12" s="30">
        <f>IF(K12="","",IF(J12="Sí",ROUND(K12*Configuracion!$B$11,0),0))</f>
        <v/>
      </c>
      <c r="M12" s="30">
        <f>IF(K12="","",K12+L12)</f>
        <v/>
      </c>
      <c r="N12" s="71" t="n"/>
      <c r="O12" s="71" t="n"/>
      <c r="P12" s="71" t="n"/>
      <c r="Q12" s="9" t="n"/>
      <c r="R12" s="9" t="n"/>
      <c r="S12" s="15">
        <f>IF(B12="","",YEAR(B12))</f>
        <v/>
      </c>
      <c r="T12" s="15">
        <f>IF(B12="","",MONTH(B12))</f>
        <v/>
      </c>
      <c r="U12" s="15">
        <f>IF(C12="","",YEAR(C12))</f>
        <v/>
      </c>
      <c r="V12" s="15">
        <f>IF(C12="","",MONTH(C12))</f>
        <v/>
      </c>
      <c r="W12" s="30">
        <f>IF(D12="","",IF(D12="Consignación",IF(O12="",0,ROUND(O12/(1+Configuracion!$B$11),0)),IF(N12="",0,ROUND(N12/(1+Configuracion!$B$11),0))))</f>
        <v/>
      </c>
      <c r="X12" s="30">
        <f>IF(W12="","",ROUND(W12*Configuracion!$B$11,0))</f>
        <v/>
      </c>
      <c r="Y12" s="30">
        <f>IF(OR(D12="",Q12&lt;&gt;"Vendido"),0,IF(D12="Consignación",0,IF(K12="",0,K12)))</f>
        <v/>
      </c>
      <c r="Z12" s="30">
        <f>IF(Q12&lt;&gt;"Vendido","",W12-Y12-IF(P12="",0,P12))</f>
        <v/>
      </c>
    </row>
    <row r="13">
      <c r="A13" s="15">
        <f>IF(D13="","",ROW()-5)</f>
        <v/>
      </c>
      <c r="B13" s="70" t="n"/>
      <c r="C13" s="70" t="n"/>
      <c r="D13" s="9" t="n"/>
      <c r="E13" s="9" t="n"/>
      <c r="F13" s="9" t="n"/>
      <c r="G13" s="11" t="n"/>
      <c r="H13" s="9" t="n"/>
      <c r="I13" s="9" t="n"/>
      <c r="J13" s="9" t="n"/>
      <c r="K13" s="71" t="n"/>
      <c r="L13" s="30">
        <f>IF(K13="","",IF(J13="Sí",ROUND(K13*Configuracion!$B$11,0),0))</f>
        <v/>
      </c>
      <c r="M13" s="30">
        <f>IF(K13="","",K13+L13)</f>
        <v/>
      </c>
      <c r="N13" s="71" t="n"/>
      <c r="O13" s="71" t="n"/>
      <c r="P13" s="71" t="n"/>
      <c r="Q13" s="9" t="n"/>
      <c r="R13" s="9" t="n"/>
      <c r="S13" s="15">
        <f>IF(B13="","",YEAR(B13))</f>
        <v/>
      </c>
      <c r="T13" s="15">
        <f>IF(B13="","",MONTH(B13))</f>
        <v/>
      </c>
      <c r="U13" s="15">
        <f>IF(C13="","",YEAR(C13))</f>
        <v/>
      </c>
      <c r="V13" s="15">
        <f>IF(C13="","",MONTH(C13))</f>
        <v/>
      </c>
      <c r="W13" s="30">
        <f>IF(D13="","",IF(D13="Consignación",IF(O13="",0,ROUND(O13/(1+Configuracion!$B$11),0)),IF(N13="",0,ROUND(N13/(1+Configuracion!$B$11),0))))</f>
        <v/>
      </c>
      <c r="X13" s="30">
        <f>IF(W13="","",ROUND(W13*Configuracion!$B$11,0))</f>
        <v/>
      </c>
      <c r="Y13" s="30">
        <f>IF(OR(D13="",Q13&lt;&gt;"Vendido"),0,IF(D13="Consignación",0,IF(K13="",0,K13)))</f>
        <v/>
      </c>
      <c r="Z13" s="30">
        <f>IF(Q13&lt;&gt;"Vendido","",W13-Y13-IF(P13="",0,P13))</f>
        <v/>
      </c>
    </row>
    <row r="14">
      <c r="A14" s="15">
        <f>IF(D14="","",ROW()-5)</f>
        <v/>
      </c>
      <c r="B14" s="70" t="n"/>
      <c r="C14" s="70" t="n"/>
      <c r="D14" s="9" t="n"/>
      <c r="E14" s="9" t="n"/>
      <c r="F14" s="9" t="n"/>
      <c r="G14" s="11" t="n"/>
      <c r="H14" s="9" t="n"/>
      <c r="I14" s="9" t="n"/>
      <c r="J14" s="9" t="n"/>
      <c r="K14" s="71" t="n"/>
      <c r="L14" s="30">
        <f>IF(K14="","",IF(J14="Sí",ROUND(K14*Configuracion!$B$11,0),0))</f>
        <v/>
      </c>
      <c r="M14" s="30">
        <f>IF(K14="","",K14+L14)</f>
        <v/>
      </c>
      <c r="N14" s="71" t="n"/>
      <c r="O14" s="71" t="n"/>
      <c r="P14" s="71" t="n"/>
      <c r="Q14" s="9" t="n"/>
      <c r="R14" s="9" t="n"/>
      <c r="S14" s="15">
        <f>IF(B14="","",YEAR(B14))</f>
        <v/>
      </c>
      <c r="T14" s="15">
        <f>IF(B14="","",MONTH(B14))</f>
        <v/>
      </c>
      <c r="U14" s="15">
        <f>IF(C14="","",YEAR(C14))</f>
        <v/>
      </c>
      <c r="V14" s="15">
        <f>IF(C14="","",MONTH(C14))</f>
        <v/>
      </c>
      <c r="W14" s="30">
        <f>IF(D14="","",IF(D14="Consignación",IF(O14="",0,ROUND(O14/(1+Configuracion!$B$11),0)),IF(N14="",0,ROUND(N14/(1+Configuracion!$B$11),0))))</f>
        <v/>
      </c>
      <c r="X14" s="30">
        <f>IF(W14="","",ROUND(W14*Configuracion!$B$11,0))</f>
        <v/>
      </c>
      <c r="Y14" s="30">
        <f>IF(OR(D14="",Q14&lt;&gt;"Vendido"),0,IF(D14="Consignación",0,IF(K14="",0,K14)))</f>
        <v/>
      </c>
      <c r="Z14" s="30">
        <f>IF(Q14&lt;&gt;"Vendido","",W14-Y14-IF(P14="",0,P14))</f>
        <v/>
      </c>
    </row>
    <row r="15">
      <c r="A15" s="15">
        <f>IF(D15="","",ROW()-5)</f>
        <v/>
      </c>
      <c r="B15" s="70" t="n"/>
      <c r="C15" s="70" t="n"/>
      <c r="D15" s="9" t="n"/>
      <c r="E15" s="9" t="n"/>
      <c r="F15" s="9" t="n"/>
      <c r="G15" s="11" t="n"/>
      <c r="H15" s="9" t="n"/>
      <c r="I15" s="9" t="n"/>
      <c r="J15" s="9" t="n"/>
      <c r="K15" s="71" t="n"/>
      <c r="L15" s="30">
        <f>IF(K15="","",IF(J15="Sí",ROUND(K15*Configuracion!$B$11,0),0))</f>
        <v/>
      </c>
      <c r="M15" s="30">
        <f>IF(K15="","",K15+L15)</f>
        <v/>
      </c>
      <c r="N15" s="71" t="n"/>
      <c r="O15" s="71" t="n"/>
      <c r="P15" s="71" t="n"/>
      <c r="Q15" s="9" t="n"/>
      <c r="R15" s="9" t="n"/>
      <c r="S15" s="15">
        <f>IF(B15="","",YEAR(B15))</f>
        <v/>
      </c>
      <c r="T15" s="15">
        <f>IF(B15="","",MONTH(B15))</f>
        <v/>
      </c>
      <c r="U15" s="15">
        <f>IF(C15="","",YEAR(C15))</f>
        <v/>
      </c>
      <c r="V15" s="15">
        <f>IF(C15="","",MONTH(C15))</f>
        <v/>
      </c>
      <c r="W15" s="30">
        <f>IF(D15="","",IF(D15="Consignación",IF(O15="",0,ROUND(O15/(1+Configuracion!$B$11),0)),IF(N15="",0,ROUND(N15/(1+Configuracion!$B$11),0))))</f>
        <v/>
      </c>
      <c r="X15" s="30">
        <f>IF(W15="","",ROUND(W15*Configuracion!$B$11,0))</f>
        <v/>
      </c>
      <c r="Y15" s="30">
        <f>IF(OR(D15="",Q15&lt;&gt;"Vendido"),0,IF(D15="Consignación",0,IF(K15="",0,K15)))</f>
        <v/>
      </c>
      <c r="Z15" s="30">
        <f>IF(Q15&lt;&gt;"Vendido","",W15-Y15-IF(P15="",0,P15))</f>
        <v/>
      </c>
    </row>
    <row r="16">
      <c r="A16" s="15">
        <f>IF(D16="","",ROW()-5)</f>
        <v/>
      </c>
      <c r="B16" s="70" t="n"/>
      <c r="C16" s="70" t="n"/>
      <c r="D16" s="9" t="n"/>
      <c r="E16" s="9" t="n"/>
      <c r="F16" s="9" t="n"/>
      <c r="G16" s="11" t="n"/>
      <c r="H16" s="9" t="n"/>
      <c r="I16" s="9" t="n"/>
      <c r="J16" s="9" t="n"/>
      <c r="K16" s="71" t="n"/>
      <c r="L16" s="30">
        <f>IF(K16="","",IF(J16="Sí",ROUND(K16*Configuracion!$B$11,0),0))</f>
        <v/>
      </c>
      <c r="M16" s="30">
        <f>IF(K16="","",K16+L16)</f>
        <v/>
      </c>
      <c r="N16" s="71" t="n"/>
      <c r="O16" s="71" t="n"/>
      <c r="P16" s="71" t="n"/>
      <c r="Q16" s="9" t="n"/>
      <c r="R16" s="9" t="n"/>
      <c r="S16" s="15">
        <f>IF(B16="","",YEAR(B16))</f>
        <v/>
      </c>
      <c r="T16" s="15">
        <f>IF(B16="","",MONTH(B16))</f>
        <v/>
      </c>
      <c r="U16" s="15">
        <f>IF(C16="","",YEAR(C16))</f>
        <v/>
      </c>
      <c r="V16" s="15">
        <f>IF(C16="","",MONTH(C16))</f>
        <v/>
      </c>
      <c r="W16" s="30">
        <f>IF(D16="","",IF(D16="Consignación",IF(O16="",0,ROUND(O16/(1+Configuracion!$B$11),0)),IF(N16="",0,ROUND(N16/(1+Configuracion!$B$11),0))))</f>
        <v/>
      </c>
      <c r="X16" s="30">
        <f>IF(W16="","",ROUND(W16*Configuracion!$B$11,0))</f>
        <v/>
      </c>
      <c r="Y16" s="30">
        <f>IF(OR(D16="",Q16&lt;&gt;"Vendido"),0,IF(D16="Consignación",0,IF(K16="",0,K16)))</f>
        <v/>
      </c>
      <c r="Z16" s="30">
        <f>IF(Q16&lt;&gt;"Vendido","",W16-Y16-IF(P16="",0,P16))</f>
        <v/>
      </c>
    </row>
    <row r="17">
      <c r="A17" s="15">
        <f>IF(D17="","",ROW()-5)</f>
        <v/>
      </c>
      <c r="B17" s="70" t="n"/>
      <c r="C17" s="70" t="n"/>
      <c r="D17" s="9" t="n"/>
      <c r="E17" s="9" t="n"/>
      <c r="F17" s="9" t="n"/>
      <c r="G17" s="11" t="n"/>
      <c r="H17" s="9" t="n"/>
      <c r="I17" s="9" t="n"/>
      <c r="J17" s="9" t="n"/>
      <c r="K17" s="71" t="n"/>
      <c r="L17" s="30">
        <f>IF(K17="","",IF(J17="Sí",ROUND(K17*Configuracion!$B$11,0),0))</f>
        <v/>
      </c>
      <c r="M17" s="30">
        <f>IF(K17="","",K17+L17)</f>
        <v/>
      </c>
      <c r="N17" s="71" t="n"/>
      <c r="O17" s="71" t="n"/>
      <c r="P17" s="71" t="n"/>
      <c r="Q17" s="9" t="n"/>
      <c r="R17" s="9" t="n"/>
      <c r="S17" s="15">
        <f>IF(B17="","",YEAR(B17))</f>
        <v/>
      </c>
      <c r="T17" s="15">
        <f>IF(B17="","",MONTH(B17))</f>
        <v/>
      </c>
      <c r="U17" s="15">
        <f>IF(C17="","",YEAR(C17))</f>
        <v/>
      </c>
      <c r="V17" s="15">
        <f>IF(C17="","",MONTH(C17))</f>
        <v/>
      </c>
      <c r="W17" s="30">
        <f>IF(D17="","",IF(D17="Consignación",IF(O17="",0,ROUND(O17/(1+Configuracion!$B$11),0)),IF(N17="",0,ROUND(N17/(1+Configuracion!$B$11),0))))</f>
        <v/>
      </c>
      <c r="X17" s="30">
        <f>IF(W17="","",ROUND(W17*Configuracion!$B$11,0))</f>
        <v/>
      </c>
      <c r="Y17" s="30">
        <f>IF(OR(D17="",Q17&lt;&gt;"Vendido"),0,IF(D17="Consignación",0,IF(K17="",0,K17)))</f>
        <v/>
      </c>
      <c r="Z17" s="30">
        <f>IF(Q17&lt;&gt;"Vendido","",W17-Y17-IF(P17="",0,P17))</f>
        <v/>
      </c>
    </row>
    <row r="18">
      <c r="A18" s="15">
        <f>IF(D18="","",ROW()-5)</f>
        <v/>
      </c>
      <c r="B18" s="70" t="n"/>
      <c r="C18" s="70" t="n"/>
      <c r="D18" s="9" t="n"/>
      <c r="E18" s="9" t="n"/>
      <c r="F18" s="9" t="n"/>
      <c r="G18" s="11" t="n"/>
      <c r="H18" s="9" t="n"/>
      <c r="I18" s="9" t="n"/>
      <c r="J18" s="9" t="n"/>
      <c r="K18" s="71" t="n"/>
      <c r="L18" s="30">
        <f>IF(K18="","",IF(J18="Sí",ROUND(K18*Configuracion!$B$11,0),0))</f>
        <v/>
      </c>
      <c r="M18" s="30">
        <f>IF(K18="","",K18+L18)</f>
        <v/>
      </c>
      <c r="N18" s="71" t="n"/>
      <c r="O18" s="71" t="n"/>
      <c r="P18" s="71" t="n"/>
      <c r="Q18" s="9" t="n"/>
      <c r="R18" s="9" t="n"/>
      <c r="S18" s="15">
        <f>IF(B18="","",YEAR(B18))</f>
        <v/>
      </c>
      <c r="T18" s="15">
        <f>IF(B18="","",MONTH(B18))</f>
        <v/>
      </c>
      <c r="U18" s="15">
        <f>IF(C18="","",YEAR(C18))</f>
        <v/>
      </c>
      <c r="V18" s="15">
        <f>IF(C18="","",MONTH(C18))</f>
        <v/>
      </c>
      <c r="W18" s="30">
        <f>IF(D18="","",IF(D18="Consignación",IF(O18="",0,ROUND(O18/(1+Configuracion!$B$11),0)),IF(N18="",0,ROUND(N18/(1+Configuracion!$B$11),0))))</f>
        <v/>
      </c>
      <c r="X18" s="30">
        <f>IF(W18="","",ROUND(W18*Configuracion!$B$11,0))</f>
        <v/>
      </c>
      <c r="Y18" s="30">
        <f>IF(OR(D18="",Q18&lt;&gt;"Vendido"),0,IF(D18="Consignación",0,IF(K18="",0,K18)))</f>
        <v/>
      </c>
      <c r="Z18" s="30">
        <f>IF(Q18&lt;&gt;"Vendido","",W18-Y18-IF(P18="",0,P18))</f>
        <v/>
      </c>
    </row>
    <row r="19">
      <c r="A19" s="15">
        <f>IF(D19="","",ROW()-5)</f>
        <v/>
      </c>
      <c r="B19" s="70" t="n"/>
      <c r="C19" s="70" t="n"/>
      <c r="D19" s="9" t="n"/>
      <c r="E19" s="9" t="n"/>
      <c r="F19" s="9" t="n"/>
      <c r="G19" s="11" t="n"/>
      <c r="H19" s="9" t="n"/>
      <c r="I19" s="9" t="n"/>
      <c r="J19" s="9" t="n"/>
      <c r="K19" s="71" t="n"/>
      <c r="L19" s="30">
        <f>IF(K19="","",IF(J19="Sí",ROUND(K19*Configuracion!$B$11,0),0))</f>
        <v/>
      </c>
      <c r="M19" s="30">
        <f>IF(K19="","",K19+L19)</f>
        <v/>
      </c>
      <c r="N19" s="71" t="n"/>
      <c r="O19" s="71" t="n"/>
      <c r="P19" s="71" t="n"/>
      <c r="Q19" s="9" t="n"/>
      <c r="R19" s="9" t="n"/>
      <c r="S19" s="15">
        <f>IF(B19="","",YEAR(B19))</f>
        <v/>
      </c>
      <c r="T19" s="15">
        <f>IF(B19="","",MONTH(B19))</f>
        <v/>
      </c>
      <c r="U19" s="15">
        <f>IF(C19="","",YEAR(C19))</f>
        <v/>
      </c>
      <c r="V19" s="15">
        <f>IF(C19="","",MONTH(C19))</f>
        <v/>
      </c>
      <c r="W19" s="30">
        <f>IF(D19="","",IF(D19="Consignación",IF(O19="",0,ROUND(O19/(1+Configuracion!$B$11),0)),IF(N19="",0,ROUND(N19/(1+Configuracion!$B$11),0))))</f>
        <v/>
      </c>
      <c r="X19" s="30">
        <f>IF(W19="","",ROUND(W19*Configuracion!$B$11,0))</f>
        <v/>
      </c>
      <c r="Y19" s="30">
        <f>IF(OR(D19="",Q19&lt;&gt;"Vendido"),0,IF(D19="Consignación",0,IF(K19="",0,K19)))</f>
        <v/>
      </c>
      <c r="Z19" s="30">
        <f>IF(Q19&lt;&gt;"Vendido","",W19-Y19-IF(P19="",0,P19))</f>
        <v/>
      </c>
    </row>
    <row r="20">
      <c r="A20" s="15">
        <f>IF(D20="","",ROW()-5)</f>
        <v/>
      </c>
      <c r="B20" s="70" t="n"/>
      <c r="C20" s="70" t="n"/>
      <c r="D20" s="9" t="n"/>
      <c r="E20" s="9" t="n"/>
      <c r="F20" s="9" t="n"/>
      <c r="G20" s="11" t="n"/>
      <c r="H20" s="9" t="n"/>
      <c r="I20" s="9" t="n"/>
      <c r="J20" s="9" t="n"/>
      <c r="K20" s="71" t="n"/>
      <c r="L20" s="30">
        <f>IF(K20="","",IF(J20="Sí",ROUND(K20*Configuracion!$B$11,0),0))</f>
        <v/>
      </c>
      <c r="M20" s="30">
        <f>IF(K20="","",K20+L20)</f>
        <v/>
      </c>
      <c r="N20" s="71" t="n"/>
      <c r="O20" s="71" t="n"/>
      <c r="P20" s="71" t="n"/>
      <c r="Q20" s="9" t="n"/>
      <c r="R20" s="9" t="n"/>
      <c r="S20" s="15">
        <f>IF(B20="","",YEAR(B20))</f>
        <v/>
      </c>
      <c r="T20" s="15">
        <f>IF(B20="","",MONTH(B20))</f>
        <v/>
      </c>
      <c r="U20" s="15">
        <f>IF(C20="","",YEAR(C20))</f>
        <v/>
      </c>
      <c r="V20" s="15">
        <f>IF(C20="","",MONTH(C20))</f>
        <v/>
      </c>
      <c r="W20" s="30">
        <f>IF(D20="","",IF(D20="Consignación",IF(O20="",0,ROUND(O20/(1+Configuracion!$B$11),0)),IF(N20="",0,ROUND(N20/(1+Configuracion!$B$11),0))))</f>
        <v/>
      </c>
      <c r="X20" s="30">
        <f>IF(W20="","",ROUND(W20*Configuracion!$B$11,0))</f>
        <v/>
      </c>
      <c r="Y20" s="30">
        <f>IF(OR(D20="",Q20&lt;&gt;"Vendido"),0,IF(D20="Consignación",0,IF(K20="",0,K20)))</f>
        <v/>
      </c>
      <c r="Z20" s="30">
        <f>IF(Q20&lt;&gt;"Vendido","",W20-Y20-IF(P20="",0,P20))</f>
        <v/>
      </c>
    </row>
    <row r="21">
      <c r="A21" s="15">
        <f>IF(D21="","",ROW()-5)</f>
        <v/>
      </c>
      <c r="B21" s="70" t="n"/>
      <c r="C21" s="70" t="n"/>
      <c r="D21" s="9" t="n"/>
      <c r="E21" s="9" t="n"/>
      <c r="F21" s="9" t="n"/>
      <c r="G21" s="11" t="n"/>
      <c r="H21" s="9" t="n"/>
      <c r="I21" s="9" t="n"/>
      <c r="J21" s="9" t="n"/>
      <c r="K21" s="71" t="n"/>
      <c r="L21" s="30">
        <f>IF(K21="","",IF(J21="Sí",ROUND(K21*Configuracion!$B$11,0),0))</f>
        <v/>
      </c>
      <c r="M21" s="30">
        <f>IF(K21="","",K21+L21)</f>
        <v/>
      </c>
      <c r="N21" s="71" t="n"/>
      <c r="O21" s="71" t="n"/>
      <c r="P21" s="71" t="n"/>
      <c r="Q21" s="9" t="n"/>
      <c r="R21" s="9" t="n"/>
      <c r="S21" s="15">
        <f>IF(B21="","",YEAR(B21))</f>
        <v/>
      </c>
      <c r="T21" s="15">
        <f>IF(B21="","",MONTH(B21))</f>
        <v/>
      </c>
      <c r="U21" s="15">
        <f>IF(C21="","",YEAR(C21))</f>
        <v/>
      </c>
      <c r="V21" s="15">
        <f>IF(C21="","",MONTH(C21))</f>
        <v/>
      </c>
      <c r="W21" s="30">
        <f>IF(D21="","",IF(D21="Consignación",IF(O21="",0,ROUND(O21/(1+Configuracion!$B$11),0)),IF(N21="",0,ROUND(N21/(1+Configuracion!$B$11),0))))</f>
        <v/>
      </c>
      <c r="X21" s="30">
        <f>IF(W21="","",ROUND(W21*Configuracion!$B$11,0))</f>
        <v/>
      </c>
      <c r="Y21" s="30">
        <f>IF(OR(D21="",Q21&lt;&gt;"Vendido"),0,IF(D21="Consignación",0,IF(K21="",0,K21)))</f>
        <v/>
      </c>
      <c r="Z21" s="30">
        <f>IF(Q21&lt;&gt;"Vendido","",W21-Y21-IF(P21="",0,P21))</f>
        <v/>
      </c>
    </row>
    <row r="22">
      <c r="A22" s="15">
        <f>IF(D22="","",ROW()-5)</f>
        <v/>
      </c>
      <c r="B22" s="70" t="n"/>
      <c r="C22" s="70" t="n"/>
      <c r="D22" s="9" t="n"/>
      <c r="E22" s="9" t="n"/>
      <c r="F22" s="9" t="n"/>
      <c r="G22" s="11" t="n"/>
      <c r="H22" s="9" t="n"/>
      <c r="I22" s="9" t="n"/>
      <c r="J22" s="9" t="n"/>
      <c r="K22" s="71" t="n"/>
      <c r="L22" s="30">
        <f>IF(K22="","",IF(J22="Sí",ROUND(K22*Configuracion!$B$11,0),0))</f>
        <v/>
      </c>
      <c r="M22" s="30">
        <f>IF(K22="","",K22+L22)</f>
        <v/>
      </c>
      <c r="N22" s="71" t="n"/>
      <c r="O22" s="71" t="n"/>
      <c r="P22" s="71" t="n"/>
      <c r="Q22" s="9" t="n"/>
      <c r="R22" s="9" t="n"/>
      <c r="S22" s="15">
        <f>IF(B22="","",YEAR(B22))</f>
        <v/>
      </c>
      <c r="T22" s="15">
        <f>IF(B22="","",MONTH(B22))</f>
        <v/>
      </c>
      <c r="U22" s="15">
        <f>IF(C22="","",YEAR(C22))</f>
        <v/>
      </c>
      <c r="V22" s="15">
        <f>IF(C22="","",MONTH(C22))</f>
        <v/>
      </c>
      <c r="W22" s="30">
        <f>IF(D22="","",IF(D22="Consignación",IF(O22="",0,ROUND(O22/(1+Configuracion!$B$11),0)),IF(N22="",0,ROUND(N22/(1+Configuracion!$B$11),0))))</f>
        <v/>
      </c>
      <c r="X22" s="30">
        <f>IF(W22="","",ROUND(W22*Configuracion!$B$11,0))</f>
        <v/>
      </c>
      <c r="Y22" s="30">
        <f>IF(OR(D22="",Q22&lt;&gt;"Vendido"),0,IF(D22="Consignación",0,IF(K22="",0,K22)))</f>
        <v/>
      </c>
      <c r="Z22" s="30">
        <f>IF(Q22&lt;&gt;"Vendido","",W22-Y22-IF(P22="",0,P22))</f>
        <v/>
      </c>
    </row>
    <row r="23">
      <c r="A23" s="15">
        <f>IF(D23="","",ROW()-5)</f>
        <v/>
      </c>
      <c r="B23" s="70" t="n"/>
      <c r="C23" s="70" t="n"/>
      <c r="D23" s="9" t="n"/>
      <c r="E23" s="9" t="n"/>
      <c r="F23" s="9" t="n"/>
      <c r="G23" s="11" t="n"/>
      <c r="H23" s="9" t="n"/>
      <c r="I23" s="9" t="n"/>
      <c r="J23" s="9" t="n"/>
      <c r="K23" s="71" t="n"/>
      <c r="L23" s="30">
        <f>IF(K23="","",IF(J23="Sí",ROUND(K23*Configuracion!$B$11,0),0))</f>
        <v/>
      </c>
      <c r="M23" s="30">
        <f>IF(K23="","",K23+L23)</f>
        <v/>
      </c>
      <c r="N23" s="71" t="n"/>
      <c r="O23" s="71" t="n"/>
      <c r="P23" s="71" t="n"/>
      <c r="Q23" s="9" t="n"/>
      <c r="R23" s="9" t="n"/>
      <c r="S23" s="15">
        <f>IF(B23="","",YEAR(B23))</f>
        <v/>
      </c>
      <c r="T23" s="15">
        <f>IF(B23="","",MONTH(B23))</f>
        <v/>
      </c>
      <c r="U23" s="15">
        <f>IF(C23="","",YEAR(C23))</f>
        <v/>
      </c>
      <c r="V23" s="15">
        <f>IF(C23="","",MONTH(C23))</f>
        <v/>
      </c>
      <c r="W23" s="30">
        <f>IF(D23="","",IF(D23="Consignación",IF(O23="",0,ROUND(O23/(1+Configuracion!$B$11),0)),IF(N23="",0,ROUND(N23/(1+Configuracion!$B$11),0))))</f>
        <v/>
      </c>
      <c r="X23" s="30">
        <f>IF(W23="","",ROUND(W23*Configuracion!$B$11,0))</f>
        <v/>
      </c>
      <c r="Y23" s="30">
        <f>IF(OR(D23="",Q23&lt;&gt;"Vendido"),0,IF(D23="Consignación",0,IF(K23="",0,K23)))</f>
        <v/>
      </c>
      <c r="Z23" s="30">
        <f>IF(Q23&lt;&gt;"Vendido","",W23-Y23-IF(P23="",0,P23))</f>
        <v/>
      </c>
    </row>
    <row r="24">
      <c r="A24" s="15">
        <f>IF(D24="","",ROW()-5)</f>
        <v/>
      </c>
      <c r="B24" s="70" t="n"/>
      <c r="C24" s="70" t="n"/>
      <c r="D24" s="9" t="n"/>
      <c r="E24" s="9" t="n"/>
      <c r="F24" s="9" t="n"/>
      <c r="G24" s="11" t="n"/>
      <c r="H24" s="9" t="n"/>
      <c r="I24" s="9" t="n"/>
      <c r="J24" s="9" t="n"/>
      <c r="K24" s="71" t="n"/>
      <c r="L24" s="30">
        <f>IF(K24="","",IF(J24="Sí",ROUND(K24*Configuracion!$B$11,0),0))</f>
        <v/>
      </c>
      <c r="M24" s="30">
        <f>IF(K24="","",K24+L24)</f>
        <v/>
      </c>
      <c r="N24" s="71" t="n"/>
      <c r="O24" s="71" t="n"/>
      <c r="P24" s="71" t="n"/>
      <c r="Q24" s="9" t="n"/>
      <c r="R24" s="9" t="n"/>
      <c r="S24" s="15">
        <f>IF(B24="","",YEAR(B24))</f>
        <v/>
      </c>
      <c r="T24" s="15">
        <f>IF(B24="","",MONTH(B24))</f>
        <v/>
      </c>
      <c r="U24" s="15">
        <f>IF(C24="","",YEAR(C24))</f>
        <v/>
      </c>
      <c r="V24" s="15">
        <f>IF(C24="","",MONTH(C24))</f>
        <v/>
      </c>
      <c r="W24" s="30">
        <f>IF(D24="","",IF(D24="Consignación",IF(O24="",0,ROUND(O24/(1+Configuracion!$B$11),0)),IF(N24="",0,ROUND(N24/(1+Configuracion!$B$11),0))))</f>
        <v/>
      </c>
      <c r="X24" s="30">
        <f>IF(W24="","",ROUND(W24*Configuracion!$B$11,0))</f>
        <v/>
      </c>
      <c r="Y24" s="30">
        <f>IF(OR(D24="",Q24&lt;&gt;"Vendido"),0,IF(D24="Consignación",0,IF(K24="",0,K24)))</f>
        <v/>
      </c>
      <c r="Z24" s="30">
        <f>IF(Q24&lt;&gt;"Vendido","",W24-Y24-IF(P24="",0,P24))</f>
        <v/>
      </c>
    </row>
    <row r="25">
      <c r="A25" s="15">
        <f>IF(D25="","",ROW()-5)</f>
        <v/>
      </c>
      <c r="B25" s="70" t="n"/>
      <c r="C25" s="70" t="n"/>
      <c r="D25" s="9" t="n"/>
      <c r="E25" s="9" t="n"/>
      <c r="F25" s="9" t="n"/>
      <c r="G25" s="11" t="n"/>
      <c r="H25" s="9" t="n"/>
      <c r="I25" s="9" t="n"/>
      <c r="J25" s="9" t="n"/>
      <c r="K25" s="71" t="n"/>
      <c r="L25" s="30">
        <f>IF(K25="","",IF(J25="Sí",ROUND(K25*Configuracion!$B$11,0),0))</f>
        <v/>
      </c>
      <c r="M25" s="30">
        <f>IF(K25="","",K25+L25)</f>
        <v/>
      </c>
      <c r="N25" s="71" t="n"/>
      <c r="O25" s="71" t="n"/>
      <c r="P25" s="71" t="n"/>
      <c r="Q25" s="9" t="n"/>
      <c r="R25" s="9" t="n"/>
      <c r="S25" s="15">
        <f>IF(B25="","",YEAR(B25))</f>
        <v/>
      </c>
      <c r="T25" s="15">
        <f>IF(B25="","",MONTH(B25))</f>
        <v/>
      </c>
      <c r="U25" s="15">
        <f>IF(C25="","",YEAR(C25))</f>
        <v/>
      </c>
      <c r="V25" s="15">
        <f>IF(C25="","",MONTH(C25))</f>
        <v/>
      </c>
      <c r="W25" s="30">
        <f>IF(D25="","",IF(D25="Consignación",IF(O25="",0,ROUND(O25/(1+Configuracion!$B$11),0)),IF(N25="",0,ROUND(N25/(1+Configuracion!$B$11),0))))</f>
        <v/>
      </c>
      <c r="X25" s="30">
        <f>IF(W25="","",ROUND(W25*Configuracion!$B$11,0))</f>
        <v/>
      </c>
      <c r="Y25" s="30">
        <f>IF(OR(D25="",Q25&lt;&gt;"Vendido"),0,IF(D25="Consignación",0,IF(K25="",0,K25)))</f>
        <v/>
      </c>
      <c r="Z25" s="30">
        <f>IF(Q25&lt;&gt;"Vendido","",W25-Y25-IF(P25="",0,P25))</f>
        <v/>
      </c>
    </row>
    <row r="26">
      <c r="A26" s="15">
        <f>IF(D26="","",ROW()-5)</f>
        <v/>
      </c>
      <c r="B26" s="70" t="n"/>
      <c r="C26" s="70" t="n"/>
      <c r="D26" s="9" t="n"/>
      <c r="E26" s="9" t="n"/>
      <c r="F26" s="9" t="n"/>
      <c r="G26" s="11" t="n"/>
      <c r="H26" s="9" t="n"/>
      <c r="I26" s="9" t="n"/>
      <c r="J26" s="9" t="n"/>
      <c r="K26" s="71" t="n"/>
      <c r="L26" s="30">
        <f>IF(K26="","",IF(J26="Sí",ROUND(K26*Configuracion!$B$11,0),0))</f>
        <v/>
      </c>
      <c r="M26" s="30">
        <f>IF(K26="","",K26+L26)</f>
        <v/>
      </c>
      <c r="N26" s="71" t="n"/>
      <c r="O26" s="71" t="n"/>
      <c r="P26" s="71" t="n"/>
      <c r="Q26" s="9" t="n"/>
      <c r="R26" s="9" t="n"/>
      <c r="S26" s="15">
        <f>IF(B26="","",YEAR(B26))</f>
        <v/>
      </c>
      <c r="T26" s="15">
        <f>IF(B26="","",MONTH(B26))</f>
        <v/>
      </c>
      <c r="U26" s="15">
        <f>IF(C26="","",YEAR(C26))</f>
        <v/>
      </c>
      <c r="V26" s="15">
        <f>IF(C26="","",MONTH(C26))</f>
        <v/>
      </c>
      <c r="W26" s="30">
        <f>IF(D26="","",IF(D26="Consignación",IF(O26="",0,ROUND(O26/(1+Configuracion!$B$11),0)),IF(N26="",0,ROUND(N26/(1+Configuracion!$B$11),0))))</f>
        <v/>
      </c>
      <c r="X26" s="30">
        <f>IF(W26="","",ROUND(W26*Configuracion!$B$11,0))</f>
        <v/>
      </c>
      <c r="Y26" s="30">
        <f>IF(OR(D26="",Q26&lt;&gt;"Vendido"),0,IF(D26="Consignación",0,IF(K26="",0,K26)))</f>
        <v/>
      </c>
      <c r="Z26" s="30">
        <f>IF(Q26&lt;&gt;"Vendido","",W26-Y26-IF(P26="",0,P26))</f>
        <v/>
      </c>
    </row>
    <row r="27">
      <c r="A27" s="15">
        <f>IF(D27="","",ROW()-5)</f>
        <v/>
      </c>
      <c r="B27" s="70" t="n"/>
      <c r="C27" s="70" t="n"/>
      <c r="D27" s="9" t="n"/>
      <c r="E27" s="9" t="n"/>
      <c r="F27" s="9" t="n"/>
      <c r="G27" s="11" t="n"/>
      <c r="H27" s="9" t="n"/>
      <c r="I27" s="9" t="n"/>
      <c r="J27" s="9" t="n"/>
      <c r="K27" s="71" t="n"/>
      <c r="L27" s="30">
        <f>IF(K27="","",IF(J27="Sí",ROUND(K27*Configuracion!$B$11,0),0))</f>
        <v/>
      </c>
      <c r="M27" s="30">
        <f>IF(K27="","",K27+L27)</f>
        <v/>
      </c>
      <c r="N27" s="71" t="n"/>
      <c r="O27" s="71" t="n"/>
      <c r="P27" s="71" t="n"/>
      <c r="Q27" s="9" t="n"/>
      <c r="R27" s="9" t="n"/>
      <c r="S27" s="15">
        <f>IF(B27="","",YEAR(B27))</f>
        <v/>
      </c>
      <c r="T27" s="15">
        <f>IF(B27="","",MONTH(B27))</f>
        <v/>
      </c>
      <c r="U27" s="15">
        <f>IF(C27="","",YEAR(C27))</f>
        <v/>
      </c>
      <c r="V27" s="15">
        <f>IF(C27="","",MONTH(C27))</f>
        <v/>
      </c>
      <c r="W27" s="30">
        <f>IF(D27="","",IF(D27="Consignación",IF(O27="",0,ROUND(O27/(1+Configuracion!$B$11),0)),IF(N27="",0,ROUND(N27/(1+Configuracion!$B$11),0))))</f>
        <v/>
      </c>
      <c r="X27" s="30">
        <f>IF(W27="","",ROUND(W27*Configuracion!$B$11,0))</f>
        <v/>
      </c>
      <c r="Y27" s="30">
        <f>IF(OR(D27="",Q27&lt;&gt;"Vendido"),0,IF(D27="Consignación",0,IF(K27="",0,K27)))</f>
        <v/>
      </c>
      <c r="Z27" s="30">
        <f>IF(Q27&lt;&gt;"Vendido","",W27-Y27-IF(P27="",0,P27))</f>
        <v/>
      </c>
    </row>
    <row r="28">
      <c r="A28" s="15">
        <f>IF(D28="","",ROW()-5)</f>
        <v/>
      </c>
      <c r="B28" s="70" t="n"/>
      <c r="C28" s="70" t="n"/>
      <c r="D28" s="9" t="n"/>
      <c r="E28" s="9" t="n"/>
      <c r="F28" s="9" t="n"/>
      <c r="G28" s="11" t="n"/>
      <c r="H28" s="9" t="n"/>
      <c r="I28" s="9" t="n"/>
      <c r="J28" s="9" t="n"/>
      <c r="K28" s="71" t="n"/>
      <c r="L28" s="30">
        <f>IF(K28="","",IF(J28="Sí",ROUND(K28*Configuracion!$B$11,0),0))</f>
        <v/>
      </c>
      <c r="M28" s="30">
        <f>IF(K28="","",K28+L28)</f>
        <v/>
      </c>
      <c r="N28" s="71" t="n"/>
      <c r="O28" s="71" t="n"/>
      <c r="P28" s="71" t="n"/>
      <c r="Q28" s="9" t="n"/>
      <c r="R28" s="9" t="n"/>
      <c r="S28" s="15">
        <f>IF(B28="","",YEAR(B28))</f>
        <v/>
      </c>
      <c r="T28" s="15">
        <f>IF(B28="","",MONTH(B28))</f>
        <v/>
      </c>
      <c r="U28" s="15">
        <f>IF(C28="","",YEAR(C28))</f>
        <v/>
      </c>
      <c r="V28" s="15">
        <f>IF(C28="","",MONTH(C28))</f>
        <v/>
      </c>
      <c r="W28" s="30">
        <f>IF(D28="","",IF(D28="Consignación",IF(O28="",0,ROUND(O28/(1+Configuracion!$B$11),0)),IF(N28="",0,ROUND(N28/(1+Configuracion!$B$11),0))))</f>
        <v/>
      </c>
      <c r="X28" s="30">
        <f>IF(W28="","",ROUND(W28*Configuracion!$B$11,0))</f>
        <v/>
      </c>
      <c r="Y28" s="30">
        <f>IF(OR(D28="",Q28&lt;&gt;"Vendido"),0,IF(D28="Consignación",0,IF(K28="",0,K28)))</f>
        <v/>
      </c>
      <c r="Z28" s="30">
        <f>IF(Q28&lt;&gt;"Vendido","",W28-Y28-IF(P28="",0,P28))</f>
        <v/>
      </c>
    </row>
    <row r="29">
      <c r="A29" s="15">
        <f>IF(D29="","",ROW()-5)</f>
        <v/>
      </c>
      <c r="B29" s="70" t="n"/>
      <c r="C29" s="70" t="n"/>
      <c r="D29" s="9" t="n"/>
      <c r="E29" s="9" t="n"/>
      <c r="F29" s="9" t="n"/>
      <c r="G29" s="11" t="n"/>
      <c r="H29" s="9" t="n"/>
      <c r="I29" s="9" t="n"/>
      <c r="J29" s="9" t="n"/>
      <c r="K29" s="71" t="n"/>
      <c r="L29" s="30">
        <f>IF(K29="","",IF(J29="Sí",ROUND(K29*Configuracion!$B$11,0),0))</f>
        <v/>
      </c>
      <c r="M29" s="30">
        <f>IF(K29="","",K29+L29)</f>
        <v/>
      </c>
      <c r="N29" s="71" t="n"/>
      <c r="O29" s="71" t="n"/>
      <c r="P29" s="71" t="n"/>
      <c r="Q29" s="9" t="n"/>
      <c r="R29" s="9" t="n"/>
      <c r="S29" s="15">
        <f>IF(B29="","",YEAR(B29))</f>
        <v/>
      </c>
      <c r="T29" s="15">
        <f>IF(B29="","",MONTH(B29))</f>
        <v/>
      </c>
      <c r="U29" s="15">
        <f>IF(C29="","",YEAR(C29))</f>
        <v/>
      </c>
      <c r="V29" s="15">
        <f>IF(C29="","",MONTH(C29))</f>
        <v/>
      </c>
      <c r="W29" s="30">
        <f>IF(D29="","",IF(D29="Consignación",IF(O29="",0,ROUND(O29/(1+Configuracion!$B$11),0)),IF(N29="",0,ROUND(N29/(1+Configuracion!$B$11),0))))</f>
        <v/>
      </c>
      <c r="X29" s="30">
        <f>IF(W29="","",ROUND(W29*Configuracion!$B$11,0))</f>
        <v/>
      </c>
      <c r="Y29" s="30">
        <f>IF(OR(D29="",Q29&lt;&gt;"Vendido"),0,IF(D29="Consignación",0,IF(K29="",0,K29)))</f>
        <v/>
      </c>
      <c r="Z29" s="30">
        <f>IF(Q29&lt;&gt;"Vendido","",W29-Y29-IF(P29="",0,P29))</f>
        <v/>
      </c>
    </row>
    <row r="30">
      <c r="A30" s="15">
        <f>IF(D30="","",ROW()-5)</f>
        <v/>
      </c>
      <c r="B30" s="70" t="n"/>
      <c r="C30" s="70" t="n"/>
      <c r="D30" s="9" t="n"/>
      <c r="E30" s="9" t="n"/>
      <c r="F30" s="9" t="n"/>
      <c r="G30" s="11" t="n"/>
      <c r="H30" s="9" t="n"/>
      <c r="I30" s="9" t="n"/>
      <c r="J30" s="9" t="n"/>
      <c r="K30" s="71" t="n"/>
      <c r="L30" s="30">
        <f>IF(K30="","",IF(J30="Sí",ROUND(K30*Configuracion!$B$11,0),0))</f>
        <v/>
      </c>
      <c r="M30" s="30">
        <f>IF(K30="","",K30+L30)</f>
        <v/>
      </c>
      <c r="N30" s="71" t="n"/>
      <c r="O30" s="71" t="n"/>
      <c r="P30" s="71" t="n"/>
      <c r="Q30" s="9" t="n"/>
      <c r="R30" s="9" t="n"/>
      <c r="S30" s="15">
        <f>IF(B30="","",YEAR(B30))</f>
        <v/>
      </c>
      <c r="T30" s="15">
        <f>IF(B30="","",MONTH(B30))</f>
        <v/>
      </c>
      <c r="U30" s="15">
        <f>IF(C30="","",YEAR(C30))</f>
        <v/>
      </c>
      <c r="V30" s="15">
        <f>IF(C30="","",MONTH(C30))</f>
        <v/>
      </c>
      <c r="W30" s="30">
        <f>IF(D30="","",IF(D30="Consignación",IF(O30="",0,ROUND(O30/(1+Configuracion!$B$11),0)),IF(N30="",0,ROUND(N30/(1+Configuracion!$B$11),0))))</f>
        <v/>
      </c>
      <c r="X30" s="30">
        <f>IF(W30="","",ROUND(W30*Configuracion!$B$11,0))</f>
        <v/>
      </c>
      <c r="Y30" s="30">
        <f>IF(OR(D30="",Q30&lt;&gt;"Vendido"),0,IF(D30="Consignación",0,IF(K30="",0,K30)))</f>
        <v/>
      </c>
      <c r="Z30" s="30">
        <f>IF(Q30&lt;&gt;"Vendido","",W30-Y30-IF(P30="",0,P30))</f>
        <v/>
      </c>
    </row>
    <row r="31">
      <c r="A31" s="15">
        <f>IF(D31="","",ROW()-5)</f>
        <v/>
      </c>
      <c r="B31" s="70" t="n"/>
      <c r="C31" s="70" t="n"/>
      <c r="D31" s="9" t="n"/>
      <c r="E31" s="9" t="n"/>
      <c r="F31" s="9" t="n"/>
      <c r="G31" s="11" t="n"/>
      <c r="H31" s="9" t="n"/>
      <c r="I31" s="9" t="n"/>
      <c r="J31" s="9" t="n"/>
      <c r="K31" s="71" t="n"/>
      <c r="L31" s="30">
        <f>IF(K31="","",IF(J31="Sí",ROUND(K31*Configuracion!$B$11,0),0))</f>
        <v/>
      </c>
      <c r="M31" s="30">
        <f>IF(K31="","",K31+L31)</f>
        <v/>
      </c>
      <c r="N31" s="71" t="n"/>
      <c r="O31" s="71" t="n"/>
      <c r="P31" s="71" t="n"/>
      <c r="Q31" s="9" t="n"/>
      <c r="R31" s="9" t="n"/>
      <c r="S31" s="15">
        <f>IF(B31="","",YEAR(B31))</f>
        <v/>
      </c>
      <c r="T31" s="15">
        <f>IF(B31="","",MONTH(B31))</f>
        <v/>
      </c>
      <c r="U31" s="15">
        <f>IF(C31="","",YEAR(C31))</f>
        <v/>
      </c>
      <c r="V31" s="15">
        <f>IF(C31="","",MONTH(C31))</f>
        <v/>
      </c>
      <c r="W31" s="30">
        <f>IF(D31="","",IF(D31="Consignación",IF(O31="",0,ROUND(O31/(1+Configuracion!$B$11),0)),IF(N31="",0,ROUND(N31/(1+Configuracion!$B$11),0))))</f>
        <v/>
      </c>
      <c r="X31" s="30">
        <f>IF(W31="","",ROUND(W31*Configuracion!$B$11,0))</f>
        <v/>
      </c>
      <c r="Y31" s="30">
        <f>IF(OR(D31="",Q31&lt;&gt;"Vendido"),0,IF(D31="Consignación",0,IF(K31="",0,K31)))</f>
        <v/>
      </c>
      <c r="Z31" s="30">
        <f>IF(Q31&lt;&gt;"Vendido","",W31-Y31-IF(P31="",0,P31))</f>
        <v/>
      </c>
    </row>
    <row r="32">
      <c r="A32" s="15">
        <f>IF(D32="","",ROW()-5)</f>
        <v/>
      </c>
      <c r="B32" s="70" t="n"/>
      <c r="C32" s="70" t="n"/>
      <c r="D32" s="9" t="n"/>
      <c r="E32" s="9" t="n"/>
      <c r="F32" s="9" t="n"/>
      <c r="G32" s="11" t="n"/>
      <c r="H32" s="9" t="n"/>
      <c r="I32" s="9" t="n"/>
      <c r="J32" s="9" t="n"/>
      <c r="K32" s="71" t="n"/>
      <c r="L32" s="30">
        <f>IF(K32="","",IF(J32="Sí",ROUND(K32*Configuracion!$B$11,0),0))</f>
        <v/>
      </c>
      <c r="M32" s="30">
        <f>IF(K32="","",K32+L32)</f>
        <v/>
      </c>
      <c r="N32" s="71" t="n"/>
      <c r="O32" s="71" t="n"/>
      <c r="P32" s="71" t="n"/>
      <c r="Q32" s="9" t="n"/>
      <c r="R32" s="9" t="n"/>
      <c r="S32" s="15">
        <f>IF(B32="","",YEAR(B32))</f>
        <v/>
      </c>
      <c r="T32" s="15">
        <f>IF(B32="","",MONTH(B32))</f>
        <v/>
      </c>
      <c r="U32" s="15">
        <f>IF(C32="","",YEAR(C32))</f>
        <v/>
      </c>
      <c r="V32" s="15">
        <f>IF(C32="","",MONTH(C32))</f>
        <v/>
      </c>
      <c r="W32" s="30">
        <f>IF(D32="","",IF(D32="Consignación",IF(O32="",0,ROUND(O32/(1+Configuracion!$B$11),0)),IF(N32="",0,ROUND(N32/(1+Configuracion!$B$11),0))))</f>
        <v/>
      </c>
      <c r="X32" s="30">
        <f>IF(W32="","",ROUND(W32*Configuracion!$B$11,0))</f>
        <v/>
      </c>
      <c r="Y32" s="30">
        <f>IF(OR(D32="",Q32&lt;&gt;"Vendido"),0,IF(D32="Consignación",0,IF(K32="",0,K32)))</f>
        <v/>
      </c>
      <c r="Z32" s="30">
        <f>IF(Q32&lt;&gt;"Vendido","",W32-Y32-IF(P32="",0,P32))</f>
        <v/>
      </c>
    </row>
    <row r="33">
      <c r="A33" s="15">
        <f>IF(D33="","",ROW()-5)</f>
        <v/>
      </c>
      <c r="B33" s="70" t="n"/>
      <c r="C33" s="70" t="n"/>
      <c r="D33" s="9" t="n"/>
      <c r="E33" s="9" t="n"/>
      <c r="F33" s="9" t="n"/>
      <c r="G33" s="11" t="n"/>
      <c r="H33" s="9" t="n"/>
      <c r="I33" s="9" t="n"/>
      <c r="J33" s="9" t="n"/>
      <c r="K33" s="71" t="n"/>
      <c r="L33" s="30">
        <f>IF(K33="","",IF(J33="Sí",ROUND(K33*Configuracion!$B$11,0),0))</f>
        <v/>
      </c>
      <c r="M33" s="30">
        <f>IF(K33="","",K33+L33)</f>
        <v/>
      </c>
      <c r="N33" s="71" t="n"/>
      <c r="O33" s="71" t="n"/>
      <c r="P33" s="71" t="n"/>
      <c r="Q33" s="9" t="n"/>
      <c r="R33" s="9" t="n"/>
      <c r="S33" s="15">
        <f>IF(B33="","",YEAR(B33))</f>
        <v/>
      </c>
      <c r="T33" s="15">
        <f>IF(B33="","",MONTH(B33))</f>
        <v/>
      </c>
      <c r="U33" s="15">
        <f>IF(C33="","",YEAR(C33))</f>
        <v/>
      </c>
      <c r="V33" s="15">
        <f>IF(C33="","",MONTH(C33))</f>
        <v/>
      </c>
      <c r="W33" s="30">
        <f>IF(D33="","",IF(D33="Consignación",IF(O33="",0,ROUND(O33/(1+Configuracion!$B$11),0)),IF(N33="",0,ROUND(N33/(1+Configuracion!$B$11),0))))</f>
        <v/>
      </c>
      <c r="X33" s="30">
        <f>IF(W33="","",ROUND(W33*Configuracion!$B$11,0))</f>
        <v/>
      </c>
      <c r="Y33" s="30">
        <f>IF(OR(D33="",Q33&lt;&gt;"Vendido"),0,IF(D33="Consignación",0,IF(K33="",0,K33)))</f>
        <v/>
      </c>
      <c r="Z33" s="30">
        <f>IF(Q33&lt;&gt;"Vendido","",W33-Y33-IF(P33="",0,P33))</f>
        <v/>
      </c>
    </row>
    <row r="34">
      <c r="A34" s="15">
        <f>IF(D34="","",ROW()-5)</f>
        <v/>
      </c>
      <c r="B34" s="70" t="n"/>
      <c r="C34" s="70" t="n"/>
      <c r="D34" s="9" t="n"/>
      <c r="E34" s="9" t="n"/>
      <c r="F34" s="9" t="n"/>
      <c r="G34" s="11" t="n"/>
      <c r="H34" s="9" t="n"/>
      <c r="I34" s="9" t="n"/>
      <c r="J34" s="9" t="n"/>
      <c r="K34" s="71" t="n"/>
      <c r="L34" s="30">
        <f>IF(K34="","",IF(J34="Sí",ROUND(K34*Configuracion!$B$11,0),0))</f>
        <v/>
      </c>
      <c r="M34" s="30">
        <f>IF(K34="","",K34+L34)</f>
        <v/>
      </c>
      <c r="N34" s="71" t="n"/>
      <c r="O34" s="71" t="n"/>
      <c r="P34" s="71" t="n"/>
      <c r="Q34" s="9" t="n"/>
      <c r="R34" s="9" t="n"/>
      <c r="S34" s="15">
        <f>IF(B34="","",YEAR(B34))</f>
        <v/>
      </c>
      <c r="T34" s="15">
        <f>IF(B34="","",MONTH(B34))</f>
        <v/>
      </c>
      <c r="U34" s="15">
        <f>IF(C34="","",YEAR(C34))</f>
        <v/>
      </c>
      <c r="V34" s="15">
        <f>IF(C34="","",MONTH(C34))</f>
        <v/>
      </c>
      <c r="W34" s="30">
        <f>IF(D34="","",IF(D34="Consignación",IF(O34="",0,ROUND(O34/(1+Configuracion!$B$11),0)),IF(N34="",0,ROUND(N34/(1+Configuracion!$B$11),0))))</f>
        <v/>
      </c>
      <c r="X34" s="30">
        <f>IF(W34="","",ROUND(W34*Configuracion!$B$11,0))</f>
        <v/>
      </c>
      <c r="Y34" s="30">
        <f>IF(OR(D34="",Q34&lt;&gt;"Vendido"),0,IF(D34="Consignación",0,IF(K34="",0,K34)))</f>
        <v/>
      </c>
      <c r="Z34" s="30">
        <f>IF(Q34&lt;&gt;"Vendido","",W34-Y34-IF(P34="",0,P34))</f>
        <v/>
      </c>
    </row>
    <row r="35">
      <c r="A35" s="15">
        <f>IF(D35="","",ROW()-5)</f>
        <v/>
      </c>
      <c r="B35" s="70" t="n"/>
      <c r="C35" s="70" t="n"/>
      <c r="D35" s="9" t="n"/>
      <c r="E35" s="9" t="n"/>
      <c r="F35" s="9" t="n"/>
      <c r="G35" s="11" t="n"/>
      <c r="H35" s="9" t="n"/>
      <c r="I35" s="9" t="n"/>
      <c r="J35" s="9" t="n"/>
      <c r="K35" s="71" t="n"/>
      <c r="L35" s="30">
        <f>IF(K35="","",IF(J35="Sí",ROUND(K35*Configuracion!$B$11,0),0))</f>
        <v/>
      </c>
      <c r="M35" s="30">
        <f>IF(K35="","",K35+L35)</f>
        <v/>
      </c>
      <c r="N35" s="71" t="n"/>
      <c r="O35" s="71" t="n"/>
      <c r="P35" s="71" t="n"/>
      <c r="Q35" s="9" t="n"/>
      <c r="R35" s="9" t="n"/>
      <c r="S35" s="15">
        <f>IF(B35="","",YEAR(B35))</f>
        <v/>
      </c>
      <c r="T35" s="15">
        <f>IF(B35="","",MONTH(B35))</f>
        <v/>
      </c>
      <c r="U35" s="15">
        <f>IF(C35="","",YEAR(C35))</f>
        <v/>
      </c>
      <c r="V35" s="15">
        <f>IF(C35="","",MONTH(C35))</f>
        <v/>
      </c>
      <c r="W35" s="30">
        <f>IF(D35="","",IF(D35="Consignación",IF(O35="",0,ROUND(O35/(1+Configuracion!$B$11),0)),IF(N35="",0,ROUND(N35/(1+Configuracion!$B$11),0))))</f>
        <v/>
      </c>
      <c r="X35" s="30">
        <f>IF(W35="","",ROUND(W35*Configuracion!$B$11,0))</f>
        <v/>
      </c>
      <c r="Y35" s="30">
        <f>IF(OR(D35="",Q35&lt;&gt;"Vendido"),0,IF(D35="Consignación",0,IF(K35="",0,K35)))</f>
        <v/>
      </c>
      <c r="Z35" s="30">
        <f>IF(Q35&lt;&gt;"Vendido","",W35-Y35-IF(P35="",0,P35))</f>
        <v/>
      </c>
    </row>
    <row r="36">
      <c r="A36" s="15">
        <f>IF(D36="","",ROW()-5)</f>
        <v/>
      </c>
      <c r="B36" s="70" t="n"/>
      <c r="C36" s="70" t="n"/>
      <c r="D36" s="9" t="n"/>
      <c r="E36" s="9" t="n"/>
      <c r="F36" s="9" t="n"/>
      <c r="G36" s="11" t="n"/>
      <c r="H36" s="9" t="n"/>
      <c r="I36" s="9" t="n"/>
      <c r="J36" s="9" t="n"/>
      <c r="K36" s="71" t="n"/>
      <c r="L36" s="30">
        <f>IF(K36="","",IF(J36="Sí",ROUND(K36*Configuracion!$B$11,0),0))</f>
        <v/>
      </c>
      <c r="M36" s="30">
        <f>IF(K36="","",K36+L36)</f>
        <v/>
      </c>
      <c r="N36" s="71" t="n"/>
      <c r="O36" s="71" t="n"/>
      <c r="P36" s="71" t="n"/>
      <c r="Q36" s="9" t="n"/>
      <c r="R36" s="9" t="n"/>
      <c r="S36" s="15">
        <f>IF(B36="","",YEAR(B36))</f>
        <v/>
      </c>
      <c r="T36" s="15">
        <f>IF(B36="","",MONTH(B36))</f>
        <v/>
      </c>
      <c r="U36" s="15">
        <f>IF(C36="","",YEAR(C36))</f>
        <v/>
      </c>
      <c r="V36" s="15">
        <f>IF(C36="","",MONTH(C36))</f>
        <v/>
      </c>
      <c r="W36" s="30">
        <f>IF(D36="","",IF(D36="Consignación",IF(O36="",0,ROUND(O36/(1+Configuracion!$B$11),0)),IF(N36="",0,ROUND(N36/(1+Configuracion!$B$11),0))))</f>
        <v/>
      </c>
      <c r="X36" s="30">
        <f>IF(W36="","",ROUND(W36*Configuracion!$B$11,0))</f>
        <v/>
      </c>
      <c r="Y36" s="30">
        <f>IF(OR(D36="",Q36&lt;&gt;"Vendido"),0,IF(D36="Consignación",0,IF(K36="",0,K36)))</f>
        <v/>
      </c>
      <c r="Z36" s="30">
        <f>IF(Q36&lt;&gt;"Vendido","",W36-Y36-IF(P36="",0,P36))</f>
        <v/>
      </c>
    </row>
    <row r="37">
      <c r="A37" s="15">
        <f>IF(D37="","",ROW()-5)</f>
        <v/>
      </c>
      <c r="B37" s="70" t="n"/>
      <c r="C37" s="70" t="n"/>
      <c r="D37" s="9" t="n"/>
      <c r="E37" s="9" t="n"/>
      <c r="F37" s="9" t="n"/>
      <c r="G37" s="11" t="n"/>
      <c r="H37" s="9" t="n"/>
      <c r="I37" s="9" t="n"/>
      <c r="J37" s="9" t="n"/>
      <c r="K37" s="71" t="n"/>
      <c r="L37" s="30">
        <f>IF(K37="","",IF(J37="Sí",ROUND(K37*Configuracion!$B$11,0),0))</f>
        <v/>
      </c>
      <c r="M37" s="30">
        <f>IF(K37="","",K37+L37)</f>
        <v/>
      </c>
      <c r="N37" s="71" t="n"/>
      <c r="O37" s="71" t="n"/>
      <c r="P37" s="71" t="n"/>
      <c r="Q37" s="9" t="n"/>
      <c r="R37" s="9" t="n"/>
      <c r="S37" s="15">
        <f>IF(B37="","",YEAR(B37))</f>
        <v/>
      </c>
      <c r="T37" s="15">
        <f>IF(B37="","",MONTH(B37))</f>
        <v/>
      </c>
      <c r="U37" s="15">
        <f>IF(C37="","",YEAR(C37))</f>
        <v/>
      </c>
      <c r="V37" s="15">
        <f>IF(C37="","",MONTH(C37))</f>
        <v/>
      </c>
      <c r="W37" s="30">
        <f>IF(D37="","",IF(D37="Consignación",IF(O37="",0,ROUND(O37/(1+Configuracion!$B$11),0)),IF(N37="",0,ROUND(N37/(1+Configuracion!$B$11),0))))</f>
        <v/>
      </c>
      <c r="X37" s="30">
        <f>IF(W37="","",ROUND(W37*Configuracion!$B$11,0))</f>
        <v/>
      </c>
      <c r="Y37" s="30">
        <f>IF(OR(D37="",Q37&lt;&gt;"Vendido"),0,IF(D37="Consignación",0,IF(K37="",0,K37)))</f>
        <v/>
      </c>
      <c r="Z37" s="30">
        <f>IF(Q37&lt;&gt;"Vendido","",W37-Y37-IF(P37="",0,P37))</f>
        <v/>
      </c>
    </row>
    <row r="38">
      <c r="A38" s="15">
        <f>IF(D38="","",ROW()-5)</f>
        <v/>
      </c>
      <c r="B38" s="70" t="n"/>
      <c r="C38" s="70" t="n"/>
      <c r="D38" s="9" t="n"/>
      <c r="E38" s="9" t="n"/>
      <c r="F38" s="9" t="n"/>
      <c r="G38" s="11" t="n"/>
      <c r="H38" s="9" t="n"/>
      <c r="I38" s="9" t="n"/>
      <c r="J38" s="9" t="n"/>
      <c r="K38" s="71" t="n"/>
      <c r="L38" s="30">
        <f>IF(K38="","",IF(J38="Sí",ROUND(K38*Configuracion!$B$11,0),0))</f>
        <v/>
      </c>
      <c r="M38" s="30">
        <f>IF(K38="","",K38+L38)</f>
        <v/>
      </c>
      <c r="N38" s="71" t="n"/>
      <c r="O38" s="71" t="n"/>
      <c r="P38" s="71" t="n"/>
      <c r="Q38" s="9" t="n"/>
      <c r="R38" s="9" t="n"/>
      <c r="S38" s="15">
        <f>IF(B38="","",YEAR(B38))</f>
        <v/>
      </c>
      <c r="T38" s="15">
        <f>IF(B38="","",MONTH(B38))</f>
        <v/>
      </c>
      <c r="U38" s="15">
        <f>IF(C38="","",YEAR(C38))</f>
        <v/>
      </c>
      <c r="V38" s="15">
        <f>IF(C38="","",MONTH(C38))</f>
        <v/>
      </c>
      <c r="W38" s="30">
        <f>IF(D38="","",IF(D38="Consignación",IF(O38="",0,ROUND(O38/(1+Configuracion!$B$11),0)),IF(N38="",0,ROUND(N38/(1+Configuracion!$B$11),0))))</f>
        <v/>
      </c>
      <c r="X38" s="30">
        <f>IF(W38="","",ROUND(W38*Configuracion!$B$11,0))</f>
        <v/>
      </c>
      <c r="Y38" s="30">
        <f>IF(OR(D38="",Q38&lt;&gt;"Vendido"),0,IF(D38="Consignación",0,IF(K38="",0,K38)))</f>
        <v/>
      </c>
      <c r="Z38" s="30">
        <f>IF(Q38&lt;&gt;"Vendido","",W38-Y38-IF(P38="",0,P38))</f>
        <v/>
      </c>
    </row>
    <row r="39">
      <c r="A39" s="15">
        <f>IF(D39="","",ROW()-5)</f>
        <v/>
      </c>
      <c r="B39" s="70" t="n"/>
      <c r="C39" s="70" t="n"/>
      <c r="D39" s="9" t="n"/>
      <c r="E39" s="9" t="n"/>
      <c r="F39" s="9" t="n"/>
      <c r="G39" s="11" t="n"/>
      <c r="H39" s="9" t="n"/>
      <c r="I39" s="9" t="n"/>
      <c r="J39" s="9" t="n"/>
      <c r="K39" s="71" t="n"/>
      <c r="L39" s="30">
        <f>IF(K39="","",IF(J39="Sí",ROUND(K39*Configuracion!$B$11,0),0))</f>
        <v/>
      </c>
      <c r="M39" s="30">
        <f>IF(K39="","",K39+L39)</f>
        <v/>
      </c>
      <c r="N39" s="71" t="n"/>
      <c r="O39" s="71" t="n"/>
      <c r="P39" s="71" t="n"/>
      <c r="Q39" s="9" t="n"/>
      <c r="R39" s="9" t="n"/>
      <c r="S39" s="15">
        <f>IF(B39="","",YEAR(B39))</f>
        <v/>
      </c>
      <c r="T39" s="15">
        <f>IF(B39="","",MONTH(B39))</f>
        <v/>
      </c>
      <c r="U39" s="15">
        <f>IF(C39="","",YEAR(C39))</f>
        <v/>
      </c>
      <c r="V39" s="15">
        <f>IF(C39="","",MONTH(C39))</f>
        <v/>
      </c>
      <c r="W39" s="30">
        <f>IF(D39="","",IF(D39="Consignación",IF(O39="",0,ROUND(O39/(1+Configuracion!$B$11),0)),IF(N39="",0,ROUND(N39/(1+Configuracion!$B$11),0))))</f>
        <v/>
      </c>
      <c r="X39" s="30">
        <f>IF(W39="","",ROUND(W39*Configuracion!$B$11,0))</f>
        <v/>
      </c>
      <c r="Y39" s="30">
        <f>IF(OR(D39="",Q39&lt;&gt;"Vendido"),0,IF(D39="Consignación",0,IF(K39="",0,K39)))</f>
        <v/>
      </c>
      <c r="Z39" s="30">
        <f>IF(Q39&lt;&gt;"Vendido","",W39-Y39-IF(P39="",0,P39))</f>
        <v/>
      </c>
    </row>
    <row r="40">
      <c r="A40" s="15">
        <f>IF(D40="","",ROW()-5)</f>
        <v/>
      </c>
      <c r="B40" s="70" t="n"/>
      <c r="C40" s="70" t="n"/>
      <c r="D40" s="9" t="n"/>
      <c r="E40" s="9" t="n"/>
      <c r="F40" s="9" t="n"/>
      <c r="G40" s="11" t="n"/>
      <c r="H40" s="9" t="n"/>
      <c r="I40" s="9" t="n"/>
      <c r="J40" s="9" t="n"/>
      <c r="K40" s="71" t="n"/>
      <c r="L40" s="30">
        <f>IF(K40="","",IF(J40="Sí",ROUND(K40*Configuracion!$B$11,0),0))</f>
        <v/>
      </c>
      <c r="M40" s="30">
        <f>IF(K40="","",K40+L40)</f>
        <v/>
      </c>
      <c r="N40" s="71" t="n"/>
      <c r="O40" s="71" t="n"/>
      <c r="P40" s="71" t="n"/>
      <c r="Q40" s="9" t="n"/>
      <c r="R40" s="9" t="n"/>
      <c r="S40" s="15">
        <f>IF(B40="","",YEAR(B40))</f>
        <v/>
      </c>
      <c r="T40" s="15">
        <f>IF(B40="","",MONTH(B40))</f>
        <v/>
      </c>
      <c r="U40" s="15">
        <f>IF(C40="","",YEAR(C40))</f>
        <v/>
      </c>
      <c r="V40" s="15">
        <f>IF(C40="","",MONTH(C40))</f>
        <v/>
      </c>
      <c r="W40" s="30">
        <f>IF(D40="","",IF(D40="Consignación",IF(O40="",0,ROUND(O40/(1+Configuracion!$B$11),0)),IF(N40="",0,ROUND(N40/(1+Configuracion!$B$11),0))))</f>
        <v/>
      </c>
      <c r="X40" s="30">
        <f>IF(W40="","",ROUND(W40*Configuracion!$B$11,0))</f>
        <v/>
      </c>
      <c r="Y40" s="30">
        <f>IF(OR(D40="",Q40&lt;&gt;"Vendido"),0,IF(D40="Consignación",0,IF(K40="",0,K40)))</f>
        <v/>
      </c>
      <c r="Z40" s="30">
        <f>IF(Q40&lt;&gt;"Vendido","",W40-Y40-IF(P40="",0,P40))</f>
        <v/>
      </c>
    </row>
    <row r="41">
      <c r="A41" s="15">
        <f>IF(D41="","",ROW()-5)</f>
        <v/>
      </c>
      <c r="B41" s="70" t="n"/>
      <c r="C41" s="70" t="n"/>
      <c r="D41" s="9" t="n"/>
      <c r="E41" s="9" t="n"/>
      <c r="F41" s="9" t="n"/>
      <c r="G41" s="11" t="n"/>
      <c r="H41" s="9" t="n"/>
      <c r="I41" s="9" t="n"/>
      <c r="J41" s="9" t="n"/>
      <c r="K41" s="71" t="n"/>
      <c r="L41" s="30">
        <f>IF(K41="","",IF(J41="Sí",ROUND(K41*Configuracion!$B$11,0),0))</f>
        <v/>
      </c>
      <c r="M41" s="30">
        <f>IF(K41="","",K41+L41)</f>
        <v/>
      </c>
      <c r="N41" s="71" t="n"/>
      <c r="O41" s="71" t="n"/>
      <c r="P41" s="71" t="n"/>
      <c r="Q41" s="9" t="n"/>
      <c r="R41" s="9" t="n"/>
      <c r="S41" s="15">
        <f>IF(B41="","",YEAR(B41))</f>
        <v/>
      </c>
      <c r="T41" s="15">
        <f>IF(B41="","",MONTH(B41))</f>
        <v/>
      </c>
      <c r="U41" s="15">
        <f>IF(C41="","",YEAR(C41))</f>
        <v/>
      </c>
      <c r="V41" s="15">
        <f>IF(C41="","",MONTH(C41))</f>
        <v/>
      </c>
      <c r="W41" s="30">
        <f>IF(D41="","",IF(D41="Consignación",IF(O41="",0,ROUND(O41/(1+Configuracion!$B$11),0)),IF(N41="",0,ROUND(N41/(1+Configuracion!$B$11),0))))</f>
        <v/>
      </c>
      <c r="X41" s="30">
        <f>IF(W41="","",ROUND(W41*Configuracion!$B$11,0))</f>
        <v/>
      </c>
      <c r="Y41" s="30">
        <f>IF(OR(D41="",Q41&lt;&gt;"Vendido"),0,IF(D41="Consignación",0,IF(K41="",0,K41)))</f>
        <v/>
      </c>
      <c r="Z41" s="30">
        <f>IF(Q41&lt;&gt;"Vendido","",W41-Y41-IF(P41="",0,P41))</f>
        <v/>
      </c>
    </row>
    <row r="42">
      <c r="A42" s="15">
        <f>IF(D42="","",ROW()-5)</f>
        <v/>
      </c>
      <c r="B42" s="70" t="n"/>
      <c r="C42" s="70" t="n"/>
      <c r="D42" s="9" t="n"/>
      <c r="E42" s="9" t="n"/>
      <c r="F42" s="9" t="n"/>
      <c r="G42" s="11" t="n"/>
      <c r="H42" s="9" t="n"/>
      <c r="I42" s="9" t="n"/>
      <c r="J42" s="9" t="n"/>
      <c r="K42" s="71" t="n"/>
      <c r="L42" s="30">
        <f>IF(K42="","",IF(J42="Sí",ROUND(K42*Configuracion!$B$11,0),0))</f>
        <v/>
      </c>
      <c r="M42" s="30">
        <f>IF(K42="","",K42+L42)</f>
        <v/>
      </c>
      <c r="N42" s="71" t="n"/>
      <c r="O42" s="71" t="n"/>
      <c r="P42" s="71" t="n"/>
      <c r="Q42" s="9" t="n"/>
      <c r="R42" s="9" t="n"/>
      <c r="S42" s="15">
        <f>IF(B42="","",YEAR(B42))</f>
        <v/>
      </c>
      <c r="T42" s="15">
        <f>IF(B42="","",MONTH(B42))</f>
        <v/>
      </c>
      <c r="U42" s="15">
        <f>IF(C42="","",YEAR(C42))</f>
        <v/>
      </c>
      <c r="V42" s="15">
        <f>IF(C42="","",MONTH(C42))</f>
        <v/>
      </c>
      <c r="W42" s="30">
        <f>IF(D42="","",IF(D42="Consignación",IF(O42="",0,ROUND(O42/(1+Configuracion!$B$11),0)),IF(N42="",0,ROUND(N42/(1+Configuracion!$B$11),0))))</f>
        <v/>
      </c>
      <c r="X42" s="30">
        <f>IF(W42="","",ROUND(W42*Configuracion!$B$11,0))</f>
        <v/>
      </c>
      <c r="Y42" s="30">
        <f>IF(OR(D42="",Q42&lt;&gt;"Vendido"),0,IF(D42="Consignación",0,IF(K42="",0,K42)))</f>
        <v/>
      </c>
      <c r="Z42" s="30">
        <f>IF(Q42&lt;&gt;"Vendido","",W42-Y42-IF(P42="",0,P42))</f>
        <v/>
      </c>
    </row>
    <row r="43">
      <c r="A43" s="15">
        <f>IF(D43="","",ROW()-5)</f>
        <v/>
      </c>
      <c r="B43" s="70" t="n"/>
      <c r="C43" s="70" t="n"/>
      <c r="D43" s="9" t="n"/>
      <c r="E43" s="9" t="n"/>
      <c r="F43" s="9" t="n"/>
      <c r="G43" s="11" t="n"/>
      <c r="H43" s="9" t="n"/>
      <c r="I43" s="9" t="n"/>
      <c r="J43" s="9" t="n"/>
      <c r="K43" s="71" t="n"/>
      <c r="L43" s="30">
        <f>IF(K43="","",IF(J43="Sí",ROUND(K43*Configuracion!$B$11,0),0))</f>
        <v/>
      </c>
      <c r="M43" s="30">
        <f>IF(K43="","",K43+L43)</f>
        <v/>
      </c>
      <c r="N43" s="71" t="n"/>
      <c r="O43" s="71" t="n"/>
      <c r="P43" s="71" t="n"/>
      <c r="Q43" s="9" t="n"/>
      <c r="R43" s="9" t="n"/>
      <c r="S43" s="15">
        <f>IF(B43="","",YEAR(B43))</f>
        <v/>
      </c>
      <c r="T43" s="15">
        <f>IF(B43="","",MONTH(B43))</f>
        <v/>
      </c>
      <c r="U43" s="15">
        <f>IF(C43="","",YEAR(C43))</f>
        <v/>
      </c>
      <c r="V43" s="15">
        <f>IF(C43="","",MONTH(C43))</f>
        <v/>
      </c>
      <c r="W43" s="30">
        <f>IF(D43="","",IF(D43="Consignación",IF(O43="",0,ROUND(O43/(1+Configuracion!$B$11),0)),IF(N43="",0,ROUND(N43/(1+Configuracion!$B$11),0))))</f>
        <v/>
      </c>
      <c r="X43" s="30">
        <f>IF(W43="","",ROUND(W43*Configuracion!$B$11,0))</f>
        <v/>
      </c>
      <c r="Y43" s="30">
        <f>IF(OR(D43="",Q43&lt;&gt;"Vendido"),0,IF(D43="Consignación",0,IF(K43="",0,K43)))</f>
        <v/>
      </c>
      <c r="Z43" s="30">
        <f>IF(Q43&lt;&gt;"Vendido","",W43-Y43-IF(P43="",0,P43))</f>
        <v/>
      </c>
    </row>
    <row r="44">
      <c r="A44" s="15">
        <f>IF(D44="","",ROW()-5)</f>
        <v/>
      </c>
      <c r="B44" s="70" t="n"/>
      <c r="C44" s="70" t="n"/>
      <c r="D44" s="9" t="n"/>
      <c r="E44" s="9" t="n"/>
      <c r="F44" s="9" t="n"/>
      <c r="G44" s="11" t="n"/>
      <c r="H44" s="9" t="n"/>
      <c r="I44" s="9" t="n"/>
      <c r="J44" s="9" t="n"/>
      <c r="K44" s="71" t="n"/>
      <c r="L44" s="30">
        <f>IF(K44="","",IF(J44="Sí",ROUND(K44*Configuracion!$B$11,0),0))</f>
        <v/>
      </c>
      <c r="M44" s="30">
        <f>IF(K44="","",K44+L44)</f>
        <v/>
      </c>
      <c r="N44" s="71" t="n"/>
      <c r="O44" s="71" t="n"/>
      <c r="P44" s="71" t="n"/>
      <c r="Q44" s="9" t="n"/>
      <c r="R44" s="9" t="n"/>
      <c r="S44" s="15">
        <f>IF(B44="","",YEAR(B44))</f>
        <v/>
      </c>
      <c r="T44" s="15">
        <f>IF(B44="","",MONTH(B44))</f>
        <v/>
      </c>
      <c r="U44" s="15">
        <f>IF(C44="","",YEAR(C44))</f>
        <v/>
      </c>
      <c r="V44" s="15">
        <f>IF(C44="","",MONTH(C44))</f>
        <v/>
      </c>
      <c r="W44" s="30">
        <f>IF(D44="","",IF(D44="Consignación",IF(O44="",0,ROUND(O44/(1+Configuracion!$B$11),0)),IF(N44="",0,ROUND(N44/(1+Configuracion!$B$11),0))))</f>
        <v/>
      </c>
      <c r="X44" s="30">
        <f>IF(W44="","",ROUND(W44*Configuracion!$B$11,0))</f>
        <v/>
      </c>
      <c r="Y44" s="30">
        <f>IF(OR(D44="",Q44&lt;&gt;"Vendido"),0,IF(D44="Consignación",0,IF(K44="",0,K44)))</f>
        <v/>
      </c>
      <c r="Z44" s="30">
        <f>IF(Q44&lt;&gt;"Vendido","",W44-Y44-IF(P44="",0,P44))</f>
        <v/>
      </c>
    </row>
    <row r="45">
      <c r="A45" s="15">
        <f>IF(D45="","",ROW()-5)</f>
        <v/>
      </c>
      <c r="B45" s="70" t="n"/>
      <c r="C45" s="70" t="n"/>
      <c r="D45" s="9" t="n"/>
      <c r="E45" s="9" t="n"/>
      <c r="F45" s="9" t="n"/>
      <c r="G45" s="11" t="n"/>
      <c r="H45" s="9" t="n"/>
      <c r="I45" s="9" t="n"/>
      <c r="J45" s="9" t="n"/>
      <c r="K45" s="71" t="n"/>
      <c r="L45" s="30">
        <f>IF(K45="","",IF(J45="Sí",ROUND(K45*Configuracion!$B$11,0),0))</f>
        <v/>
      </c>
      <c r="M45" s="30">
        <f>IF(K45="","",K45+L45)</f>
        <v/>
      </c>
      <c r="N45" s="71" t="n"/>
      <c r="O45" s="71" t="n"/>
      <c r="P45" s="71" t="n"/>
      <c r="Q45" s="9" t="n"/>
      <c r="R45" s="9" t="n"/>
      <c r="S45" s="15">
        <f>IF(B45="","",YEAR(B45))</f>
        <v/>
      </c>
      <c r="T45" s="15">
        <f>IF(B45="","",MONTH(B45))</f>
        <v/>
      </c>
      <c r="U45" s="15">
        <f>IF(C45="","",YEAR(C45))</f>
        <v/>
      </c>
      <c r="V45" s="15">
        <f>IF(C45="","",MONTH(C45))</f>
        <v/>
      </c>
      <c r="W45" s="30">
        <f>IF(D45="","",IF(D45="Consignación",IF(O45="",0,ROUND(O45/(1+Configuracion!$B$11),0)),IF(N45="",0,ROUND(N45/(1+Configuracion!$B$11),0))))</f>
        <v/>
      </c>
      <c r="X45" s="30">
        <f>IF(W45="","",ROUND(W45*Configuracion!$B$11,0))</f>
        <v/>
      </c>
      <c r="Y45" s="30">
        <f>IF(OR(D45="",Q45&lt;&gt;"Vendido"),0,IF(D45="Consignación",0,IF(K45="",0,K45)))</f>
        <v/>
      </c>
      <c r="Z45" s="30">
        <f>IF(Q45&lt;&gt;"Vendido","",W45-Y45-IF(P45="",0,P45))</f>
        <v/>
      </c>
    </row>
    <row r="46">
      <c r="A46" s="15">
        <f>IF(D46="","",ROW()-5)</f>
        <v/>
      </c>
      <c r="B46" s="70" t="n"/>
      <c r="C46" s="70" t="n"/>
      <c r="D46" s="9" t="n"/>
      <c r="E46" s="9" t="n"/>
      <c r="F46" s="9" t="n"/>
      <c r="G46" s="11" t="n"/>
      <c r="H46" s="9" t="n"/>
      <c r="I46" s="9" t="n"/>
      <c r="J46" s="9" t="n"/>
      <c r="K46" s="71" t="n"/>
      <c r="L46" s="30">
        <f>IF(K46="","",IF(J46="Sí",ROUND(K46*Configuracion!$B$11,0),0))</f>
        <v/>
      </c>
      <c r="M46" s="30">
        <f>IF(K46="","",K46+L46)</f>
        <v/>
      </c>
      <c r="N46" s="71" t="n"/>
      <c r="O46" s="71" t="n"/>
      <c r="P46" s="71" t="n"/>
      <c r="Q46" s="9" t="n"/>
      <c r="R46" s="9" t="n"/>
      <c r="S46" s="15">
        <f>IF(B46="","",YEAR(B46))</f>
        <v/>
      </c>
      <c r="T46" s="15">
        <f>IF(B46="","",MONTH(B46))</f>
        <v/>
      </c>
      <c r="U46" s="15">
        <f>IF(C46="","",YEAR(C46))</f>
        <v/>
      </c>
      <c r="V46" s="15">
        <f>IF(C46="","",MONTH(C46))</f>
        <v/>
      </c>
      <c r="W46" s="30">
        <f>IF(D46="","",IF(D46="Consignación",IF(O46="",0,ROUND(O46/(1+Configuracion!$B$11),0)),IF(N46="",0,ROUND(N46/(1+Configuracion!$B$11),0))))</f>
        <v/>
      </c>
      <c r="X46" s="30">
        <f>IF(W46="","",ROUND(W46*Configuracion!$B$11,0))</f>
        <v/>
      </c>
      <c r="Y46" s="30">
        <f>IF(OR(D46="",Q46&lt;&gt;"Vendido"),0,IF(D46="Consignación",0,IF(K46="",0,K46)))</f>
        <v/>
      </c>
      <c r="Z46" s="30">
        <f>IF(Q46&lt;&gt;"Vendido","",W46-Y46-IF(P46="",0,P46))</f>
        <v/>
      </c>
    </row>
    <row r="47">
      <c r="A47" s="15">
        <f>IF(D47="","",ROW()-5)</f>
        <v/>
      </c>
      <c r="B47" s="70" t="n"/>
      <c r="C47" s="70" t="n"/>
      <c r="D47" s="9" t="n"/>
      <c r="E47" s="9" t="n"/>
      <c r="F47" s="9" t="n"/>
      <c r="G47" s="11" t="n"/>
      <c r="H47" s="9" t="n"/>
      <c r="I47" s="9" t="n"/>
      <c r="J47" s="9" t="n"/>
      <c r="K47" s="71" t="n"/>
      <c r="L47" s="30">
        <f>IF(K47="","",IF(J47="Sí",ROUND(K47*Configuracion!$B$11,0),0))</f>
        <v/>
      </c>
      <c r="M47" s="30">
        <f>IF(K47="","",K47+L47)</f>
        <v/>
      </c>
      <c r="N47" s="71" t="n"/>
      <c r="O47" s="71" t="n"/>
      <c r="P47" s="71" t="n"/>
      <c r="Q47" s="9" t="n"/>
      <c r="R47" s="9" t="n"/>
      <c r="S47" s="15">
        <f>IF(B47="","",YEAR(B47))</f>
        <v/>
      </c>
      <c r="T47" s="15">
        <f>IF(B47="","",MONTH(B47))</f>
        <v/>
      </c>
      <c r="U47" s="15">
        <f>IF(C47="","",YEAR(C47))</f>
        <v/>
      </c>
      <c r="V47" s="15">
        <f>IF(C47="","",MONTH(C47))</f>
        <v/>
      </c>
      <c r="W47" s="30">
        <f>IF(D47="","",IF(D47="Consignación",IF(O47="",0,ROUND(O47/(1+Configuracion!$B$11),0)),IF(N47="",0,ROUND(N47/(1+Configuracion!$B$11),0))))</f>
        <v/>
      </c>
      <c r="X47" s="30">
        <f>IF(W47="","",ROUND(W47*Configuracion!$B$11,0))</f>
        <v/>
      </c>
      <c r="Y47" s="30">
        <f>IF(OR(D47="",Q47&lt;&gt;"Vendido"),0,IF(D47="Consignación",0,IF(K47="",0,K47)))</f>
        <v/>
      </c>
      <c r="Z47" s="30">
        <f>IF(Q47&lt;&gt;"Vendido","",W47-Y47-IF(P47="",0,P47))</f>
        <v/>
      </c>
    </row>
    <row r="48">
      <c r="A48" s="15">
        <f>IF(D48="","",ROW()-5)</f>
        <v/>
      </c>
      <c r="B48" s="70" t="n"/>
      <c r="C48" s="70" t="n"/>
      <c r="D48" s="9" t="n"/>
      <c r="E48" s="9" t="n"/>
      <c r="F48" s="9" t="n"/>
      <c r="G48" s="11" t="n"/>
      <c r="H48" s="9" t="n"/>
      <c r="I48" s="9" t="n"/>
      <c r="J48" s="9" t="n"/>
      <c r="K48" s="71" t="n"/>
      <c r="L48" s="30">
        <f>IF(K48="","",IF(J48="Sí",ROUND(K48*Configuracion!$B$11,0),0))</f>
        <v/>
      </c>
      <c r="M48" s="30">
        <f>IF(K48="","",K48+L48)</f>
        <v/>
      </c>
      <c r="N48" s="71" t="n"/>
      <c r="O48" s="71" t="n"/>
      <c r="P48" s="71" t="n"/>
      <c r="Q48" s="9" t="n"/>
      <c r="R48" s="9" t="n"/>
      <c r="S48" s="15">
        <f>IF(B48="","",YEAR(B48))</f>
        <v/>
      </c>
      <c r="T48" s="15">
        <f>IF(B48="","",MONTH(B48))</f>
        <v/>
      </c>
      <c r="U48" s="15">
        <f>IF(C48="","",YEAR(C48))</f>
        <v/>
      </c>
      <c r="V48" s="15">
        <f>IF(C48="","",MONTH(C48))</f>
        <v/>
      </c>
      <c r="W48" s="30">
        <f>IF(D48="","",IF(D48="Consignación",IF(O48="",0,ROUND(O48/(1+Configuracion!$B$11),0)),IF(N48="",0,ROUND(N48/(1+Configuracion!$B$11),0))))</f>
        <v/>
      </c>
      <c r="X48" s="30">
        <f>IF(W48="","",ROUND(W48*Configuracion!$B$11,0))</f>
        <v/>
      </c>
      <c r="Y48" s="30">
        <f>IF(OR(D48="",Q48&lt;&gt;"Vendido"),0,IF(D48="Consignación",0,IF(K48="",0,K48)))</f>
        <v/>
      </c>
      <c r="Z48" s="30">
        <f>IF(Q48&lt;&gt;"Vendido","",W48-Y48-IF(P48="",0,P48))</f>
        <v/>
      </c>
    </row>
    <row r="49">
      <c r="A49" s="15">
        <f>IF(D49="","",ROW()-5)</f>
        <v/>
      </c>
      <c r="B49" s="70" t="n"/>
      <c r="C49" s="70" t="n"/>
      <c r="D49" s="9" t="n"/>
      <c r="E49" s="9" t="n"/>
      <c r="F49" s="9" t="n"/>
      <c r="G49" s="11" t="n"/>
      <c r="H49" s="9" t="n"/>
      <c r="I49" s="9" t="n"/>
      <c r="J49" s="9" t="n"/>
      <c r="K49" s="71" t="n"/>
      <c r="L49" s="30">
        <f>IF(K49="","",IF(J49="Sí",ROUND(K49*Configuracion!$B$11,0),0))</f>
        <v/>
      </c>
      <c r="M49" s="30">
        <f>IF(K49="","",K49+L49)</f>
        <v/>
      </c>
      <c r="N49" s="71" t="n"/>
      <c r="O49" s="71" t="n"/>
      <c r="P49" s="71" t="n"/>
      <c r="Q49" s="9" t="n"/>
      <c r="R49" s="9" t="n"/>
      <c r="S49" s="15">
        <f>IF(B49="","",YEAR(B49))</f>
        <v/>
      </c>
      <c r="T49" s="15">
        <f>IF(B49="","",MONTH(B49))</f>
        <v/>
      </c>
      <c r="U49" s="15">
        <f>IF(C49="","",YEAR(C49))</f>
        <v/>
      </c>
      <c r="V49" s="15">
        <f>IF(C49="","",MONTH(C49))</f>
        <v/>
      </c>
      <c r="W49" s="30">
        <f>IF(D49="","",IF(D49="Consignación",IF(O49="",0,ROUND(O49/(1+Configuracion!$B$11),0)),IF(N49="",0,ROUND(N49/(1+Configuracion!$B$11),0))))</f>
        <v/>
      </c>
      <c r="X49" s="30">
        <f>IF(W49="","",ROUND(W49*Configuracion!$B$11,0))</f>
        <v/>
      </c>
      <c r="Y49" s="30">
        <f>IF(OR(D49="",Q49&lt;&gt;"Vendido"),0,IF(D49="Consignación",0,IF(K49="",0,K49)))</f>
        <v/>
      </c>
      <c r="Z49" s="30">
        <f>IF(Q49&lt;&gt;"Vendido","",W49-Y49-IF(P49="",0,P49))</f>
        <v/>
      </c>
    </row>
    <row r="50">
      <c r="A50" s="15">
        <f>IF(D50="","",ROW()-5)</f>
        <v/>
      </c>
      <c r="B50" s="70" t="n"/>
      <c r="C50" s="70" t="n"/>
      <c r="D50" s="9" t="n"/>
      <c r="E50" s="9" t="n"/>
      <c r="F50" s="9" t="n"/>
      <c r="G50" s="11" t="n"/>
      <c r="H50" s="9" t="n"/>
      <c r="I50" s="9" t="n"/>
      <c r="J50" s="9" t="n"/>
      <c r="K50" s="71" t="n"/>
      <c r="L50" s="30">
        <f>IF(K50="","",IF(J50="Sí",ROUND(K50*Configuracion!$B$11,0),0))</f>
        <v/>
      </c>
      <c r="M50" s="30">
        <f>IF(K50="","",K50+L50)</f>
        <v/>
      </c>
      <c r="N50" s="71" t="n"/>
      <c r="O50" s="71" t="n"/>
      <c r="P50" s="71" t="n"/>
      <c r="Q50" s="9" t="n"/>
      <c r="R50" s="9" t="n"/>
      <c r="S50" s="15">
        <f>IF(B50="","",YEAR(B50))</f>
        <v/>
      </c>
      <c r="T50" s="15">
        <f>IF(B50="","",MONTH(B50))</f>
        <v/>
      </c>
      <c r="U50" s="15">
        <f>IF(C50="","",YEAR(C50))</f>
        <v/>
      </c>
      <c r="V50" s="15">
        <f>IF(C50="","",MONTH(C50))</f>
        <v/>
      </c>
      <c r="W50" s="30">
        <f>IF(D50="","",IF(D50="Consignación",IF(O50="",0,ROUND(O50/(1+Configuracion!$B$11),0)),IF(N50="",0,ROUND(N50/(1+Configuracion!$B$11),0))))</f>
        <v/>
      </c>
      <c r="X50" s="30">
        <f>IF(W50="","",ROUND(W50*Configuracion!$B$11,0))</f>
        <v/>
      </c>
      <c r="Y50" s="30">
        <f>IF(OR(D50="",Q50&lt;&gt;"Vendido"),0,IF(D50="Consignación",0,IF(K50="",0,K50)))</f>
        <v/>
      </c>
      <c r="Z50" s="30">
        <f>IF(Q50&lt;&gt;"Vendido","",W50-Y50-IF(P50="",0,P50))</f>
        <v/>
      </c>
    </row>
    <row r="51">
      <c r="A51" s="15">
        <f>IF(D51="","",ROW()-5)</f>
        <v/>
      </c>
      <c r="B51" s="70" t="n"/>
      <c r="C51" s="70" t="n"/>
      <c r="D51" s="9" t="n"/>
      <c r="E51" s="9" t="n"/>
      <c r="F51" s="9" t="n"/>
      <c r="G51" s="11" t="n"/>
      <c r="H51" s="9" t="n"/>
      <c r="I51" s="9" t="n"/>
      <c r="J51" s="9" t="n"/>
      <c r="K51" s="71" t="n"/>
      <c r="L51" s="30">
        <f>IF(K51="","",IF(J51="Sí",ROUND(K51*Configuracion!$B$11,0),0))</f>
        <v/>
      </c>
      <c r="M51" s="30">
        <f>IF(K51="","",K51+L51)</f>
        <v/>
      </c>
      <c r="N51" s="71" t="n"/>
      <c r="O51" s="71" t="n"/>
      <c r="P51" s="71" t="n"/>
      <c r="Q51" s="9" t="n"/>
      <c r="R51" s="9" t="n"/>
      <c r="S51" s="15">
        <f>IF(B51="","",YEAR(B51))</f>
        <v/>
      </c>
      <c r="T51" s="15">
        <f>IF(B51="","",MONTH(B51))</f>
        <v/>
      </c>
      <c r="U51" s="15">
        <f>IF(C51="","",YEAR(C51))</f>
        <v/>
      </c>
      <c r="V51" s="15">
        <f>IF(C51="","",MONTH(C51))</f>
        <v/>
      </c>
      <c r="W51" s="30">
        <f>IF(D51="","",IF(D51="Consignación",IF(O51="",0,ROUND(O51/(1+Configuracion!$B$11),0)),IF(N51="",0,ROUND(N51/(1+Configuracion!$B$11),0))))</f>
        <v/>
      </c>
      <c r="X51" s="30">
        <f>IF(W51="","",ROUND(W51*Configuracion!$B$11,0))</f>
        <v/>
      </c>
      <c r="Y51" s="30">
        <f>IF(OR(D51="",Q51&lt;&gt;"Vendido"),0,IF(D51="Consignación",0,IF(K51="",0,K51)))</f>
        <v/>
      </c>
      <c r="Z51" s="30">
        <f>IF(Q51&lt;&gt;"Vendido","",W51-Y51-IF(P51="",0,P51))</f>
        <v/>
      </c>
    </row>
    <row r="52">
      <c r="A52" s="15">
        <f>IF(D52="","",ROW()-5)</f>
        <v/>
      </c>
      <c r="B52" s="70" t="n"/>
      <c r="C52" s="70" t="n"/>
      <c r="D52" s="9" t="n"/>
      <c r="E52" s="9" t="n"/>
      <c r="F52" s="9" t="n"/>
      <c r="G52" s="11" t="n"/>
      <c r="H52" s="9" t="n"/>
      <c r="I52" s="9" t="n"/>
      <c r="J52" s="9" t="n"/>
      <c r="K52" s="71" t="n"/>
      <c r="L52" s="30">
        <f>IF(K52="","",IF(J52="Sí",ROUND(K52*Configuracion!$B$11,0),0))</f>
        <v/>
      </c>
      <c r="M52" s="30">
        <f>IF(K52="","",K52+L52)</f>
        <v/>
      </c>
      <c r="N52" s="71" t="n"/>
      <c r="O52" s="71" t="n"/>
      <c r="P52" s="71" t="n"/>
      <c r="Q52" s="9" t="n"/>
      <c r="R52" s="9" t="n"/>
      <c r="S52" s="15">
        <f>IF(B52="","",YEAR(B52))</f>
        <v/>
      </c>
      <c r="T52" s="15">
        <f>IF(B52="","",MONTH(B52))</f>
        <v/>
      </c>
      <c r="U52" s="15">
        <f>IF(C52="","",YEAR(C52))</f>
        <v/>
      </c>
      <c r="V52" s="15">
        <f>IF(C52="","",MONTH(C52))</f>
        <v/>
      </c>
      <c r="W52" s="30">
        <f>IF(D52="","",IF(D52="Consignación",IF(O52="",0,ROUND(O52/(1+Configuracion!$B$11),0)),IF(N52="",0,ROUND(N52/(1+Configuracion!$B$11),0))))</f>
        <v/>
      </c>
      <c r="X52" s="30">
        <f>IF(W52="","",ROUND(W52*Configuracion!$B$11,0))</f>
        <v/>
      </c>
      <c r="Y52" s="30">
        <f>IF(OR(D52="",Q52&lt;&gt;"Vendido"),0,IF(D52="Consignación",0,IF(K52="",0,K52)))</f>
        <v/>
      </c>
      <c r="Z52" s="30">
        <f>IF(Q52&lt;&gt;"Vendido","",W52-Y52-IF(P52="",0,P52))</f>
        <v/>
      </c>
    </row>
    <row r="53">
      <c r="A53" s="15">
        <f>IF(D53="","",ROW()-5)</f>
        <v/>
      </c>
      <c r="B53" s="70" t="n"/>
      <c r="C53" s="70" t="n"/>
      <c r="D53" s="9" t="n"/>
      <c r="E53" s="9" t="n"/>
      <c r="F53" s="9" t="n"/>
      <c r="G53" s="11" t="n"/>
      <c r="H53" s="9" t="n"/>
      <c r="I53" s="9" t="n"/>
      <c r="J53" s="9" t="n"/>
      <c r="K53" s="71" t="n"/>
      <c r="L53" s="30">
        <f>IF(K53="","",IF(J53="Sí",ROUND(K53*Configuracion!$B$11,0),0))</f>
        <v/>
      </c>
      <c r="M53" s="30">
        <f>IF(K53="","",K53+L53)</f>
        <v/>
      </c>
      <c r="N53" s="71" t="n"/>
      <c r="O53" s="71" t="n"/>
      <c r="P53" s="71" t="n"/>
      <c r="Q53" s="9" t="n"/>
      <c r="R53" s="9" t="n"/>
      <c r="S53" s="15">
        <f>IF(B53="","",YEAR(B53))</f>
        <v/>
      </c>
      <c r="T53" s="15">
        <f>IF(B53="","",MONTH(B53))</f>
        <v/>
      </c>
      <c r="U53" s="15">
        <f>IF(C53="","",YEAR(C53))</f>
        <v/>
      </c>
      <c r="V53" s="15">
        <f>IF(C53="","",MONTH(C53))</f>
        <v/>
      </c>
      <c r="W53" s="30">
        <f>IF(D53="","",IF(D53="Consignación",IF(O53="",0,ROUND(O53/(1+Configuracion!$B$11),0)),IF(N53="",0,ROUND(N53/(1+Configuracion!$B$11),0))))</f>
        <v/>
      </c>
      <c r="X53" s="30">
        <f>IF(W53="","",ROUND(W53*Configuracion!$B$11,0))</f>
        <v/>
      </c>
      <c r="Y53" s="30">
        <f>IF(OR(D53="",Q53&lt;&gt;"Vendido"),0,IF(D53="Consignación",0,IF(K53="",0,K53)))</f>
        <v/>
      </c>
      <c r="Z53" s="30">
        <f>IF(Q53&lt;&gt;"Vendido","",W53-Y53-IF(P53="",0,P53))</f>
        <v/>
      </c>
    </row>
    <row r="54">
      <c r="A54" s="15">
        <f>IF(D54="","",ROW()-5)</f>
        <v/>
      </c>
      <c r="B54" s="70" t="n"/>
      <c r="C54" s="70" t="n"/>
      <c r="D54" s="9" t="n"/>
      <c r="E54" s="9" t="n"/>
      <c r="F54" s="9" t="n"/>
      <c r="G54" s="11" t="n"/>
      <c r="H54" s="9" t="n"/>
      <c r="I54" s="9" t="n"/>
      <c r="J54" s="9" t="n"/>
      <c r="K54" s="71" t="n"/>
      <c r="L54" s="30">
        <f>IF(K54="","",IF(J54="Sí",ROUND(K54*Configuracion!$B$11,0),0))</f>
        <v/>
      </c>
      <c r="M54" s="30">
        <f>IF(K54="","",K54+L54)</f>
        <v/>
      </c>
      <c r="N54" s="71" t="n"/>
      <c r="O54" s="71" t="n"/>
      <c r="P54" s="71" t="n"/>
      <c r="Q54" s="9" t="n"/>
      <c r="R54" s="9" t="n"/>
      <c r="S54" s="15">
        <f>IF(B54="","",YEAR(B54))</f>
        <v/>
      </c>
      <c r="T54" s="15">
        <f>IF(B54="","",MONTH(B54))</f>
        <v/>
      </c>
      <c r="U54" s="15">
        <f>IF(C54="","",YEAR(C54))</f>
        <v/>
      </c>
      <c r="V54" s="15">
        <f>IF(C54="","",MONTH(C54))</f>
        <v/>
      </c>
      <c r="W54" s="30">
        <f>IF(D54="","",IF(D54="Consignación",IF(O54="",0,ROUND(O54/(1+Configuracion!$B$11),0)),IF(N54="",0,ROUND(N54/(1+Configuracion!$B$11),0))))</f>
        <v/>
      </c>
      <c r="X54" s="30">
        <f>IF(W54="","",ROUND(W54*Configuracion!$B$11,0))</f>
        <v/>
      </c>
      <c r="Y54" s="30">
        <f>IF(OR(D54="",Q54&lt;&gt;"Vendido"),0,IF(D54="Consignación",0,IF(K54="",0,K54)))</f>
        <v/>
      </c>
      <c r="Z54" s="30">
        <f>IF(Q54&lt;&gt;"Vendido","",W54-Y54-IF(P54="",0,P54))</f>
        <v/>
      </c>
    </row>
    <row r="55">
      <c r="A55" s="15">
        <f>IF(D55="","",ROW()-5)</f>
        <v/>
      </c>
      <c r="B55" s="70" t="n"/>
      <c r="C55" s="70" t="n"/>
      <c r="D55" s="9" t="n"/>
      <c r="E55" s="9" t="n"/>
      <c r="F55" s="9" t="n"/>
      <c r="G55" s="11" t="n"/>
      <c r="H55" s="9" t="n"/>
      <c r="I55" s="9" t="n"/>
      <c r="J55" s="9" t="n"/>
      <c r="K55" s="71" t="n"/>
      <c r="L55" s="30">
        <f>IF(K55="","",IF(J55="Sí",ROUND(K55*Configuracion!$B$11,0),0))</f>
        <v/>
      </c>
      <c r="M55" s="30">
        <f>IF(K55="","",K55+L55)</f>
        <v/>
      </c>
      <c r="N55" s="71" t="n"/>
      <c r="O55" s="71" t="n"/>
      <c r="P55" s="71" t="n"/>
      <c r="Q55" s="9" t="n"/>
      <c r="R55" s="9" t="n"/>
      <c r="S55" s="15">
        <f>IF(B55="","",YEAR(B55))</f>
        <v/>
      </c>
      <c r="T55" s="15">
        <f>IF(B55="","",MONTH(B55))</f>
        <v/>
      </c>
      <c r="U55" s="15">
        <f>IF(C55="","",YEAR(C55))</f>
        <v/>
      </c>
      <c r="V55" s="15">
        <f>IF(C55="","",MONTH(C55))</f>
        <v/>
      </c>
      <c r="W55" s="30">
        <f>IF(D55="","",IF(D55="Consignación",IF(O55="",0,ROUND(O55/(1+Configuracion!$B$11),0)),IF(N55="",0,ROUND(N55/(1+Configuracion!$B$11),0))))</f>
        <v/>
      </c>
      <c r="X55" s="30">
        <f>IF(W55="","",ROUND(W55*Configuracion!$B$11,0))</f>
        <v/>
      </c>
      <c r="Y55" s="30">
        <f>IF(OR(D55="",Q55&lt;&gt;"Vendido"),0,IF(D55="Consignación",0,IF(K55="",0,K55)))</f>
        <v/>
      </c>
      <c r="Z55" s="30">
        <f>IF(Q55&lt;&gt;"Vendido","",W55-Y55-IF(P55="",0,P55))</f>
        <v/>
      </c>
    </row>
    <row r="56">
      <c r="A56" s="15">
        <f>IF(D56="","",ROW()-5)</f>
        <v/>
      </c>
      <c r="B56" s="70" t="n"/>
      <c r="C56" s="70" t="n"/>
      <c r="D56" s="9" t="n"/>
      <c r="E56" s="9" t="n"/>
      <c r="F56" s="9" t="n"/>
      <c r="G56" s="11" t="n"/>
      <c r="H56" s="9" t="n"/>
      <c r="I56" s="9" t="n"/>
      <c r="J56" s="9" t="n"/>
      <c r="K56" s="71" t="n"/>
      <c r="L56" s="30">
        <f>IF(K56="","",IF(J56="Sí",ROUND(K56*Configuracion!$B$11,0),0))</f>
        <v/>
      </c>
      <c r="M56" s="30">
        <f>IF(K56="","",K56+L56)</f>
        <v/>
      </c>
      <c r="N56" s="71" t="n"/>
      <c r="O56" s="71" t="n"/>
      <c r="P56" s="71" t="n"/>
      <c r="Q56" s="9" t="n"/>
      <c r="R56" s="9" t="n"/>
      <c r="S56" s="15">
        <f>IF(B56="","",YEAR(B56))</f>
        <v/>
      </c>
      <c r="T56" s="15">
        <f>IF(B56="","",MONTH(B56))</f>
        <v/>
      </c>
      <c r="U56" s="15">
        <f>IF(C56="","",YEAR(C56))</f>
        <v/>
      </c>
      <c r="V56" s="15">
        <f>IF(C56="","",MONTH(C56))</f>
        <v/>
      </c>
      <c r="W56" s="30">
        <f>IF(D56="","",IF(D56="Consignación",IF(O56="",0,ROUND(O56/(1+Configuracion!$B$11),0)),IF(N56="",0,ROUND(N56/(1+Configuracion!$B$11),0))))</f>
        <v/>
      </c>
      <c r="X56" s="30">
        <f>IF(W56="","",ROUND(W56*Configuracion!$B$11,0))</f>
        <v/>
      </c>
      <c r="Y56" s="30">
        <f>IF(OR(D56="",Q56&lt;&gt;"Vendido"),0,IF(D56="Consignación",0,IF(K56="",0,K56)))</f>
        <v/>
      </c>
      <c r="Z56" s="30">
        <f>IF(Q56&lt;&gt;"Vendido","",W56-Y56-IF(P56="",0,P56))</f>
        <v/>
      </c>
    </row>
    <row r="57">
      <c r="A57" s="15">
        <f>IF(D57="","",ROW()-5)</f>
        <v/>
      </c>
      <c r="B57" s="70" t="n"/>
      <c r="C57" s="70" t="n"/>
      <c r="D57" s="9" t="n"/>
      <c r="E57" s="9" t="n"/>
      <c r="F57" s="9" t="n"/>
      <c r="G57" s="11" t="n"/>
      <c r="H57" s="9" t="n"/>
      <c r="I57" s="9" t="n"/>
      <c r="J57" s="9" t="n"/>
      <c r="K57" s="71" t="n"/>
      <c r="L57" s="30">
        <f>IF(K57="","",IF(J57="Sí",ROUND(K57*Configuracion!$B$11,0),0))</f>
        <v/>
      </c>
      <c r="M57" s="30">
        <f>IF(K57="","",K57+L57)</f>
        <v/>
      </c>
      <c r="N57" s="71" t="n"/>
      <c r="O57" s="71" t="n"/>
      <c r="P57" s="71" t="n"/>
      <c r="Q57" s="9" t="n"/>
      <c r="R57" s="9" t="n"/>
      <c r="S57" s="15">
        <f>IF(B57="","",YEAR(B57))</f>
        <v/>
      </c>
      <c r="T57" s="15">
        <f>IF(B57="","",MONTH(B57))</f>
        <v/>
      </c>
      <c r="U57" s="15">
        <f>IF(C57="","",YEAR(C57))</f>
        <v/>
      </c>
      <c r="V57" s="15">
        <f>IF(C57="","",MONTH(C57))</f>
        <v/>
      </c>
      <c r="W57" s="30">
        <f>IF(D57="","",IF(D57="Consignación",IF(O57="",0,ROUND(O57/(1+Configuracion!$B$11),0)),IF(N57="",0,ROUND(N57/(1+Configuracion!$B$11),0))))</f>
        <v/>
      </c>
      <c r="X57" s="30">
        <f>IF(W57="","",ROUND(W57*Configuracion!$B$11,0))</f>
        <v/>
      </c>
      <c r="Y57" s="30">
        <f>IF(OR(D57="",Q57&lt;&gt;"Vendido"),0,IF(D57="Consignación",0,IF(K57="",0,K57)))</f>
        <v/>
      </c>
      <c r="Z57" s="30">
        <f>IF(Q57&lt;&gt;"Vendido","",W57-Y57-IF(P57="",0,P57))</f>
        <v/>
      </c>
    </row>
    <row r="58">
      <c r="A58" s="15">
        <f>IF(D58="","",ROW()-5)</f>
        <v/>
      </c>
      <c r="B58" s="70" t="n"/>
      <c r="C58" s="70" t="n"/>
      <c r="D58" s="9" t="n"/>
      <c r="E58" s="9" t="n"/>
      <c r="F58" s="9" t="n"/>
      <c r="G58" s="11" t="n"/>
      <c r="H58" s="9" t="n"/>
      <c r="I58" s="9" t="n"/>
      <c r="J58" s="9" t="n"/>
      <c r="K58" s="71" t="n"/>
      <c r="L58" s="30">
        <f>IF(K58="","",IF(J58="Sí",ROUND(K58*Configuracion!$B$11,0),0))</f>
        <v/>
      </c>
      <c r="M58" s="30">
        <f>IF(K58="","",K58+L58)</f>
        <v/>
      </c>
      <c r="N58" s="71" t="n"/>
      <c r="O58" s="71" t="n"/>
      <c r="P58" s="71" t="n"/>
      <c r="Q58" s="9" t="n"/>
      <c r="R58" s="9" t="n"/>
      <c r="S58" s="15">
        <f>IF(B58="","",YEAR(B58))</f>
        <v/>
      </c>
      <c r="T58" s="15">
        <f>IF(B58="","",MONTH(B58))</f>
        <v/>
      </c>
      <c r="U58" s="15">
        <f>IF(C58="","",YEAR(C58))</f>
        <v/>
      </c>
      <c r="V58" s="15">
        <f>IF(C58="","",MONTH(C58))</f>
        <v/>
      </c>
      <c r="W58" s="30">
        <f>IF(D58="","",IF(D58="Consignación",IF(O58="",0,ROUND(O58/(1+Configuracion!$B$11),0)),IF(N58="",0,ROUND(N58/(1+Configuracion!$B$11),0))))</f>
        <v/>
      </c>
      <c r="X58" s="30">
        <f>IF(W58="","",ROUND(W58*Configuracion!$B$11,0))</f>
        <v/>
      </c>
      <c r="Y58" s="30">
        <f>IF(OR(D58="",Q58&lt;&gt;"Vendido"),0,IF(D58="Consignación",0,IF(K58="",0,K58)))</f>
        <v/>
      </c>
      <c r="Z58" s="30">
        <f>IF(Q58&lt;&gt;"Vendido","",W58-Y58-IF(P58="",0,P58))</f>
        <v/>
      </c>
    </row>
    <row r="59">
      <c r="A59" s="15">
        <f>IF(D59="","",ROW()-5)</f>
        <v/>
      </c>
      <c r="B59" s="70" t="n"/>
      <c r="C59" s="70" t="n"/>
      <c r="D59" s="9" t="n"/>
      <c r="E59" s="9" t="n"/>
      <c r="F59" s="9" t="n"/>
      <c r="G59" s="11" t="n"/>
      <c r="H59" s="9" t="n"/>
      <c r="I59" s="9" t="n"/>
      <c r="J59" s="9" t="n"/>
      <c r="K59" s="71" t="n"/>
      <c r="L59" s="30">
        <f>IF(K59="","",IF(J59="Sí",ROUND(K59*Configuracion!$B$11,0),0))</f>
        <v/>
      </c>
      <c r="M59" s="30">
        <f>IF(K59="","",K59+L59)</f>
        <v/>
      </c>
      <c r="N59" s="71" t="n"/>
      <c r="O59" s="71" t="n"/>
      <c r="P59" s="71" t="n"/>
      <c r="Q59" s="9" t="n"/>
      <c r="R59" s="9" t="n"/>
      <c r="S59" s="15">
        <f>IF(B59="","",YEAR(B59))</f>
        <v/>
      </c>
      <c r="T59" s="15">
        <f>IF(B59="","",MONTH(B59))</f>
        <v/>
      </c>
      <c r="U59" s="15">
        <f>IF(C59="","",YEAR(C59))</f>
        <v/>
      </c>
      <c r="V59" s="15">
        <f>IF(C59="","",MONTH(C59))</f>
        <v/>
      </c>
      <c r="W59" s="30">
        <f>IF(D59="","",IF(D59="Consignación",IF(O59="",0,ROUND(O59/(1+Configuracion!$B$11),0)),IF(N59="",0,ROUND(N59/(1+Configuracion!$B$11),0))))</f>
        <v/>
      </c>
      <c r="X59" s="30">
        <f>IF(W59="","",ROUND(W59*Configuracion!$B$11,0))</f>
        <v/>
      </c>
      <c r="Y59" s="30">
        <f>IF(OR(D59="",Q59&lt;&gt;"Vendido"),0,IF(D59="Consignación",0,IF(K59="",0,K59)))</f>
        <v/>
      </c>
      <c r="Z59" s="30">
        <f>IF(Q59&lt;&gt;"Vendido","",W59-Y59-IF(P59="",0,P59))</f>
        <v/>
      </c>
    </row>
    <row r="60">
      <c r="A60" s="15">
        <f>IF(D60="","",ROW()-5)</f>
        <v/>
      </c>
      <c r="B60" s="70" t="n"/>
      <c r="C60" s="70" t="n"/>
      <c r="D60" s="9" t="n"/>
      <c r="E60" s="9" t="n"/>
      <c r="F60" s="9" t="n"/>
      <c r="G60" s="11" t="n"/>
      <c r="H60" s="9" t="n"/>
      <c r="I60" s="9" t="n"/>
      <c r="J60" s="9" t="n"/>
      <c r="K60" s="71" t="n"/>
      <c r="L60" s="30">
        <f>IF(K60="","",IF(J60="Sí",ROUND(K60*Configuracion!$B$11,0),0))</f>
        <v/>
      </c>
      <c r="M60" s="30">
        <f>IF(K60="","",K60+L60)</f>
        <v/>
      </c>
      <c r="N60" s="71" t="n"/>
      <c r="O60" s="71" t="n"/>
      <c r="P60" s="71" t="n"/>
      <c r="Q60" s="9" t="n"/>
      <c r="R60" s="9" t="n"/>
      <c r="S60" s="15">
        <f>IF(B60="","",YEAR(B60))</f>
        <v/>
      </c>
      <c r="T60" s="15">
        <f>IF(B60="","",MONTH(B60))</f>
        <v/>
      </c>
      <c r="U60" s="15">
        <f>IF(C60="","",YEAR(C60))</f>
        <v/>
      </c>
      <c r="V60" s="15">
        <f>IF(C60="","",MONTH(C60))</f>
        <v/>
      </c>
      <c r="W60" s="30">
        <f>IF(D60="","",IF(D60="Consignación",IF(O60="",0,ROUND(O60/(1+Configuracion!$B$11),0)),IF(N60="",0,ROUND(N60/(1+Configuracion!$B$11),0))))</f>
        <v/>
      </c>
      <c r="X60" s="30">
        <f>IF(W60="","",ROUND(W60*Configuracion!$B$11,0))</f>
        <v/>
      </c>
      <c r="Y60" s="30">
        <f>IF(OR(D60="",Q60&lt;&gt;"Vendido"),0,IF(D60="Consignación",0,IF(K60="",0,K60)))</f>
        <v/>
      </c>
      <c r="Z60" s="30">
        <f>IF(Q60&lt;&gt;"Vendido","",W60-Y60-IF(P60="",0,P60))</f>
        <v/>
      </c>
    </row>
    <row r="61">
      <c r="A61" s="15">
        <f>IF(D61="","",ROW()-5)</f>
        <v/>
      </c>
      <c r="B61" s="70" t="n"/>
      <c r="C61" s="70" t="n"/>
      <c r="D61" s="9" t="n"/>
      <c r="E61" s="9" t="n"/>
      <c r="F61" s="9" t="n"/>
      <c r="G61" s="11" t="n"/>
      <c r="H61" s="9" t="n"/>
      <c r="I61" s="9" t="n"/>
      <c r="J61" s="9" t="n"/>
      <c r="K61" s="71" t="n"/>
      <c r="L61" s="30">
        <f>IF(K61="","",IF(J61="Sí",ROUND(K61*Configuracion!$B$11,0),0))</f>
        <v/>
      </c>
      <c r="M61" s="30">
        <f>IF(K61="","",K61+L61)</f>
        <v/>
      </c>
      <c r="N61" s="71" t="n"/>
      <c r="O61" s="71" t="n"/>
      <c r="P61" s="71" t="n"/>
      <c r="Q61" s="9" t="n"/>
      <c r="R61" s="9" t="n"/>
      <c r="S61" s="15">
        <f>IF(B61="","",YEAR(B61))</f>
        <v/>
      </c>
      <c r="T61" s="15">
        <f>IF(B61="","",MONTH(B61))</f>
        <v/>
      </c>
      <c r="U61" s="15">
        <f>IF(C61="","",YEAR(C61))</f>
        <v/>
      </c>
      <c r="V61" s="15">
        <f>IF(C61="","",MONTH(C61))</f>
        <v/>
      </c>
      <c r="W61" s="30">
        <f>IF(D61="","",IF(D61="Consignación",IF(O61="",0,ROUND(O61/(1+Configuracion!$B$11),0)),IF(N61="",0,ROUND(N61/(1+Configuracion!$B$11),0))))</f>
        <v/>
      </c>
      <c r="X61" s="30">
        <f>IF(W61="","",ROUND(W61*Configuracion!$B$11,0))</f>
        <v/>
      </c>
      <c r="Y61" s="30">
        <f>IF(OR(D61="",Q61&lt;&gt;"Vendido"),0,IF(D61="Consignación",0,IF(K61="",0,K61)))</f>
        <v/>
      </c>
      <c r="Z61" s="30">
        <f>IF(Q61&lt;&gt;"Vendido","",W61-Y61-IF(P61="",0,P61))</f>
        <v/>
      </c>
    </row>
    <row r="62">
      <c r="A62" s="15">
        <f>IF(D62="","",ROW()-5)</f>
        <v/>
      </c>
      <c r="B62" s="70" t="n"/>
      <c r="C62" s="70" t="n"/>
      <c r="D62" s="9" t="n"/>
      <c r="E62" s="9" t="n"/>
      <c r="F62" s="9" t="n"/>
      <c r="G62" s="11" t="n"/>
      <c r="H62" s="9" t="n"/>
      <c r="I62" s="9" t="n"/>
      <c r="J62" s="9" t="n"/>
      <c r="K62" s="71" t="n"/>
      <c r="L62" s="30">
        <f>IF(K62="","",IF(J62="Sí",ROUND(K62*Configuracion!$B$11,0),0))</f>
        <v/>
      </c>
      <c r="M62" s="30">
        <f>IF(K62="","",K62+L62)</f>
        <v/>
      </c>
      <c r="N62" s="71" t="n"/>
      <c r="O62" s="71" t="n"/>
      <c r="P62" s="71" t="n"/>
      <c r="Q62" s="9" t="n"/>
      <c r="R62" s="9" t="n"/>
      <c r="S62" s="15">
        <f>IF(B62="","",YEAR(B62))</f>
        <v/>
      </c>
      <c r="T62" s="15">
        <f>IF(B62="","",MONTH(B62))</f>
        <v/>
      </c>
      <c r="U62" s="15">
        <f>IF(C62="","",YEAR(C62))</f>
        <v/>
      </c>
      <c r="V62" s="15">
        <f>IF(C62="","",MONTH(C62))</f>
        <v/>
      </c>
      <c r="W62" s="30">
        <f>IF(D62="","",IF(D62="Consignación",IF(O62="",0,ROUND(O62/(1+Configuracion!$B$11),0)),IF(N62="",0,ROUND(N62/(1+Configuracion!$B$11),0))))</f>
        <v/>
      </c>
      <c r="X62" s="30">
        <f>IF(W62="","",ROUND(W62*Configuracion!$B$11,0))</f>
        <v/>
      </c>
      <c r="Y62" s="30">
        <f>IF(OR(D62="",Q62&lt;&gt;"Vendido"),0,IF(D62="Consignación",0,IF(K62="",0,K62)))</f>
        <v/>
      </c>
      <c r="Z62" s="30">
        <f>IF(Q62&lt;&gt;"Vendido","",W62-Y62-IF(P62="",0,P62))</f>
        <v/>
      </c>
    </row>
    <row r="63">
      <c r="A63" s="15">
        <f>IF(D63="","",ROW()-5)</f>
        <v/>
      </c>
      <c r="B63" s="70" t="n"/>
      <c r="C63" s="70" t="n"/>
      <c r="D63" s="9" t="n"/>
      <c r="E63" s="9" t="n"/>
      <c r="F63" s="9" t="n"/>
      <c r="G63" s="11" t="n"/>
      <c r="H63" s="9" t="n"/>
      <c r="I63" s="9" t="n"/>
      <c r="J63" s="9" t="n"/>
      <c r="K63" s="71" t="n"/>
      <c r="L63" s="30">
        <f>IF(K63="","",IF(J63="Sí",ROUND(K63*Configuracion!$B$11,0),0))</f>
        <v/>
      </c>
      <c r="M63" s="30">
        <f>IF(K63="","",K63+L63)</f>
        <v/>
      </c>
      <c r="N63" s="71" t="n"/>
      <c r="O63" s="71" t="n"/>
      <c r="P63" s="71" t="n"/>
      <c r="Q63" s="9" t="n"/>
      <c r="R63" s="9" t="n"/>
      <c r="S63" s="15">
        <f>IF(B63="","",YEAR(B63))</f>
        <v/>
      </c>
      <c r="T63" s="15">
        <f>IF(B63="","",MONTH(B63))</f>
        <v/>
      </c>
      <c r="U63" s="15">
        <f>IF(C63="","",YEAR(C63))</f>
        <v/>
      </c>
      <c r="V63" s="15">
        <f>IF(C63="","",MONTH(C63))</f>
        <v/>
      </c>
      <c r="W63" s="30">
        <f>IF(D63="","",IF(D63="Consignación",IF(O63="",0,ROUND(O63/(1+Configuracion!$B$11),0)),IF(N63="",0,ROUND(N63/(1+Configuracion!$B$11),0))))</f>
        <v/>
      </c>
      <c r="X63" s="30">
        <f>IF(W63="","",ROUND(W63*Configuracion!$B$11,0))</f>
        <v/>
      </c>
      <c r="Y63" s="30">
        <f>IF(OR(D63="",Q63&lt;&gt;"Vendido"),0,IF(D63="Consignación",0,IF(K63="",0,K63)))</f>
        <v/>
      </c>
      <c r="Z63" s="30">
        <f>IF(Q63&lt;&gt;"Vendido","",W63-Y63-IF(P63="",0,P63))</f>
        <v/>
      </c>
    </row>
    <row r="64">
      <c r="A64" s="15">
        <f>IF(D64="","",ROW()-5)</f>
        <v/>
      </c>
      <c r="B64" s="70" t="n"/>
      <c r="C64" s="70" t="n"/>
      <c r="D64" s="9" t="n"/>
      <c r="E64" s="9" t="n"/>
      <c r="F64" s="9" t="n"/>
      <c r="G64" s="11" t="n"/>
      <c r="H64" s="9" t="n"/>
      <c r="I64" s="9" t="n"/>
      <c r="J64" s="9" t="n"/>
      <c r="K64" s="71" t="n"/>
      <c r="L64" s="30">
        <f>IF(K64="","",IF(J64="Sí",ROUND(K64*Configuracion!$B$11,0),0))</f>
        <v/>
      </c>
      <c r="M64" s="30">
        <f>IF(K64="","",K64+L64)</f>
        <v/>
      </c>
      <c r="N64" s="71" t="n"/>
      <c r="O64" s="71" t="n"/>
      <c r="P64" s="71" t="n"/>
      <c r="Q64" s="9" t="n"/>
      <c r="R64" s="9" t="n"/>
      <c r="S64" s="15">
        <f>IF(B64="","",YEAR(B64))</f>
        <v/>
      </c>
      <c r="T64" s="15">
        <f>IF(B64="","",MONTH(B64))</f>
        <v/>
      </c>
      <c r="U64" s="15">
        <f>IF(C64="","",YEAR(C64))</f>
        <v/>
      </c>
      <c r="V64" s="15">
        <f>IF(C64="","",MONTH(C64))</f>
        <v/>
      </c>
      <c r="W64" s="30">
        <f>IF(D64="","",IF(D64="Consignación",IF(O64="",0,ROUND(O64/(1+Configuracion!$B$11),0)),IF(N64="",0,ROUND(N64/(1+Configuracion!$B$11),0))))</f>
        <v/>
      </c>
      <c r="X64" s="30">
        <f>IF(W64="","",ROUND(W64*Configuracion!$B$11,0))</f>
        <v/>
      </c>
      <c r="Y64" s="30">
        <f>IF(OR(D64="",Q64&lt;&gt;"Vendido"),0,IF(D64="Consignación",0,IF(K64="",0,K64)))</f>
        <v/>
      </c>
      <c r="Z64" s="30">
        <f>IF(Q64&lt;&gt;"Vendido","",W64-Y64-IF(P64="",0,P64))</f>
        <v/>
      </c>
    </row>
    <row r="65">
      <c r="A65" s="15">
        <f>IF(D65="","",ROW()-5)</f>
        <v/>
      </c>
      <c r="B65" s="70" t="n"/>
      <c r="C65" s="70" t="n"/>
      <c r="D65" s="9" t="n"/>
      <c r="E65" s="9" t="n"/>
      <c r="F65" s="9" t="n"/>
      <c r="G65" s="11" t="n"/>
      <c r="H65" s="9" t="n"/>
      <c r="I65" s="9" t="n"/>
      <c r="J65" s="9" t="n"/>
      <c r="K65" s="71" t="n"/>
      <c r="L65" s="30">
        <f>IF(K65="","",IF(J65="Sí",ROUND(K65*Configuracion!$B$11,0),0))</f>
        <v/>
      </c>
      <c r="M65" s="30">
        <f>IF(K65="","",K65+L65)</f>
        <v/>
      </c>
      <c r="N65" s="71" t="n"/>
      <c r="O65" s="71" t="n"/>
      <c r="P65" s="71" t="n"/>
      <c r="Q65" s="9" t="n"/>
      <c r="R65" s="9" t="n"/>
      <c r="S65" s="15">
        <f>IF(B65="","",YEAR(B65))</f>
        <v/>
      </c>
      <c r="T65" s="15">
        <f>IF(B65="","",MONTH(B65))</f>
        <v/>
      </c>
      <c r="U65" s="15">
        <f>IF(C65="","",YEAR(C65))</f>
        <v/>
      </c>
      <c r="V65" s="15">
        <f>IF(C65="","",MONTH(C65))</f>
        <v/>
      </c>
      <c r="W65" s="30">
        <f>IF(D65="","",IF(D65="Consignación",IF(O65="",0,ROUND(O65/(1+Configuracion!$B$11),0)),IF(N65="",0,ROUND(N65/(1+Configuracion!$B$11),0))))</f>
        <v/>
      </c>
      <c r="X65" s="30">
        <f>IF(W65="","",ROUND(W65*Configuracion!$B$11,0))</f>
        <v/>
      </c>
      <c r="Y65" s="30">
        <f>IF(OR(D65="",Q65&lt;&gt;"Vendido"),0,IF(D65="Consignación",0,IF(K65="",0,K65)))</f>
        <v/>
      </c>
      <c r="Z65" s="30">
        <f>IF(Q65&lt;&gt;"Vendido","",W65-Y65-IF(P65="",0,P65))</f>
        <v/>
      </c>
    </row>
    <row r="66">
      <c r="A66" s="15">
        <f>IF(D66="","",ROW()-5)</f>
        <v/>
      </c>
      <c r="B66" s="70" t="n"/>
      <c r="C66" s="70" t="n"/>
      <c r="D66" s="9" t="n"/>
      <c r="E66" s="9" t="n"/>
      <c r="F66" s="9" t="n"/>
      <c r="G66" s="11" t="n"/>
      <c r="H66" s="9" t="n"/>
      <c r="I66" s="9" t="n"/>
      <c r="J66" s="9" t="n"/>
      <c r="K66" s="71" t="n"/>
      <c r="L66" s="30">
        <f>IF(K66="","",IF(J66="Sí",ROUND(K66*Configuracion!$B$11,0),0))</f>
        <v/>
      </c>
      <c r="M66" s="30">
        <f>IF(K66="","",K66+L66)</f>
        <v/>
      </c>
      <c r="N66" s="71" t="n"/>
      <c r="O66" s="71" t="n"/>
      <c r="P66" s="71" t="n"/>
      <c r="Q66" s="9" t="n"/>
      <c r="R66" s="9" t="n"/>
      <c r="S66" s="15">
        <f>IF(B66="","",YEAR(B66))</f>
        <v/>
      </c>
      <c r="T66" s="15">
        <f>IF(B66="","",MONTH(B66))</f>
        <v/>
      </c>
      <c r="U66" s="15">
        <f>IF(C66="","",YEAR(C66))</f>
        <v/>
      </c>
      <c r="V66" s="15">
        <f>IF(C66="","",MONTH(C66))</f>
        <v/>
      </c>
      <c r="W66" s="30">
        <f>IF(D66="","",IF(D66="Consignación",IF(O66="",0,ROUND(O66/(1+Configuracion!$B$11),0)),IF(N66="",0,ROUND(N66/(1+Configuracion!$B$11),0))))</f>
        <v/>
      </c>
      <c r="X66" s="30">
        <f>IF(W66="","",ROUND(W66*Configuracion!$B$11,0))</f>
        <v/>
      </c>
      <c r="Y66" s="30">
        <f>IF(OR(D66="",Q66&lt;&gt;"Vendido"),0,IF(D66="Consignación",0,IF(K66="",0,K66)))</f>
        <v/>
      </c>
      <c r="Z66" s="30">
        <f>IF(Q66&lt;&gt;"Vendido","",W66-Y66-IF(P66="",0,P66))</f>
        <v/>
      </c>
    </row>
    <row r="67">
      <c r="A67" s="15">
        <f>IF(D67="","",ROW()-5)</f>
        <v/>
      </c>
      <c r="B67" s="70" t="n"/>
      <c r="C67" s="70" t="n"/>
      <c r="D67" s="9" t="n"/>
      <c r="E67" s="9" t="n"/>
      <c r="F67" s="9" t="n"/>
      <c r="G67" s="11" t="n"/>
      <c r="H67" s="9" t="n"/>
      <c r="I67" s="9" t="n"/>
      <c r="J67" s="9" t="n"/>
      <c r="K67" s="71" t="n"/>
      <c r="L67" s="30">
        <f>IF(K67="","",IF(J67="Sí",ROUND(K67*Configuracion!$B$11,0),0))</f>
        <v/>
      </c>
      <c r="M67" s="30">
        <f>IF(K67="","",K67+L67)</f>
        <v/>
      </c>
      <c r="N67" s="71" t="n"/>
      <c r="O67" s="71" t="n"/>
      <c r="P67" s="71" t="n"/>
      <c r="Q67" s="9" t="n"/>
      <c r="R67" s="9" t="n"/>
      <c r="S67" s="15">
        <f>IF(B67="","",YEAR(B67))</f>
        <v/>
      </c>
      <c r="T67" s="15">
        <f>IF(B67="","",MONTH(B67))</f>
        <v/>
      </c>
      <c r="U67" s="15">
        <f>IF(C67="","",YEAR(C67))</f>
        <v/>
      </c>
      <c r="V67" s="15">
        <f>IF(C67="","",MONTH(C67))</f>
        <v/>
      </c>
      <c r="W67" s="30">
        <f>IF(D67="","",IF(D67="Consignación",IF(O67="",0,ROUND(O67/(1+Configuracion!$B$11),0)),IF(N67="",0,ROUND(N67/(1+Configuracion!$B$11),0))))</f>
        <v/>
      </c>
      <c r="X67" s="30">
        <f>IF(W67="","",ROUND(W67*Configuracion!$B$11,0))</f>
        <v/>
      </c>
      <c r="Y67" s="30">
        <f>IF(OR(D67="",Q67&lt;&gt;"Vendido"),0,IF(D67="Consignación",0,IF(K67="",0,K67)))</f>
        <v/>
      </c>
      <c r="Z67" s="30">
        <f>IF(Q67&lt;&gt;"Vendido","",W67-Y67-IF(P67="",0,P67))</f>
        <v/>
      </c>
    </row>
    <row r="68">
      <c r="A68" s="15">
        <f>IF(D68="","",ROW()-5)</f>
        <v/>
      </c>
      <c r="B68" s="70" t="n"/>
      <c r="C68" s="70" t="n"/>
      <c r="D68" s="9" t="n"/>
      <c r="E68" s="9" t="n"/>
      <c r="F68" s="9" t="n"/>
      <c r="G68" s="11" t="n"/>
      <c r="H68" s="9" t="n"/>
      <c r="I68" s="9" t="n"/>
      <c r="J68" s="9" t="n"/>
      <c r="K68" s="71" t="n"/>
      <c r="L68" s="30">
        <f>IF(K68="","",IF(J68="Sí",ROUND(K68*Configuracion!$B$11,0),0))</f>
        <v/>
      </c>
      <c r="M68" s="30">
        <f>IF(K68="","",K68+L68)</f>
        <v/>
      </c>
      <c r="N68" s="71" t="n"/>
      <c r="O68" s="71" t="n"/>
      <c r="P68" s="71" t="n"/>
      <c r="Q68" s="9" t="n"/>
      <c r="R68" s="9" t="n"/>
      <c r="S68" s="15">
        <f>IF(B68="","",YEAR(B68))</f>
        <v/>
      </c>
      <c r="T68" s="15">
        <f>IF(B68="","",MONTH(B68))</f>
        <v/>
      </c>
      <c r="U68" s="15">
        <f>IF(C68="","",YEAR(C68))</f>
        <v/>
      </c>
      <c r="V68" s="15">
        <f>IF(C68="","",MONTH(C68))</f>
        <v/>
      </c>
      <c r="W68" s="30">
        <f>IF(D68="","",IF(D68="Consignación",IF(O68="",0,ROUND(O68/(1+Configuracion!$B$11),0)),IF(N68="",0,ROUND(N68/(1+Configuracion!$B$11),0))))</f>
        <v/>
      </c>
      <c r="X68" s="30">
        <f>IF(W68="","",ROUND(W68*Configuracion!$B$11,0))</f>
        <v/>
      </c>
      <c r="Y68" s="30">
        <f>IF(OR(D68="",Q68&lt;&gt;"Vendido"),0,IF(D68="Consignación",0,IF(K68="",0,K68)))</f>
        <v/>
      </c>
      <c r="Z68" s="30">
        <f>IF(Q68&lt;&gt;"Vendido","",W68-Y68-IF(P68="",0,P68))</f>
        <v/>
      </c>
    </row>
    <row r="69">
      <c r="A69" s="15">
        <f>IF(D69="","",ROW()-5)</f>
        <v/>
      </c>
      <c r="B69" s="70" t="n"/>
      <c r="C69" s="70" t="n"/>
      <c r="D69" s="9" t="n"/>
      <c r="E69" s="9" t="n"/>
      <c r="F69" s="9" t="n"/>
      <c r="G69" s="11" t="n"/>
      <c r="H69" s="9" t="n"/>
      <c r="I69" s="9" t="n"/>
      <c r="J69" s="9" t="n"/>
      <c r="K69" s="71" t="n"/>
      <c r="L69" s="30">
        <f>IF(K69="","",IF(J69="Sí",ROUND(K69*Configuracion!$B$11,0),0))</f>
        <v/>
      </c>
      <c r="M69" s="30">
        <f>IF(K69="","",K69+L69)</f>
        <v/>
      </c>
      <c r="N69" s="71" t="n"/>
      <c r="O69" s="71" t="n"/>
      <c r="P69" s="71" t="n"/>
      <c r="Q69" s="9" t="n"/>
      <c r="R69" s="9" t="n"/>
      <c r="S69" s="15">
        <f>IF(B69="","",YEAR(B69))</f>
        <v/>
      </c>
      <c r="T69" s="15">
        <f>IF(B69="","",MONTH(B69))</f>
        <v/>
      </c>
      <c r="U69" s="15">
        <f>IF(C69="","",YEAR(C69))</f>
        <v/>
      </c>
      <c r="V69" s="15">
        <f>IF(C69="","",MONTH(C69))</f>
        <v/>
      </c>
      <c r="W69" s="30">
        <f>IF(D69="","",IF(D69="Consignación",IF(O69="",0,ROUND(O69/(1+Configuracion!$B$11),0)),IF(N69="",0,ROUND(N69/(1+Configuracion!$B$11),0))))</f>
        <v/>
      </c>
      <c r="X69" s="30">
        <f>IF(W69="","",ROUND(W69*Configuracion!$B$11,0))</f>
        <v/>
      </c>
      <c r="Y69" s="30">
        <f>IF(OR(D69="",Q69&lt;&gt;"Vendido"),0,IF(D69="Consignación",0,IF(K69="",0,K69)))</f>
        <v/>
      </c>
      <c r="Z69" s="30">
        <f>IF(Q69&lt;&gt;"Vendido","",W69-Y69-IF(P69="",0,P69))</f>
        <v/>
      </c>
    </row>
    <row r="70">
      <c r="A70" s="15">
        <f>IF(D70="","",ROW()-5)</f>
        <v/>
      </c>
      <c r="B70" s="70" t="n"/>
      <c r="C70" s="70" t="n"/>
      <c r="D70" s="9" t="n"/>
      <c r="E70" s="9" t="n"/>
      <c r="F70" s="9" t="n"/>
      <c r="G70" s="11" t="n"/>
      <c r="H70" s="9" t="n"/>
      <c r="I70" s="9" t="n"/>
      <c r="J70" s="9" t="n"/>
      <c r="K70" s="71" t="n"/>
      <c r="L70" s="30">
        <f>IF(K70="","",IF(J70="Sí",ROUND(K70*Configuracion!$B$11,0),0))</f>
        <v/>
      </c>
      <c r="M70" s="30">
        <f>IF(K70="","",K70+L70)</f>
        <v/>
      </c>
      <c r="N70" s="71" t="n"/>
      <c r="O70" s="71" t="n"/>
      <c r="P70" s="71" t="n"/>
      <c r="Q70" s="9" t="n"/>
      <c r="R70" s="9" t="n"/>
      <c r="S70" s="15">
        <f>IF(B70="","",YEAR(B70))</f>
        <v/>
      </c>
      <c r="T70" s="15">
        <f>IF(B70="","",MONTH(B70))</f>
        <v/>
      </c>
      <c r="U70" s="15">
        <f>IF(C70="","",YEAR(C70))</f>
        <v/>
      </c>
      <c r="V70" s="15">
        <f>IF(C70="","",MONTH(C70))</f>
        <v/>
      </c>
      <c r="W70" s="30">
        <f>IF(D70="","",IF(D70="Consignación",IF(O70="",0,ROUND(O70/(1+Configuracion!$B$11),0)),IF(N70="",0,ROUND(N70/(1+Configuracion!$B$11),0))))</f>
        <v/>
      </c>
      <c r="X70" s="30">
        <f>IF(W70="","",ROUND(W70*Configuracion!$B$11,0))</f>
        <v/>
      </c>
      <c r="Y70" s="30">
        <f>IF(OR(D70="",Q70&lt;&gt;"Vendido"),0,IF(D70="Consignación",0,IF(K70="",0,K70)))</f>
        <v/>
      </c>
      <c r="Z70" s="30">
        <f>IF(Q70&lt;&gt;"Vendido","",W70-Y70-IF(P70="",0,P70))</f>
        <v/>
      </c>
    </row>
    <row r="71">
      <c r="A71" s="15">
        <f>IF(D71="","",ROW()-5)</f>
        <v/>
      </c>
      <c r="B71" s="70" t="n"/>
      <c r="C71" s="70" t="n"/>
      <c r="D71" s="9" t="n"/>
      <c r="E71" s="9" t="n"/>
      <c r="F71" s="9" t="n"/>
      <c r="G71" s="11" t="n"/>
      <c r="H71" s="9" t="n"/>
      <c r="I71" s="9" t="n"/>
      <c r="J71" s="9" t="n"/>
      <c r="K71" s="71" t="n"/>
      <c r="L71" s="30">
        <f>IF(K71="","",IF(J71="Sí",ROUND(K71*Configuracion!$B$11,0),0))</f>
        <v/>
      </c>
      <c r="M71" s="30">
        <f>IF(K71="","",K71+L71)</f>
        <v/>
      </c>
      <c r="N71" s="71" t="n"/>
      <c r="O71" s="71" t="n"/>
      <c r="P71" s="71" t="n"/>
      <c r="Q71" s="9" t="n"/>
      <c r="R71" s="9" t="n"/>
      <c r="S71" s="15">
        <f>IF(B71="","",YEAR(B71))</f>
        <v/>
      </c>
      <c r="T71" s="15">
        <f>IF(B71="","",MONTH(B71))</f>
        <v/>
      </c>
      <c r="U71" s="15">
        <f>IF(C71="","",YEAR(C71))</f>
        <v/>
      </c>
      <c r="V71" s="15">
        <f>IF(C71="","",MONTH(C71))</f>
        <v/>
      </c>
      <c r="W71" s="30">
        <f>IF(D71="","",IF(D71="Consignación",IF(O71="",0,ROUND(O71/(1+Configuracion!$B$11),0)),IF(N71="",0,ROUND(N71/(1+Configuracion!$B$11),0))))</f>
        <v/>
      </c>
      <c r="X71" s="30">
        <f>IF(W71="","",ROUND(W71*Configuracion!$B$11,0))</f>
        <v/>
      </c>
      <c r="Y71" s="30">
        <f>IF(OR(D71="",Q71&lt;&gt;"Vendido"),0,IF(D71="Consignación",0,IF(K71="",0,K71)))</f>
        <v/>
      </c>
      <c r="Z71" s="30">
        <f>IF(Q71&lt;&gt;"Vendido","",W71-Y71-IF(P71="",0,P71))</f>
        <v/>
      </c>
    </row>
    <row r="72">
      <c r="A72" s="15">
        <f>IF(D72="","",ROW()-5)</f>
        <v/>
      </c>
      <c r="B72" s="70" t="n"/>
      <c r="C72" s="70" t="n"/>
      <c r="D72" s="9" t="n"/>
      <c r="E72" s="9" t="n"/>
      <c r="F72" s="9" t="n"/>
      <c r="G72" s="11" t="n"/>
      <c r="H72" s="9" t="n"/>
      <c r="I72" s="9" t="n"/>
      <c r="J72" s="9" t="n"/>
      <c r="K72" s="71" t="n"/>
      <c r="L72" s="30">
        <f>IF(K72="","",IF(J72="Sí",ROUND(K72*Configuracion!$B$11,0),0))</f>
        <v/>
      </c>
      <c r="M72" s="30">
        <f>IF(K72="","",K72+L72)</f>
        <v/>
      </c>
      <c r="N72" s="71" t="n"/>
      <c r="O72" s="71" t="n"/>
      <c r="P72" s="71" t="n"/>
      <c r="Q72" s="9" t="n"/>
      <c r="R72" s="9" t="n"/>
      <c r="S72" s="15">
        <f>IF(B72="","",YEAR(B72))</f>
        <v/>
      </c>
      <c r="T72" s="15">
        <f>IF(B72="","",MONTH(B72))</f>
        <v/>
      </c>
      <c r="U72" s="15">
        <f>IF(C72="","",YEAR(C72))</f>
        <v/>
      </c>
      <c r="V72" s="15">
        <f>IF(C72="","",MONTH(C72))</f>
        <v/>
      </c>
      <c r="W72" s="30">
        <f>IF(D72="","",IF(D72="Consignación",IF(O72="",0,ROUND(O72/(1+Configuracion!$B$11),0)),IF(N72="",0,ROUND(N72/(1+Configuracion!$B$11),0))))</f>
        <v/>
      </c>
      <c r="X72" s="30">
        <f>IF(W72="","",ROUND(W72*Configuracion!$B$11,0))</f>
        <v/>
      </c>
      <c r="Y72" s="30">
        <f>IF(OR(D72="",Q72&lt;&gt;"Vendido"),0,IF(D72="Consignación",0,IF(K72="",0,K72)))</f>
        <v/>
      </c>
      <c r="Z72" s="30">
        <f>IF(Q72&lt;&gt;"Vendido","",W72-Y72-IF(P72="",0,P72))</f>
        <v/>
      </c>
    </row>
    <row r="73">
      <c r="A73" s="15">
        <f>IF(D73="","",ROW()-5)</f>
        <v/>
      </c>
      <c r="B73" s="70" t="n"/>
      <c r="C73" s="70" t="n"/>
      <c r="D73" s="9" t="n"/>
      <c r="E73" s="9" t="n"/>
      <c r="F73" s="9" t="n"/>
      <c r="G73" s="11" t="n"/>
      <c r="H73" s="9" t="n"/>
      <c r="I73" s="9" t="n"/>
      <c r="J73" s="9" t="n"/>
      <c r="K73" s="71" t="n"/>
      <c r="L73" s="30">
        <f>IF(K73="","",IF(J73="Sí",ROUND(K73*Configuracion!$B$11,0),0))</f>
        <v/>
      </c>
      <c r="M73" s="30">
        <f>IF(K73="","",K73+L73)</f>
        <v/>
      </c>
      <c r="N73" s="71" t="n"/>
      <c r="O73" s="71" t="n"/>
      <c r="P73" s="71" t="n"/>
      <c r="Q73" s="9" t="n"/>
      <c r="R73" s="9" t="n"/>
      <c r="S73" s="15">
        <f>IF(B73="","",YEAR(B73))</f>
        <v/>
      </c>
      <c r="T73" s="15">
        <f>IF(B73="","",MONTH(B73))</f>
        <v/>
      </c>
      <c r="U73" s="15">
        <f>IF(C73="","",YEAR(C73))</f>
        <v/>
      </c>
      <c r="V73" s="15">
        <f>IF(C73="","",MONTH(C73))</f>
        <v/>
      </c>
      <c r="W73" s="30">
        <f>IF(D73="","",IF(D73="Consignación",IF(O73="",0,ROUND(O73/(1+Configuracion!$B$11),0)),IF(N73="",0,ROUND(N73/(1+Configuracion!$B$11),0))))</f>
        <v/>
      </c>
      <c r="X73" s="30">
        <f>IF(W73="","",ROUND(W73*Configuracion!$B$11,0))</f>
        <v/>
      </c>
      <c r="Y73" s="30">
        <f>IF(OR(D73="",Q73&lt;&gt;"Vendido"),0,IF(D73="Consignación",0,IF(K73="",0,K73)))</f>
        <v/>
      </c>
      <c r="Z73" s="30">
        <f>IF(Q73&lt;&gt;"Vendido","",W73-Y73-IF(P73="",0,P73))</f>
        <v/>
      </c>
    </row>
    <row r="74">
      <c r="A74" s="15">
        <f>IF(D74="","",ROW()-5)</f>
        <v/>
      </c>
      <c r="B74" s="70" t="n"/>
      <c r="C74" s="70" t="n"/>
      <c r="D74" s="9" t="n"/>
      <c r="E74" s="9" t="n"/>
      <c r="F74" s="9" t="n"/>
      <c r="G74" s="11" t="n"/>
      <c r="H74" s="9" t="n"/>
      <c r="I74" s="9" t="n"/>
      <c r="J74" s="9" t="n"/>
      <c r="K74" s="71" t="n"/>
      <c r="L74" s="30">
        <f>IF(K74="","",IF(J74="Sí",ROUND(K74*Configuracion!$B$11,0),0))</f>
        <v/>
      </c>
      <c r="M74" s="30">
        <f>IF(K74="","",K74+L74)</f>
        <v/>
      </c>
      <c r="N74" s="71" t="n"/>
      <c r="O74" s="71" t="n"/>
      <c r="P74" s="71" t="n"/>
      <c r="Q74" s="9" t="n"/>
      <c r="R74" s="9" t="n"/>
      <c r="S74" s="15">
        <f>IF(B74="","",YEAR(B74))</f>
        <v/>
      </c>
      <c r="T74" s="15">
        <f>IF(B74="","",MONTH(B74))</f>
        <v/>
      </c>
      <c r="U74" s="15">
        <f>IF(C74="","",YEAR(C74))</f>
        <v/>
      </c>
      <c r="V74" s="15">
        <f>IF(C74="","",MONTH(C74))</f>
        <v/>
      </c>
      <c r="W74" s="30">
        <f>IF(D74="","",IF(D74="Consignación",IF(O74="",0,ROUND(O74/(1+Configuracion!$B$11),0)),IF(N74="",0,ROUND(N74/(1+Configuracion!$B$11),0))))</f>
        <v/>
      </c>
      <c r="X74" s="30">
        <f>IF(W74="","",ROUND(W74*Configuracion!$B$11,0))</f>
        <v/>
      </c>
      <c r="Y74" s="30">
        <f>IF(OR(D74="",Q74&lt;&gt;"Vendido"),0,IF(D74="Consignación",0,IF(K74="",0,K74)))</f>
        <v/>
      </c>
      <c r="Z74" s="30">
        <f>IF(Q74&lt;&gt;"Vendido","",W74-Y74-IF(P74="",0,P74))</f>
        <v/>
      </c>
    </row>
    <row r="75">
      <c r="A75" s="15">
        <f>IF(D75="","",ROW()-5)</f>
        <v/>
      </c>
      <c r="B75" s="70" t="n"/>
      <c r="C75" s="70" t="n"/>
      <c r="D75" s="9" t="n"/>
      <c r="E75" s="9" t="n"/>
      <c r="F75" s="9" t="n"/>
      <c r="G75" s="11" t="n"/>
      <c r="H75" s="9" t="n"/>
      <c r="I75" s="9" t="n"/>
      <c r="J75" s="9" t="n"/>
      <c r="K75" s="71" t="n"/>
      <c r="L75" s="30">
        <f>IF(K75="","",IF(J75="Sí",ROUND(K75*Configuracion!$B$11,0),0))</f>
        <v/>
      </c>
      <c r="M75" s="30">
        <f>IF(K75="","",K75+L75)</f>
        <v/>
      </c>
      <c r="N75" s="71" t="n"/>
      <c r="O75" s="71" t="n"/>
      <c r="P75" s="71" t="n"/>
      <c r="Q75" s="9" t="n"/>
      <c r="R75" s="9" t="n"/>
      <c r="S75" s="15">
        <f>IF(B75="","",YEAR(B75))</f>
        <v/>
      </c>
      <c r="T75" s="15">
        <f>IF(B75="","",MONTH(B75))</f>
        <v/>
      </c>
      <c r="U75" s="15">
        <f>IF(C75="","",YEAR(C75))</f>
        <v/>
      </c>
      <c r="V75" s="15">
        <f>IF(C75="","",MONTH(C75))</f>
        <v/>
      </c>
      <c r="W75" s="30">
        <f>IF(D75="","",IF(D75="Consignación",IF(O75="",0,ROUND(O75/(1+Configuracion!$B$11),0)),IF(N75="",0,ROUND(N75/(1+Configuracion!$B$11),0))))</f>
        <v/>
      </c>
      <c r="X75" s="30">
        <f>IF(W75="","",ROUND(W75*Configuracion!$B$11,0))</f>
        <v/>
      </c>
      <c r="Y75" s="30">
        <f>IF(OR(D75="",Q75&lt;&gt;"Vendido"),0,IF(D75="Consignación",0,IF(K75="",0,K75)))</f>
        <v/>
      </c>
      <c r="Z75" s="30">
        <f>IF(Q75&lt;&gt;"Vendido","",W75-Y75-IF(P75="",0,P75))</f>
        <v/>
      </c>
    </row>
    <row r="76">
      <c r="A76" s="15">
        <f>IF(D76="","",ROW()-5)</f>
        <v/>
      </c>
      <c r="B76" s="70" t="n"/>
      <c r="C76" s="70" t="n"/>
      <c r="D76" s="9" t="n"/>
      <c r="E76" s="9" t="n"/>
      <c r="F76" s="9" t="n"/>
      <c r="G76" s="11" t="n"/>
      <c r="H76" s="9" t="n"/>
      <c r="I76" s="9" t="n"/>
      <c r="J76" s="9" t="n"/>
      <c r="K76" s="71" t="n"/>
      <c r="L76" s="30">
        <f>IF(K76="","",IF(J76="Sí",ROUND(K76*Configuracion!$B$11,0),0))</f>
        <v/>
      </c>
      <c r="M76" s="30">
        <f>IF(K76="","",K76+L76)</f>
        <v/>
      </c>
      <c r="N76" s="71" t="n"/>
      <c r="O76" s="71" t="n"/>
      <c r="P76" s="71" t="n"/>
      <c r="Q76" s="9" t="n"/>
      <c r="R76" s="9" t="n"/>
      <c r="S76" s="15">
        <f>IF(B76="","",YEAR(B76))</f>
        <v/>
      </c>
      <c r="T76" s="15">
        <f>IF(B76="","",MONTH(B76))</f>
        <v/>
      </c>
      <c r="U76" s="15">
        <f>IF(C76="","",YEAR(C76))</f>
        <v/>
      </c>
      <c r="V76" s="15">
        <f>IF(C76="","",MONTH(C76))</f>
        <v/>
      </c>
      <c r="W76" s="30">
        <f>IF(D76="","",IF(D76="Consignación",IF(O76="",0,ROUND(O76/(1+Configuracion!$B$11),0)),IF(N76="",0,ROUND(N76/(1+Configuracion!$B$11),0))))</f>
        <v/>
      </c>
      <c r="X76" s="30">
        <f>IF(W76="","",ROUND(W76*Configuracion!$B$11,0))</f>
        <v/>
      </c>
      <c r="Y76" s="30">
        <f>IF(OR(D76="",Q76&lt;&gt;"Vendido"),0,IF(D76="Consignación",0,IF(K76="",0,K76)))</f>
        <v/>
      </c>
      <c r="Z76" s="30">
        <f>IF(Q76&lt;&gt;"Vendido","",W76-Y76-IF(P76="",0,P76))</f>
        <v/>
      </c>
    </row>
    <row r="77">
      <c r="A77" s="15">
        <f>IF(D77="","",ROW()-5)</f>
        <v/>
      </c>
      <c r="B77" s="70" t="n"/>
      <c r="C77" s="70" t="n"/>
      <c r="D77" s="9" t="n"/>
      <c r="E77" s="9" t="n"/>
      <c r="F77" s="9" t="n"/>
      <c r="G77" s="11" t="n"/>
      <c r="H77" s="9" t="n"/>
      <c r="I77" s="9" t="n"/>
      <c r="J77" s="9" t="n"/>
      <c r="K77" s="71" t="n"/>
      <c r="L77" s="30">
        <f>IF(K77="","",IF(J77="Sí",ROUND(K77*Configuracion!$B$11,0),0))</f>
        <v/>
      </c>
      <c r="M77" s="30">
        <f>IF(K77="","",K77+L77)</f>
        <v/>
      </c>
      <c r="N77" s="71" t="n"/>
      <c r="O77" s="71" t="n"/>
      <c r="P77" s="71" t="n"/>
      <c r="Q77" s="9" t="n"/>
      <c r="R77" s="9" t="n"/>
      <c r="S77" s="15">
        <f>IF(B77="","",YEAR(B77))</f>
        <v/>
      </c>
      <c r="T77" s="15">
        <f>IF(B77="","",MONTH(B77))</f>
        <v/>
      </c>
      <c r="U77" s="15">
        <f>IF(C77="","",YEAR(C77))</f>
        <v/>
      </c>
      <c r="V77" s="15">
        <f>IF(C77="","",MONTH(C77))</f>
        <v/>
      </c>
      <c r="W77" s="30">
        <f>IF(D77="","",IF(D77="Consignación",IF(O77="",0,ROUND(O77/(1+Configuracion!$B$11),0)),IF(N77="",0,ROUND(N77/(1+Configuracion!$B$11),0))))</f>
        <v/>
      </c>
      <c r="X77" s="30">
        <f>IF(W77="","",ROUND(W77*Configuracion!$B$11,0))</f>
        <v/>
      </c>
      <c r="Y77" s="30">
        <f>IF(OR(D77="",Q77&lt;&gt;"Vendido"),0,IF(D77="Consignación",0,IF(K77="",0,K77)))</f>
        <v/>
      </c>
      <c r="Z77" s="30">
        <f>IF(Q77&lt;&gt;"Vendido","",W77-Y77-IF(P77="",0,P77))</f>
        <v/>
      </c>
    </row>
    <row r="78">
      <c r="A78" s="15">
        <f>IF(D78="","",ROW()-5)</f>
        <v/>
      </c>
      <c r="B78" s="70" t="n"/>
      <c r="C78" s="70" t="n"/>
      <c r="D78" s="9" t="n"/>
      <c r="E78" s="9" t="n"/>
      <c r="F78" s="9" t="n"/>
      <c r="G78" s="11" t="n"/>
      <c r="H78" s="9" t="n"/>
      <c r="I78" s="9" t="n"/>
      <c r="J78" s="9" t="n"/>
      <c r="K78" s="71" t="n"/>
      <c r="L78" s="30">
        <f>IF(K78="","",IF(J78="Sí",ROUND(K78*Configuracion!$B$11,0),0))</f>
        <v/>
      </c>
      <c r="M78" s="30">
        <f>IF(K78="","",K78+L78)</f>
        <v/>
      </c>
      <c r="N78" s="71" t="n"/>
      <c r="O78" s="71" t="n"/>
      <c r="P78" s="71" t="n"/>
      <c r="Q78" s="9" t="n"/>
      <c r="R78" s="9" t="n"/>
      <c r="S78" s="15">
        <f>IF(B78="","",YEAR(B78))</f>
        <v/>
      </c>
      <c r="T78" s="15">
        <f>IF(B78="","",MONTH(B78))</f>
        <v/>
      </c>
      <c r="U78" s="15">
        <f>IF(C78="","",YEAR(C78))</f>
        <v/>
      </c>
      <c r="V78" s="15">
        <f>IF(C78="","",MONTH(C78))</f>
        <v/>
      </c>
      <c r="W78" s="30">
        <f>IF(D78="","",IF(D78="Consignación",IF(O78="",0,ROUND(O78/(1+Configuracion!$B$11),0)),IF(N78="",0,ROUND(N78/(1+Configuracion!$B$11),0))))</f>
        <v/>
      </c>
      <c r="X78" s="30">
        <f>IF(W78="","",ROUND(W78*Configuracion!$B$11,0))</f>
        <v/>
      </c>
      <c r="Y78" s="30">
        <f>IF(OR(D78="",Q78&lt;&gt;"Vendido"),0,IF(D78="Consignación",0,IF(K78="",0,K78)))</f>
        <v/>
      </c>
      <c r="Z78" s="30">
        <f>IF(Q78&lt;&gt;"Vendido","",W78-Y78-IF(P78="",0,P78))</f>
        <v/>
      </c>
    </row>
    <row r="79">
      <c r="A79" s="15">
        <f>IF(D79="","",ROW()-5)</f>
        <v/>
      </c>
      <c r="B79" s="70" t="n"/>
      <c r="C79" s="70" t="n"/>
      <c r="D79" s="9" t="n"/>
      <c r="E79" s="9" t="n"/>
      <c r="F79" s="9" t="n"/>
      <c r="G79" s="11" t="n"/>
      <c r="H79" s="9" t="n"/>
      <c r="I79" s="9" t="n"/>
      <c r="J79" s="9" t="n"/>
      <c r="K79" s="71" t="n"/>
      <c r="L79" s="30">
        <f>IF(K79="","",IF(J79="Sí",ROUND(K79*Configuracion!$B$11,0),0))</f>
        <v/>
      </c>
      <c r="M79" s="30">
        <f>IF(K79="","",K79+L79)</f>
        <v/>
      </c>
      <c r="N79" s="71" t="n"/>
      <c r="O79" s="71" t="n"/>
      <c r="P79" s="71" t="n"/>
      <c r="Q79" s="9" t="n"/>
      <c r="R79" s="9" t="n"/>
      <c r="S79" s="15">
        <f>IF(B79="","",YEAR(B79))</f>
        <v/>
      </c>
      <c r="T79" s="15">
        <f>IF(B79="","",MONTH(B79))</f>
        <v/>
      </c>
      <c r="U79" s="15">
        <f>IF(C79="","",YEAR(C79))</f>
        <v/>
      </c>
      <c r="V79" s="15">
        <f>IF(C79="","",MONTH(C79))</f>
        <v/>
      </c>
      <c r="W79" s="30">
        <f>IF(D79="","",IF(D79="Consignación",IF(O79="",0,ROUND(O79/(1+Configuracion!$B$11),0)),IF(N79="",0,ROUND(N79/(1+Configuracion!$B$11),0))))</f>
        <v/>
      </c>
      <c r="X79" s="30">
        <f>IF(W79="","",ROUND(W79*Configuracion!$B$11,0))</f>
        <v/>
      </c>
      <c r="Y79" s="30">
        <f>IF(OR(D79="",Q79&lt;&gt;"Vendido"),0,IF(D79="Consignación",0,IF(K79="",0,K79)))</f>
        <v/>
      </c>
      <c r="Z79" s="30">
        <f>IF(Q79&lt;&gt;"Vendido","",W79-Y79-IF(P79="",0,P79))</f>
        <v/>
      </c>
    </row>
    <row r="80">
      <c r="A80" s="15">
        <f>IF(D80="","",ROW()-5)</f>
        <v/>
      </c>
      <c r="B80" s="70" t="n"/>
      <c r="C80" s="70" t="n"/>
      <c r="D80" s="9" t="n"/>
      <c r="E80" s="9" t="n"/>
      <c r="F80" s="9" t="n"/>
      <c r="G80" s="11" t="n"/>
      <c r="H80" s="9" t="n"/>
      <c r="I80" s="9" t="n"/>
      <c r="J80" s="9" t="n"/>
      <c r="K80" s="71" t="n"/>
      <c r="L80" s="30">
        <f>IF(K80="","",IF(J80="Sí",ROUND(K80*Configuracion!$B$11,0),0))</f>
        <v/>
      </c>
      <c r="M80" s="30">
        <f>IF(K80="","",K80+L80)</f>
        <v/>
      </c>
      <c r="N80" s="71" t="n"/>
      <c r="O80" s="71" t="n"/>
      <c r="P80" s="71" t="n"/>
      <c r="Q80" s="9" t="n"/>
      <c r="R80" s="9" t="n"/>
      <c r="S80" s="15">
        <f>IF(B80="","",YEAR(B80))</f>
        <v/>
      </c>
      <c r="T80" s="15">
        <f>IF(B80="","",MONTH(B80))</f>
        <v/>
      </c>
      <c r="U80" s="15">
        <f>IF(C80="","",YEAR(C80))</f>
        <v/>
      </c>
      <c r="V80" s="15">
        <f>IF(C80="","",MONTH(C80))</f>
        <v/>
      </c>
      <c r="W80" s="30">
        <f>IF(D80="","",IF(D80="Consignación",IF(O80="",0,ROUND(O80/(1+Configuracion!$B$11),0)),IF(N80="",0,ROUND(N80/(1+Configuracion!$B$11),0))))</f>
        <v/>
      </c>
      <c r="X80" s="30">
        <f>IF(W80="","",ROUND(W80*Configuracion!$B$11,0))</f>
        <v/>
      </c>
      <c r="Y80" s="30">
        <f>IF(OR(D80="",Q80&lt;&gt;"Vendido"),0,IF(D80="Consignación",0,IF(K80="",0,K80)))</f>
        <v/>
      </c>
      <c r="Z80" s="30">
        <f>IF(Q80&lt;&gt;"Vendido","",W80-Y80-IF(P80="",0,P80))</f>
        <v/>
      </c>
    </row>
    <row r="81">
      <c r="A81" s="15">
        <f>IF(D81="","",ROW()-5)</f>
        <v/>
      </c>
      <c r="B81" s="70" t="n"/>
      <c r="C81" s="70" t="n"/>
      <c r="D81" s="9" t="n"/>
      <c r="E81" s="9" t="n"/>
      <c r="F81" s="9" t="n"/>
      <c r="G81" s="11" t="n"/>
      <c r="H81" s="9" t="n"/>
      <c r="I81" s="9" t="n"/>
      <c r="J81" s="9" t="n"/>
      <c r="K81" s="71" t="n"/>
      <c r="L81" s="30">
        <f>IF(K81="","",IF(J81="Sí",ROUND(K81*Configuracion!$B$11,0),0))</f>
        <v/>
      </c>
      <c r="M81" s="30">
        <f>IF(K81="","",K81+L81)</f>
        <v/>
      </c>
      <c r="N81" s="71" t="n"/>
      <c r="O81" s="71" t="n"/>
      <c r="P81" s="71" t="n"/>
      <c r="Q81" s="9" t="n"/>
      <c r="R81" s="9" t="n"/>
      <c r="S81" s="15">
        <f>IF(B81="","",YEAR(B81))</f>
        <v/>
      </c>
      <c r="T81" s="15">
        <f>IF(B81="","",MONTH(B81))</f>
        <v/>
      </c>
      <c r="U81" s="15">
        <f>IF(C81="","",YEAR(C81))</f>
        <v/>
      </c>
      <c r="V81" s="15">
        <f>IF(C81="","",MONTH(C81))</f>
        <v/>
      </c>
      <c r="W81" s="30">
        <f>IF(D81="","",IF(D81="Consignación",IF(O81="",0,ROUND(O81/(1+Configuracion!$B$11),0)),IF(N81="",0,ROUND(N81/(1+Configuracion!$B$11),0))))</f>
        <v/>
      </c>
      <c r="X81" s="30">
        <f>IF(W81="","",ROUND(W81*Configuracion!$B$11,0))</f>
        <v/>
      </c>
      <c r="Y81" s="30">
        <f>IF(OR(D81="",Q81&lt;&gt;"Vendido"),0,IF(D81="Consignación",0,IF(K81="",0,K81)))</f>
        <v/>
      </c>
      <c r="Z81" s="30">
        <f>IF(Q81&lt;&gt;"Vendido","",W81-Y81-IF(P81="",0,P81))</f>
        <v/>
      </c>
    </row>
    <row r="82">
      <c r="A82" s="15">
        <f>IF(D82="","",ROW()-5)</f>
        <v/>
      </c>
      <c r="B82" s="70" t="n"/>
      <c r="C82" s="70" t="n"/>
      <c r="D82" s="9" t="n"/>
      <c r="E82" s="9" t="n"/>
      <c r="F82" s="9" t="n"/>
      <c r="G82" s="11" t="n"/>
      <c r="H82" s="9" t="n"/>
      <c r="I82" s="9" t="n"/>
      <c r="J82" s="9" t="n"/>
      <c r="K82" s="71" t="n"/>
      <c r="L82" s="30">
        <f>IF(K82="","",IF(J82="Sí",ROUND(K82*Configuracion!$B$11,0),0))</f>
        <v/>
      </c>
      <c r="M82" s="30">
        <f>IF(K82="","",K82+L82)</f>
        <v/>
      </c>
      <c r="N82" s="71" t="n"/>
      <c r="O82" s="71" t="n"/>
      <c r="P82" s="71" t="n"/>
      <c r="Q82" s="9" t="n"/>
      <c r="R82" s="9" t="n"/>
      <c r="S82" s="15">
        <f>IF(B82="","",YEAR(B82))</f>
        <v/>
      </c>
      <c r="T82" s="15">
        <f>IF(B82="","",MONTH(B82))</f>
        <v/>
      </c>
      <c r="U82" s="15">
        <f>IF(C82="","",YEAR(C82))</f>
        <v/>
      </c>
      <c r="V82" s="15">
        <f>IF(C82="","",MONTH(C82))</f>
        <v/>
      </c>
      <c r="W82" s="30">
        <f>IF(D82="","",IF(D82="Consignación",IF(O82="",0,ROUND(O82/(1+Configuracion!$B$11),0)),IF(N82="",0,ROUND(N82/(1+Configuracion!$B$11),0))))</f>
        <v/>
      </c>
      <c r="X82" s="30">
        <f>IF(W82="","",ROUND(W82*Configuracion!$B$11,0))</f>
        <v/>
      </c>
      <c r="Y82" s="30">
        <f>IF(OR(D82="",Q82&lt;&gt;"Vendido"),0,IF(D82="Consignación",0,IF(K82="",0,K82)))</f>
        <v/>
      </c>
      <c r="Z82" s="30">
        <f>IF(Q82&lt;&gt;"Vendido","",W82-Y82-IF(P82="",0,P82))</f>
        <v/>
      </c>
    </row>
    <row r="83">
      <c r="A83" s="15">
        <f>IF(D83="","",ROW()-5)</f>
        <v/>
      </c>
      <c r="B83" s="70" t="n"/>
      <c r="C83" s="70" t="n"/>
      <c r="D83" s="9" t="n"/>
      <c r="E83" s="9" t="n"/>
      <c r="F83" s="9" t="n"/>
      <c r="G83" s="11" t="n"/>
      <c r="H83" s="9" t="n"/>
      <c r="I83" s="9" t="n"/>
      <c r="J83" s="9" t="n"/>
      <c r="K83" s="71" t="n"/>
      <c r="L83" s="30">
        <f>IF(K83="","",IF(J83="Sí",ROUND(K83*Configuracion!$B$11,0),0))</f>
        <v/>
      </c>
      <c r="M83" s="30">
        <f>IF(K83="","",K83+L83)</f>
        <v/>
      </c>
      <c r="N83" s="71" t="n"/>
      <c r="O83" s="71" t="n"/>
      <c r="P83" s="71" t="n"/>
      <c r="Q83" s="9" t="n"/>
      <c r="R83" s="9" t="n"/>
      <c r="S83" s="15">
        <f>IF(B83="","",YEAR(B83))</f>
        <v/>
      </c>
      <c r="T83" s="15">
        <f>IF(B83="","",MONTH(B83))</f>
        <v/>
      </c>
      <c r="U83" s="15">
        <f>IF(C83="","",YEAR(C83))</f>
        <v/>
      </c>
      <c r="V83" s="15">
        <f>IF(C83="","",MONTH(C83))</f>
        <v/>
      </c>
      <c r="W83" s="30">
        <f>IF(D83="","",IF(D83="Consignación",IF(O83="",0,ROUND(O83/(1+Configuracion!$B$11),0)),IF(N83="",0,ROUND(N83/(1+Configuracion!$B$11),0))))</f>
        <v/>
      </c>
      <c r="X83" s="30">
        <f>IF(W83="","",ROUND(W83*Configuracion!$B$11,0))</f>
        <v/>
      </c>
      <c r="Y83" s="30">
        <f>IF(OR(D83="",Q83&lt;&gt;"Vendido"),0,IF(D83="Consignación",0,IF(K83="",0,K83)))</f>
        <v/>
      </c>
      <c r="Z83" s="30">
        <f>IF(Q83&lt;&gt;"Vendido","",W83-Y83-IF(P83="",0,P83))</f>
        <v/>
      </c>
    </row>
    <row r="84">
      <c r="A84" s="15">
        <f>IF(D84="","",ROW()-5)</f>
        <v/>
      </c>
      <c r="B84" s="70" t="n"/>
      <c r="C84" s="70" t="n"/>
      <c r="D84" s="9" t="n"/>
      <c r="E84" s="9" t="n"/>
      <c r="F84" s="9" t="n"/>
      <c r="G84" s="11" t="n"/>
      <c r="H84" s="9" t="n"/>
      <c r="I84" s="9" t="n"/>
      <c r="J84" s="9" t="n"/>
      <c r="K84" s="71" t="n"/>
      <c r="L84" s="30">
        <f>IF(K84="","",IF(J84="Sí",ROUND(K84*Configuracion!$B$11,0),0))</f>
        <v/>
      </c>
      <c r="M84" s="30">
        <f>IF(K84="","",K84+L84)</f>
        <v/>
      </c>
      <c r="N84" s="71" t="n"/>
      <c r="O84" s="71" t="n"/>
      <c r="P84" s="71" t="n"/>
      <c r="Q84" s="9" t="n"/>
      <c r="R84" s="9" t="n"/>
      <c r="S84" s="15">
        <f>IF(B84="","",YEAR(B84))</f>
        <v/>
      </c>
      <c r="T84" s="15">
        <f>IF(B84="","",MONTH(B84))</f>
        <v/>
      </c>
      <c r="U84" s="15">
        <f>IF(C84="","",YEAR(C84))</f>
        <v/>
      </c>
      <c r="V84" s="15">
        <f>IF(C84="","",MONTH(C84))</f>
        <v/>
      </c>
      <c r="W84" s="30">
        <f>IF(D84="","",IF(D84="Consignación",IF(O84="",0,ROUND(O84/(1+Configuracion!$B$11),0)),IF(N84="",0,ROUND(N84/(1+Configuracion!$B$11),0))))</f>
        <v/>
      </c>
      <c r="X84" s="30">
        <f>IF(W84="","",ROUND(W84*Configuracion!$B$11,0))</f>
        <v/>
      </c>
      <c r="Y84" s="30">
        <f>IF(OR(D84="",Q84&lt;&gt;"Vendido"),0,IF(D84="Consignación",0,IF(K84="",0,K84)))</f>
        <v/>
      </c>
      <c r="Z84" s="30">
        <f>IF(Q84&lt;&gt;"Vendido","",W84-Y84-IF(P84="",0,P84))</f>
        <v/>
      </c>
    </row>
    <row r="85">
      <c r="A85" s="15">
        <f>IF(D85="","",ROW()-5)</f>
        <v/>
      </c>
      <c r="B85" s="70" t="n"/>
      <c r="C85" s="70" t="n"/>
      <c r="D85" s="9" t="n"/>
      <c r="E85" s="9" t="n"/>
      <c r="F85" s="9" t="n"/>
      <c r="G85" s="11" t="n"/>
      <c r="H85" s="9" t="n"/>
      <c r="I85" s="9" t="n"/>
      <c r="J85" s="9" t="n"/>
      <c r="K85" s="71" t="n"/>
      <c r="L85" s="30">
        <f>IF(K85="","",IF(J85="Sí",ROUND(K85*Configuracion!$B$11,0),0))</f>
        <v/>
      </c>
      <c r="M85" s="30">
        <f>IF(K85="","",K85+L85)</f>
        <v/>
      </c>
      <c r="N85" s="71" t="n"/>
      <c r="O85" s="71" t="n"/>
      <c r="P85" s="71" t="n"/>
      <c r="Q85" s="9" t="n"/>
      <c r="R85" s="9" t="n"/>
      <c r="S85" s="15">
        <f>IF(B85="","",YEAR(B85))</f>
        <v/>
      </c>
      <c r="T85" s="15">
        <f>IF(B85="","",MONTH(B85))</f>
        <v/>
      </c>
      <c r="U85" s="15">
        <f>IF(C85="","",YEAR(C85))</f>
        <v/>
      </c>
      <c r="V85" s="15">
        <f>IF(C85="","",MONTH(C85))</f>
        <v/>
      </c>
      <c r="W85" s="30">
        <f>IF(D85="","",IF(D85="Consignación",IF(O85="",0,ROUND(O85/(1+Configuracion!$B$11),0)),IF(N85="",0,ROUND(N85/(1+Configuracion!$B$11),0))))</f>
        <v/>
      </c>
      <c r="X85" s="30">
        <f>IF(W85="","",ROUND(W85*Configuracion!$B$11,0))</f>
        <v/>
      </c>
      <c r="Y85" s="30">
        <f>IF(OR(D85="",Q85&lt;&gt;"Vendido"),0,IF(D85="Consignación",0,IF(K85="",0,K85)))</f>
        <v/>
      </c>
      <c r="Z85" s="30">
        <f>IF(Q85&lt;&gt;"Vendido","",W85-Y85-IF(P85="",0,P85))</f>
        <v/>
      </c>
    </row>
    <row r="86">
      <c r="A86" s="15">
        <f>IF(D86="","",ROW()-5)</f>
        <v/>
      </c>
      <c r="B86" s="70" t="n"/>
      <c r="C86" s="70" t="n"/>
      <c r="D86" s="9" t="n"/>
      <c r="E86" s="9" t="n"/>
      <c r="F86" s="9" t="n"/>
      <c r="G86" s="11" t="n"/>
      <c r="H86" s="9" t="n"/>
      <c r="I86" s="9" t="n"/>
      <c r="J86" s="9" t="n"/>
      <c r="K86" s="71" t="n"/>
      <c r="L86" s="30">
        <f>IF(K86="","",IF(J86="Sí",ROUND(K86*Configuracion!$B$11,0),0))</f>
        <v/>
      </c>
      <c r="M86" s="30">
        <f>IF(K86="","",K86+L86)</f>
        <v/>
      </c>
      <c r="N86" s="71" t="n"/>
      <c r="O86" s="71" t="n"/>
      <c r="P86" s="71" t="n"/>
      <c r="Q86" s="9" t="n"/>
      <c r="R86" s="9" t="n"/>
      <c r="S86" s="15">
        <f>IF(B86="","",YEAR(B86))</f>
        <v/>
      </c>
      <c r="T86" s="15">
        <f>IF(B86="","",MONTH(B86))</f>
        <v/>
      </c>
      <c r="U86" s="15">
        <f>IF(C86="","",YEAR(C86))</f>
        <v/>
      </c>
      <c r="V86" s="15">
        <f>IF(C86="","",MONTH(C86))</f>
        <v/>
      </c>
      <c r="W86" s="30">
        <f>IF(D86="","",IF(D86="Consignación",IF(O86="",0,ROUND(O86/(1+Configuracion!$B$11),0)),IF(N86="",0,ROUND(N86/(1+Configuracion!$B$11),0))))</f>
        <v/>
      </c>
      <c r="X86" s="30">
        <f>IF(W86="","",ROUND(W86*Configuracion!$B$11,0))</f>
        <v/>
      </c>
      <c r="Y86" s="30">
        <f>IF(OR(D86="",Q86&lt;&gt;"Vendido"),0,IF(D86="Consignación",0,IF(K86="",0,K86)))</f>
        <v/>
      </c>
      <c r="Z86" s="30">
        <f>IF(Q86&lt;&gt;"Vendido","",W86-Y86-IF(P86="",0,P86))</f>
        <v/>
      </c>
    </row>
    <row r="87">
      <c r="A87" s="15">
        <f>IF(D87="","",ROW()-5)</f>
        <v/>
      </c>
      <c r="B87" s="70" t="n"/>
      <c r="C87" s="70" t="n"/>
      <c r="D87" s="9" t="n"/>
      <c r="E87" s="9" t="n"/>
      <c r="F87" s="9" t="n"/>
      <c r="G87" s="11" t="n"/>
      <c r="H87" s="9" t="n"/>
      <c r="I87" s="9" t="n"/>
      <c r="J87" s="9" t="n"/>
      <c r="K87" s="71" t="n"/>
      <c r="L87" s="30">
        <f>IF(K87="","",IF(J87="Sí",ROUND(K87*Configuracion!$B$11,0),0))</f>
        <v/>
      </c>
      <c r="M87" s="30">
        <f>IF(K87="","",K87+L87)</f>
        <v/>
      </c>
      <c r="N87" s="71" t="n"/>
      <c r="O87" s="71" t="n"/>
      <c r="P87" s="71" t="n"/>
      <c r="Q87" s="9" t="n"/>
      <c r="R87" s="9" t="n"/>
      <c r="S87" s="15">
        <f>IF(B87="","",YEAR(B87))</f>
        <v/>
      </c>
      <c r="T87" s="15">
        <f>IF(B87="","",MONTH(B87))</f>
        <v/>
      </c>
      <c r="U87" s="15">
        <f>IF(C87="","",YEAR(C87))</f>
        <v/>
      </c>
      <c r="V87" s="15">
        <f>IF(C87="","",MONTH(C87))</f>
        <v/>
      </c>
      <c r="W87" s="30">
        <f>IF(D87="","",IF(D87="Consignación",IF(O87="",0,ROUND(O87/(1+Configuracion!$B$11),0)),IF(N87="",0,ROUND(N87/(1+Configuracion!$B$11),0))))</f>
        <v/>
      </c>
      <c r="X87" s="30">
        <f>IF(W87="","",ROUND(W87*Configuracion!$B$11,0))</f>
        <v/>
      </c>
      <c r="Y87" s="30">
        <f>IF(OR(D87="",Q87&lt;&gt;"Vendido"),0,IF(D87="Consignación",0,IF(K87="",0,K87)))</f>
        <v/>
      </c>
      <c r="Z87" s="30">
        <f>IF(Q87&lt;&gt;"Vendido","",W87-Y87-IF(P87="",0,P87))</f>
        <v/>
      </c>
    </row>
    <row r="88">
      <c r="A88" s="15">
        <f>IF(D88="","",ROW()-5)</f>
        <v/>
      </c>
      <c r="B88" s="70" t="n"/>
      <c r="C88" s="70" t="n"/>
      <c r="D88" s="9" t="n"/>
      <c r="E88" s="9" t="n"/>
      <c r="F88" s="9" t="n"/>
      <c r="G88" s="11" t="n"/>
      <c r="H88" s="9" t="n"/>
      <c r="I88" s="9" t="n"/>
      <c r="J88" s="9" t="n"/>
      <c r="K88" s="71" t="n"/>
      <c r="L88" s="30">
        <f>IF(K88="","",IF(J88="Sí",ROUND(K88*Configuracion!$B$11,0),0))</f>
        <v/>
      </c>
      <c r="M88" s="30">
        <f>IF(K88="","",K88+L88)</f>
        <v/>
      </c>
      <c r="N88" s="71" t="n"/>
      <c r="O88" s="71" t="n"/>
      <c r="P88" s="71" t="n"/>
      <c r="Q88" s="9" t="n"/>
      <c r="R88" s="9" t="n"/>
      <c r="S88" s="15">
        <f>IF(B88="","",YEAR(B88))</f>
        <v/>
      </c>
      <c r="T88" s="15">
        <f>IF(B88="","",MONTH(B88))</f>
        <v/>
      </c>
      <c r="U88" s="15">
        <f>IF(C88="","",YEAR(C88))</f>
        <v/>
      </c>
      <c r="V88" s="15">
        <f>IF(C88="","",MONTH(C88))</f>
        <v/>
      </c>
      <c r="W88" s="30">
        <f>IF(D88="","",IF(D88="Consignación",IF(O88="",0,ROUND(O88/(1+Configuracion!$B$11),0)),IF(N88="",0,ROUND(N88/(1+Configuracion!$B$11),0))))</f>
        <v/>
      </c>
      <c r="X88" s="30">
        <f>IF(W88="","",ROUND(W88*Configuracion!$B$11,0))</f>
        <v/>
      </c>
      <c r="Y88" s="30">
        <f>IF(OR(D88="",Q88&lt;&gt;"Vendido"),0,IF(D88="Consignación",0,IF(K88="",0,K88)))</f>
        <v/>
      </c>
      <c r="Z88" s="30">
        <f>IF(Q88&lt;&gt;"Vendido","",W88-Y88-IF(P88="",0,P88))</f>
        <v/>
      </c>
    </row>
    <row r="89">
      <c r="A89" s="15">
        <f>IF(D89="","",ROW()-5)</f>
        <v/>
      </c>
      <c r="B89" s="70" t="n"/>
      <c r="C89" s="70" t="n"/>
      <c r="D89" s="9" t="n"/>
      <c r="E89" s="9" t="n"/>
      <c r="F89" s="9" t="n"/>
      <c r="G89" s="11" t="n"/>
      <c r="H89" s="9" t="n"/>
      <c r="I89" s="9" t="n"/>
      <c r="J89" s="9" t="n"/>
      <c r="K89" s="71" t="n"/>
      <c r="L89" s="30">
        <f>IF(K89="","",IF(J89="Sí",ROUND(K89*Configuracion!$B$11,0),0))</f>
        <v/>
      </c>
      <c r="M89" s="30">
        <f>IF(K89="","",K89+L89)</f>
        <v/>
      </c>
      <c r="N89" s="71" t="n"/>
      <c r="O89" s="71" t="n"/>
      <c r="P89" s="71" t="n"/>
      <c r="Q89" s="9" t="n"/>
      <c r="R89" s="9" t="n"/>
      <c r="S89" s="15">
        <f>IF(B89="","",YEAR(B89))</f>
        <v/>
      </c>
      <c r="T89" s="15">
        <f>IF(B89="","",MONTH(B89))</f>
        <v/>
      </c>
      <c r="U89" s="15">
        <f>IF(C89="","",YEAR(C89))</f>
        <v/>
      </c>
      <c r="V89" s="15">
        <f>IF(C89="","",MONTH(C89))</f>
        <v/>
      </c>
      <c r="W89" s="30">
        <f>IF(D89="","",IF(D89="Consignación",IF(O89="",0,ROUND(O89/(1+Configuracion!$B$11),0)),IF(N89="",0,ROUND(N89/(1+Configuracion!$B$11),0))))</f>
        <v/>
      </c>
      <c r="X89" s="30">
        <f>IF(W89="","",ROUND(W89*Configuracion!$B$11,0))</f>
        <v/>
      </c>
      <c r="Y89" s="30">
        <f>IF(OR(D89="",Q89&lt;&gt;"Vendido"),0,IF(D89="Consignación",0,IF(K89="",0,K89)))</f>
        <v/>
      </c>
      <c r="Z89" s="30">
        <f>IF(Q89&lt;&gt;"Vendido","",W89-Y89-IF(P89="",0,P89))</f>
        <v/>
      </c>
    </row>
    <row r="90">
      <c r="A90" s="15">
        <f>IF(D90="","",ROW()-5)</f>
        <v/>
      </c>
      <c r="B90" s="70" t="n"/>
      <c r="C90" s="70" t="n"/>
      <c r="D90" s="9" t="n"/>
      <c r="E90" s="9" t="n"/>
      <c r="F90" s="9" t="n"/>
      <c r="G90" s="11" t="n"/>
      <c r="H90" s="9" t="n"/>
      <c r="I90" s="9" t="n"/>
      <c r="J90" s="9" t="n"/>
      <c r="K90" s="71" t="n"/>
      <c r="L90" s="30">
        <f>IF(K90="","",IF(J90="Sí",ROUND(K90*Configuracion!$B$11,0),0))</f>
        <v/>
      </c>
      <c r="M90" s="30">
        <f>IF(K90="","",K90+L90)</f>
        <v/>
      </c>
      <c r="N90" s="71" t="n"/>
      <c r="O90" s="71" t="n"/>
      <c r="P90" s="71" t="n"/>
      <c r="Q90" s="9" t="n"/>
      <c r="R90" s="9" t="n"/>
      <c r="S90" s="15">
        <f>IF(B90="","",YEAR(B90))</f>
        <v/>
      </c>
      <c r="T90" s="15">
        <f>IF(B90="","",MONTH(B90))</f>
        <v/>
      </c>
      <c r="U90" s="15">
        <f>IF(C90="","",YEAR(C90))</f>
        <v/>
      </c>
      <c r="V90" s="15">
        <f>IF(C90="","",MONTH(C90))</f>
        <v/>
      </c>
      <c r="W90" s="30">
        <f>IF(D90="","",IF(D90="Consignación",IF(O90="",0,ROUND(O90/(1+Configuracion!$B$11),0)),IF(N90="",0,ROUND(N90/(1+Configuracion!$B$11),0))))</f>
        <v/>
      </c>
      <c r="X90" s="30">
        <f>IF(W90="","",ROUND(W90*Configuracion!$B$11,0))</f>
        <v/>
      </c>
      <c r="Y90" s="30">
        <f>IF(OR(D90="",Q90&lt;&gt;"Vendido"),0,IF(D90="Consignación",0,IF(K90="",0,K90)))</f>
        <v/>
      </c>
      <c r="Z90" s="30">
        <f>IF(Q90&lt;&gt;"Vendido","",W90-Y90-IF(P90="",0,P90))</f>
        <v/>
      </c>
    </row>
    <row r="91">
      <c r="A91" s="15">
        <f>IF(D91="","",ROW()-5)</f>
        <v/>
      </c>
      <c r="B91" s="70" t="n"/>
      <c r="C91" s="70" t="n"/>
      <c r="D91" s="9" t="n"/>
      <c r="E91" s="9" t="n"/>
      <c r="F91" s="9" t="n"/>
      <c r="G91" s="11" t="n"/>
      <c r="H91" s="9" t="n"/>
      <c r="I91" s="9" t="n"/>
      <c r="J91" s="9" t="n"/>
      <c r="K91" s="71" t="n"/>
      <c r="L91" s="30">
        <f>IF(K91="","",IF(J91="Sí",ROUND(K91*Configuracion!$B$11,0),0))</f>
        <v/>
      </c>
      <c r="M91" s="30">
        <f>IF(K91="","",K91+L91)</f>
        <v/>
      </c>
      <c r="N91" s="71" t="n"/>
      <c r="O91" s="71" t="n"/>
      <c r="P91" s="71" t="n"/>
      <c r="Q91" s="9" t="n"/>
      <c r="R91" s="9" t="n"/>
      <c r="S91" s="15">
        <f>IF(B91="","",YEAR(B91))</f>
        <v/>
      </c>
      <c r="T91" s="15">
        <f>IF(B91="","",MONTH(B91))</f>
        <v/>
      </c>
      <c r="U91" s="15">
        <f>IF(C91="","",YEAR(C91))</f>
        <v/>
      </c>
      <c r="V91" s="15">
        <f>IF(C91="","",MONTH(C91))</f>
        <v/>
      </c>
      <c r="W91" s="30">
        <f>IF(D91="","",IF(D91="Consignación",IF(O91="",0,ROUND(O91/(1+Configuracion!$B$11),0)),IF(N91="",0,ROUND(N91/(1+Configuracion!$B$11),0))))</f>
        <v/>
      </c>
      <c r="X91" s="30">
        <f>IF(W91="","",ROUND(W91*Configuracion!$B$11,0))</f>
        <v/>
      </c>
      <c r="Y91" s="30">
        <f>IF(OR(D91="",Q91&lt;&gt;"Vendido"),0,IF(D91="Consignación",0,IF(K91="",0,K91)))</f>
        <v/>
      </c>
      <c r="Z91" s="30">
        <f>IF(Q91&lt;&gt;"Vendido","",W91-Y91-IF(P91="",0,P91))</f>
        <v/>
      </c>
    </row>
    <row r="92">
      <c r="A92" s="15">
        <f>IF(D92="","",ROW()-5)</f>
        <v/>
      </c>
      <c r="B92" s="70" t="n"/>
      <c r="C92" s="70" t="n"/>
      <c r="D92" s="9" t="n"/>
      <c r="E92" s="9" t="n"/>
      <c r="F92" s="9" t="n"/>
      <c r="G92" s="11" t="n"/>
      <c r="H92" s="9" t="n"/>
      <c r="I92" s="9" t="n"/>
      <c r="J92" s="9" t="n"/>
      <c r="K92" s="71" t="n"/>
      <c r="L92" s="30">
        <f>IF(K92="","",IF(J92="Sí",ROUND(K92*Configuracion!$B$11,0),0))</f>
        <v/>
      </c>
      <c r="M92" s="30">
        <f>IF(K92="","",K92+L92)</f>
        <v/>
      </c>
      <c r="N92" s="71" t="n"/>
      <c r="O92" s="71" t="n"/>
      <c r="P92" s="71" t="n"/>
      <c r="Q92" s="9" t="n"/>
      <c r="R92" s="9" t="n"/>
      <c r="S92" s="15">
        <f>IF(B92="","",YEAR(B92))</f>
        <v/>
      </c>
      <c r="T92" s="15">
        <f>IF(B92="","",MONTH(B92))</f>
        <v/>
      </c>
      <c r="U92" s="15">
        <f>IF(C92="","",YEAR(C92))</f>
        <v/>
      </c>
      <c r="V92" s="15">
        <f>IF(C92="","",MONTH(C92))</f>
        <v/>
      </c>
      <c r="W92" s="30">
        <f>IF(D92="","",IF(D92="Consignación",IF(O92="",0,ROUND(O92/(1+Configuracion!$B$11),0)),IF(N92="",0,ROUND(N92/(1+Configuracion!$B$11),0))))</f>
        <v/>
      </c>
      <c r="X92" s="30">
        <f>IF(W92="","",ROUND(W92*Configuracion!$B$11,0))</f>
        <v/>
      </c>
      <c r="Y92" s="30">
        <f>IF(OR(D92="",Q92&lt;&gt;"Vendido"),0,IF(D92="Consignación",0,IF(K92="",0,K92)))</f>
        <v/>
      </c>
      <c r="Z92" s="30">
        <f>IF(Q92&lt;&gt;"Vendido","",W92-Y92-IF(P92="",0,P92))</f>
        <v/>
      </c>
    </row>
    <row r="93">
      <c r="A93" s="15">
        <f>IF(D93="","",ROW()-5)</f>
        <v/>
      </c>
      <c r="B93" s="70" t="n"/>
      <c r="C93" s="70" t="n"/>
      <c r="D93" s="9" t="n"/>
      <c r="E93" s="9" t="n"/>
      <c r="F93" s="9" t="n"/>
      <c r="G93" s="11" t="n"/>
      <c r="H93" s="9" t="n"/>
      <c r="I93" s="9" t="n"/>
      <c r="J93" s="9" t="n"/>
      <c r="K93" s="71" t="n"/>
      <c r="L93" s="30">
        <f>IF(K93="","",IF(J93="Sí",ROUND(K93*Configuracion!$B$11,0),0))</f>
        <v/>
      </c>
      <c r="M93" s="30">
        <f>IF(K93="","",K93+L93)</f>
        <v/>
      </c>
      <c r="N93" s="71" t="n"/>
      <c r="O93" s="71" t="n"/>
      <c r="P93" s="71" t="n"/>
      <c r="Q93" s="9" t="n"/>
      <c r="R93" s="9" t="n"/>
      <c r="S93" s="15">
        <f>IF(B93="","",YEAR(B93))</f>
        <v/>
      </c>
      <c r="T93" s="15">
        <f>IF(B93="","",MONTH(B93))</f>
        <v/>
      </c>
      <c r="U93" s="15">
        <f>IF(C93="","",YEAR(C93))</f>
        <v/>
      </c>
      <c r="V93" s="15">
        <f>IF(C93="","",MONTH(C93))</f>
        <v/>
      </c>
      <c r="W93" s="30">
        <f>IF(D93="","",IF(D93="Consignación",IF(O93="",0,ROUND(O93/(1+Configuracion!$B$11),0)),IF(N93="",0,ROUND(N93/(1+Configuracion!$B$11),0))))</f>
        <v/>
      </c>
      <c r="X93" s="30">
        <f>IF(W93="","",ROUND(W93*Configuracion!$B$11,0))</f>
        <v/>
      </c>
      <c r="Y93" s="30">
        <f>IF(OR(D93="",Q93&lt;&gt;"Vendido"),0,IF(D93="Consignación",0,IF(K93="",0,K93)))</f>
        <v/>
      </c>
      <c r="Z93" s="30">
        <f>IF(Q93&lt;&gt;"Vendido","",W93-Y93-IF(P93="",0,P93))</f>
        <v/>
      </c>
    </row>
    <row r="94">
      <c r="A94" s="15">
        <f>IF(D94="","",ROW()-5)</f>
        <v/>
      </c>
      <c r="B94" s="70" t="n"/>
      <c r="C94" s="70" t="n"/>
      <c r="D94" s="9" t="n"/>
      <c r="E94" s="9" t="n"/>
      <c r="F94" s="9" t="n"/>
      <c r="G94" s="11" t="n"/>
      <c r="H94" s="9" t="n"/>
      <c r="I94" s="9" t="n"/>
      <c r="J94" s="9" t="n"/>
      <c r="K94" s="71" t="n"/>
      <c r="L94" s="30">
        <f>IF(K94="","",IF(J94="Sí",ROUND(K94*Configuracion!$B$11,0),0))</f>
        <v/>
      </c>
      <c r="M94" s="30">
        <f>IF(K94="","",K94+L94)</f>
        <v/>
      </c>
      <c r="N94" s="71" t="n"/>
      <c r="O94" s="71" t="n"/>
      <c r="P94" s="71" t="n"/>
      <c r="Q94" s="9" t="n"/>
      <c r="R94" s="9" t="n"/>
      <c r="S94" s="15">
        <f>IF(B94="","",YEAR(B94))</f>
        <v/>
      </c>
      <c r="T94" s="15">
        <f>IF(B94="","",MONTH(B94))</f>
        <v/>
      </c>
      <c r="U94" s="15">
        <f>IF(C94="","",YEAR(C94))</f>
        <v/>
      </c>
      <c r="V94" s="15">
        <f>IF(C94="","",MONTH(C94))</f>
        <v/>
      </c>
      <c r="W94" s="30">
        <f>IF(D94="","",IF(D94="Consignación",IF(O94="",0,ROUND(O94/(1+Configuracion!$B$11),0)),IF(N94="",0,ROUND(N94/(1+Configuracion!$B$11),0))))</f>
        <v/>
      </c>
      <c r="X94" s="30">
        <f>IF(W94="","",ROUND(W94*Configuracion!$B$11,0))</f>
        <v/>
      </c>
      <c r="Y94" s="30">
        <f>IF(OR(D94="",Q94&lt;&gt;"Vendido"),0,IF(D94="Consignación",0,IF(K94="",0,K94)))</f>
        <v/>
      </c>
      <c r="Z94" s="30">
        <f>IF(Q94&lt;&gt;"Vendido","",W94-Y94-IF(P94="",0,P94))</f>
        <v/>
      </c>
    </row>
    <row r="95">
      <c r="A95" s="15">
        <f>IF(D95="","",ROW()-5)</f>
        <v/>
      </c>
      <c r="B95" s="70" t="n"/>
      <c r="C95" s="70" t="n"/>
      <c r="D95" s="9" t="n"/>
      <c r="E95" s="9" t="n"/>
      <c r="F95" s="9" t="n"/>
      <c r="G95" s="11" t="n"/>
      <c r="H95" s="9" t="n"/>
      <c r="I95" s="9" t="n"/>
      <c r="J95" s="9" t="n"/>
      <c r="K95" s="71" t="n"/>
      <c r="L95" s="30">
        <f>IF(K95="","",IF(J95="Sí",ROUND(K95*Configuracion!$B$11,0),0))</f>
        <v/>
      </c>
      <c r="M95" s="30">
        <f>IF(K95="","",K95+L95)</f>
        <v/>
      </c>
      <c r="N95" s="71" t="n"/>
      <c r="O95" s="71" t="n"/>
      <c r="P95" s="71" t="n"/>
      <c r="Q95" s="9" t="n"/>
      <c r="R95" s="9" t="n"/>
      <c r="S95" s="15">
        <f>IF(B95="","",YEAR(B95))</f>
        <v/>
      </c>
      <c r="T95" s="15">
        <f>IF(B95="","",MONTH(B95))</f>
        <v/>
      </c>
      <c r="U95" s="15">
        <f>IF(C95="","",YEAR(C95))</f>
        <v/>
      </c>
      <c r="V95" s="15">
        <f>IF(C95="","",MONTH(C95))</f>
        <v/>
      </c>
      <c r="W95" s="30">
        <f>IF(D95="","",IF(D95="Consignación",IF(O95="",0,ROUND(O95/(1+Configuracion!$B$11),0)),IF(N95="",0,ROUND(N95/(1+Configuracion!$B$11),0))))</f>
        <v/>
      </c>
      <c r="X95" s="30">
        <f>IF(W95="","",ROUND(W95*Configuracion!$B$11,0))</f>
        <v/>
      </c>
      <c r="Y95" s="30">
        <f>IF(OR(D95="",Q95&lt;&gt;"Vendido"),0,IF(D95="Consignación",0,IF(K95="",0,K95)))</f>
        <v/>
      </c>
      <c r="Z95" s="30">
        <f>IF(Q95&lt;&gt;"Vendido","",W95-Y95-IF(P95="",0,P95))</f>
        <v/>
      </c>
    </row>
    <row r="96">
      <c r="A96" s="15">
        <f>IF(D96="","",ROW()-5)</f>
        <v/>
      </c>
      <c r="B96" s="70" t="n"/>
      <c r="C96" s="70" t="n"/>
      <c r="D96" s="9" t="n"/>
      <c r="E96" s="9" t="n"/>
      <c r="F96" s="9" t="n"/>
      <c r="G96" s="11" t="n"/>
      <c r="H96" s="9" t="n"/>
      <c r="I96" s="9" t="n"/>
      <c r="J96" s="9" t="n"/>
      <c r="K96" s="71" t="n"/>
      <c r="L96" s="30">
        <f>IF(K96="","",IF(J96="Sí",ROUND(K96*Configuracion!$B$11,0),0))</f>
        <v/>
      </c>
      <c r="M96" s="30">
        <f>IF(K96="","",K96+L96)</f>
        <v/>
      </c>
      <c r="N96" s="71" t="n"/>
      <c r="O96" s="71" t="n"/>
      <c r="P96" s="71" t="n"/>
      <c r="Q96" s="9" t="n"/>
      <c r="R96" s="9" t="n"/>
      <c r="S96" s="15">
        <f>IF(B96="","",YEAR(B96))</f>
        <v/>
      </c>
      <c r="T96" s="15">
        <f>IF(B96="","",MONTH(B96))</f>
        <v/>
      </c>
      <c r="U96" s="15">
        <f>IF(C96="","",YEAR(C96))</f>
        <v/>
      </c>
      <c r="V96" s="15">
        <f>IF(C96="","",MONTH(C96))</f>
        <v/>
      </c>
      <c r="W96" s="30">
        <f>IF(D96="","",IF(D96="Consignación",IF(O96="",0,ROUND(O96/(1+Configuracion!$B$11),0)),IF(N96="",0,ROUND(N96/(1+Configuracion!$B$11),0))))</f>
        <v/>
      </c>
      <c r="X96" s="30">
        <f>IF(W96="","",ROUND(W96*Configuracion!$B$11,0))</f>
        <v/>
      </c>
      <c r="Y96" s="30">
        <f>IF(OR(D96="",Q96&lt;&gt;"Vendido"),0,IF(D96="Consignación",0,IF(K96="",0,K96)))</f>
        <v/>
      </c>
      <c r="Z96" s="30">
        <f>IF(Q96&lt;&gt;"Vendido","",W96-Y96-IF(P96="",0,P96))</f>
        <v/>
      </c>
    </row>
    <row r="97">
      <c r="A97" s="15">
        <f>IF(D97="","",ROW()-5)</f>
        <v/>
      </c>
      <c r="B97" s="70" t="n"/>
      <c r="C97" s="70" t="n"/>
      <c r="D97" s="9" t="n"/>
      <c r="E97" s="9" t="n"/>
      <c r="F97" s="9" t="n"/>
      <c r="G97" s="11" t="n"/>
      <c r="H97" s="9" t="n"/>
      <c r="I97" s="9" t="n"/>
      <c r="J97" s="9" t="n"/>
      <c r="K97" s="71" t="n"/>
      <c r="L97" s="30">
        <f>IF(K97="","",IF(J97="Sí",ROUND(K97*Configuracion!$B$11,0),0))</f>
        <v/>
      </c>
      <c r="M97" s="30">
        <f>IF(K97="","",K97+L97)</f>
        <v/>
      </c>
      <c r="N97" s="71" t="n"/>
      <c r="O97" s="71" t="n"/>
      <c r="P97" s="71" t="n"/>
      <c r="Q97" s="9" t="n"/>
      <c r="R97" s="9" t="n"/>
      <c r="S97" s="15">
        <f>IF(B97="","",YEAR(B97))</f>
        <v/>
      </c>
      <c r="T97" s="15">
        <f>IF(B97="","",MONTH(B97))</f>
        <v/>
      </c>
      <c r="U97" s="15">
        <f>IF(C97="","",YEAR(C97))</f>
        <v/>
      </c>
      <c r="V97" s="15">
        <f>IF(C97="","",MONTH(C97))</f>
        <v/>
      </c>
      <c r="W97" s="30">
        <f>IF(D97="","",IF(D97="Consignación",IF(O97="",0,ROUND(O97/(1+Configuracion!$B$11),0)),IF(N97="",0,ROUND(N97/(1+Configuracion!$B$11),0))))</f>
        <v/>
      </c>
      <c r="X97" s="30">
        <f>IF(W97="","",ROUND(W97*Configuracion!$B$11,0))</f>
        <v/>
      </c>
      <c r="Y97" s="30">
        <f>IF(OR(D97="",Q97&lt;&gt;"Vendido"),0,IF(D97="Consignación",0,IF(K97="",0,K97)))</f>
        <v/>
      </c>
      <c r="Z97" s="30">
        <f>IF(Q97&lt;&gt;"Vendido","",W97-Y97-IF(P97="",0,P97))</f>
        <v/>
      </c>
    </row>
    <row r="98">
      <c r="A98" s="15">
        <f>IF(D98="","",ROW()-5)</f>
        <v/>
      </c>
      <c r="B98" s="70" t="n"/>
      <c r="C98" s="70" t="n"/>
      <c r="D98" s="9" t="n"/>
      <c r="E98" s="9" t="n"/>
      <c r="F98" s="9" t="n"/>
      <c r="G98" s="11" t="n"/>
      <c r="H98" s="9" t="n"/>
      <c r="I98" s="9" t="n"/>
      <c r="J98" s="9" t="n"/>
      <c r="K98" s="71" t="n"/>
      <c r="L98" s="30">
        <f>IF(K98="","",IF(J98="Sí",ROUND(K98*Configuracion!$B$11,0),0))</f>
        <v/>
      </c>
      <c r="M98" s="30">
        <f>IF(K98="","",K98+L98)</f>
        <v/>
      </c>
      <c r="N98" s="71" t="n"/>
      <c r="O98" s="71" t="n"/>
      <c r="P98" s="71" t="n"/>
      <c r="Q98" s="9" t="n"/>
      <c r="R98" s="9" t="n"/>
      <c r="S98" s="15">
        <f>IF(B98="","",YEAR(B98))</f>
        <v/>
      </c>
      <c r="T98" s="15">
        <f>IF(B98="","",MONTH(B98))</f>
        <v/>
      </c>
      <c r="U98" s="15">
        <f>IF(C98="","",YEAR(C98))</f>
        <v/>
      </c>
      <c r="V98" s="15">
        <f>IF(C98="","",MONTH(C98))</f>
        <v/>
      </c>
      <c r="W98" s="30">
        <f>IF(D98="","",IF(D98="Consignación",IF(O98="",0,ROUND(O98/(1+Configuracion!$B$11),0)),IF(N98="",0,ROUND(N98/(1+Configuracion!$B$11),0))))</f>
        <v/>
      </c>
      <c r="X98" s="30">
        <f>IF(W98="","",ROUND(W98*Configuracion!$B$11,0))</f>
        <v/>
      </c>
      <c r="Y98" s="30">
        <f>IF(OR(D98="",Q98&lt;&gt;"Vendido"),0,IF(D98="Consignación",0,IF(K98="",0,K98)))</f>
        <v/>
      </c>
      <c r="Z98" s="30">
        <f>IF(Q98&lt;&gt;"Vendido","",W98-Y98-IF(P98="",0,P98))</f>
        <v/>
      </c>
    </row>
    <row r="99">
      <c r="A99" s="15">
        <f>IF(D99="","",ROW()-5)</f>
        <v/>
      </c>
      <c r="B99" s="70" t="n"/>
      <c r="C99" s="70" t="n"/>
      <c r="D99" s="9" t="n"/>
      <c r="E99" s="9" t="n"/>
      <c r="F99" s="9" t="n"/>
      <c r="G99" s="11" t="n"/>
      <c r="H99" s="9" t="n"/>
      <c r="I99" s="9" t="n"/>
      <c r="J99" s="9" t="n"/>
      <c r="K99" s="71" t="n"/>
      <c r="L99" s="30">
        <f>IF(K99="","",IF(J99="Sí",ROUND(K99*Configuracion!$B$11,0),0))</f>
        <v/>
      </c>
      <c r="M99" s="30">
        <f>IF(K99="","",K99+L99)</f>
        <v/>
      </c>
      <c r="N99" s="71" t="n"/>
      <c r="O99" s="71" t="n"/>
      <c r="P99" s="71" t="n"/>
      <c r="Q99" s="9" t="n"/>
      <c r="R99" s="9" t="n"/>
      <c r="S99" s="15">
        <f>IF(B99="","",YEAR(B99))</f>
        <v/>
      </c>
      <c r="T99" s="15">
        <f>IF(B99="","",MONTH(B99))</f>
        <v/>
      </c>
      <c r="U99" s="15">
        <f>IF(C99="","",YEAR(C99))</f>
        <v/>
      </c>
      <c r="V99" s="15">
        <f>IF(C99="","",MONTH(C99))</f>
        <v/>
      </c>
      <c r="W99" s="30">
        <f>IF(D99="","",IF(D99="Consignación",IF(O99="",0,ROUND(O99/(1+Configuracion!$B$11),0)),IF(N99="",0,ROUND(N99/(1+Configuracion!$B$11),0))))</f>
        <v/>
      </c>
      <c r="X99" s="30">
        <f>IF(W99="","",ROUND(W99*Configuracion!$B$11,0))</f>
        <v/>
      </c>
      <c r="Y99" s="30">
        <f>IF(OR(D99="",Q99&lt;&gt;"Vendido"),0,IF(D99="Consignación",0,IF(K99="",0,K99)))</f>
        <v/>
      </c>
      <c r="Z99" s="30">
        <f>IF(Q99&lt;&gt;"Vendido","",W99-Y99-IF(P99="",0,P99))</f>
        <v/>
      </c>
    </row>
    <row r="100">
      <c r="A100" s="15">
        <f>IF(D100="","",ROW()-5)</f>
        <v/>
      </c>
      <c r="B100" s="70" t="n"/>
      <c r="C100" s="70" t="n"/>
      <c r="D100" s="9" t="n"/>
      <c r="E100" s="9" t="n"/>
      <c r="F100" s="9" t="n"/>
      <c r="G100" s="11" t="n"/>
      <c r="H100" s="9" t="n"/>
      <c r="I100" s="9" t="n"/>
      <c r="J100" s="9" t="n"/>
      <c r="K100" s="71" t="n"/>
      <c r="L100" s="30">
        <f>IF(K100="","",IF(J100="Sí",ROUND(K100*Configuracion!$B$11,0),0))</f>
        <v/>
      </c>
      <c r="M100" s="30">
        <f>IF(K100="","",K100+L100)</f>
        <v/>
      </c>
      <c r="N100" s="71" t="n"/>
      <c r="O100" s="71" t="n"/>
      <c r="P100" s="71" t="n"/>
      <c r="Q100" s="9" t="n"/>
      <c r="R100" s="9" t="n"/>
      <c r="S100" s="15">
        <f>IF(B100="","",YEAR(B100))</f>
        <v/>
      </c>
      <c r="T100" s="15">
        <f>IF(B100="","",MONTH(B100))</f>
        <v/>
      </c>
      <c r="U100" s="15">
        <f>IF(C100="","",YEAR(C100))</f>
        <v/>
      </c>
      <c r="V100" s="15">
        <f>IF(C100="","",MONTH(C100))</f>
        <v/>
      </c>
      <c r="W100" s="30">
        <f>IF(D100="","",IF(D100="Consignación",IF(O100="",0,ROUND(O100/(1+Configuracion!$B$11),0)),IF(N100="",0,ROUND(N100/(1+Configuracion!$B$11),0))))</f>
        <v/>
      </c>
      <c r="X100" s="30">
        <f>IF(W100="","",ROUND(W100*Configuracion!$B$11,0))</f>
        <v/>
      </c>
      <c r="Y100" s="30">
        <f>IF(OR(D100="",Q100&lt;&gt;"Vendido"),0,IF(D100="Consignación",0,IF(K100="",0,K100)))</f>
        <v/>
      </c>
      <c r="Z100" s="30">
        <f>IF(Q100&lt;&gt;"Vendido","",W100-Y100-IF(P100="",0,P100))</f>
        <v/>
      </c>
    </row>
    <row r="101">
      <c r="A101" s="15">
        <f>IF(D101="","",ROW()-5)</f>
        <v/>
      </c>
      <c r="B101" s="70" t="n"/>
      <c r="C101" s="70" t="n"/>
      <c r="D101" s="9" t="n"/>
      <c r="E101" s="9" t="n"/>
      <c r="F101" s="9" t="n"/>
      <c r="G101" s="11" t="n"/>
      <c r="H101" s="9" t="n"/>
      <c r="I101" s="9" t="n"/>
      <c r="J101" s="9" t="n"/>
      <c r="K101" s="71" t="n"/>
      <c r="L101" s="30">
        <f>IF(K101="","",IF(J101="Sí",ROUND(K101*Configuracion!$B$11,0),0))</f>
        <v/>
      </c>
      <c r="M101" s="30">
        <f>IF(K101="","",K101+L101)</f>
        <v/>
      </c>
      <c r="N101" s="71" t="n"/>
      <c r="O101" s="71" t="n"/>
      <c r="P101" s="71" t="n"/>
      <c r="Q101" s="9" t="n"/>
      <c r="R101" s="9" t="n"/>
      <c r="S101" s="15">
        <f>IF(B101="","",YEAR(B101))</f>
        <v/>
      </c>
      <c r="T101" s="15">
        <f>IF(B101="","",MONTH(B101))</f>
        <v/>
      </c>
      <c r="U101" s="15">
        <f>IF(C101="","",YEAR(C101))</f>
        <v/>
      </c>
      <c r="V101" s="15">
        <f>IF(C101="","",MONTH(C101))</f>
        <v/>
      </c>
      <c r="W101" s="30">
        <f>IF(D101="","",IF(D101="Consignación",IF(O101="",0,ROUND(O101/(1+Configuracion!$B$11),0)),IF(N101="",0,ROUND(N101/(1+Configuracion!$B$11),0))))</f>
        <v/>
      </c>
      <c r="X101" s="30">
        <f>IF(W101="","",ROUND(W101*Configuracion!$B$11,0))</f>
        <v/>
      </c>
      <c r="Y101" s="30">
        <f>IF(OR(D101="",Q101&lt;&gt;"Vendido"),0,IF(D101="Consignación",0,IF(K101="",0,K101)))</f>
        <v/>
      </c>
      <c r="Z101" s="30">
        <f>IF(Q101&lt;&gt;"Vendido","",W101-Y101-IF(P101="",0,P101))</f>
        <v/>
      </c>
    </row>
    <row r="102">
      <c r="A102" s="15">
        <f>IF(D102="","",ROW()-5)</f>
        <v/>
      </c>
      <c r="B102" s="70" t="n"/>
      <c r="C102" s="70" t="n"/>
      <c r="D102" s="9" t="n"/>
      <c r="E102" s="9" t="n"/>
      <c r="F102" s="9" t="n"/>
      <c r="G102" s="11" t="n"/>
      <c r="H102" s="9" t="n"/>
      <c r="I102" s="9" t="n"/>
      <c r="J102" s="9" t="n"/>
      <c r="K102" s="71" t="n"/>
      <c r="L102" s="30">
        <f>IF(K102="","",IF(J102="Sí",ROUND(K102*Configuracion!$B$11,0),0))</f>
        <v/>
      </c>
      <c r="M102" s="30">
        <f>IF(K102="","",K102+L102)</f>
        <v/>
      </c>
      <c r="N102" s="71" t="n"/>
      <c r="O102" s="71" t="n"/>
      <c r="P102" s="71" t="n"/>
      <c r="Q102" s="9" t="n"/>
      <c r="R102" s="9" t="n"/>
      <c r="S102" s="15">
        <f>IF(B102="","",YEAR(B102))</f>
        <v/>
      </c>
      <c r="T102" s="15">
        <f>IF(B102="","",MONTH(B102))</f>
        <v/>
      </c>
      <c r="U102" s="15">
        <f>IF(C102="","",YEAR(C102))</f>
        <v/>
      </c>
      <c r="V102" s="15">
        <f>IF(C102="","",MONTH(C102))</f>
        <v/>
      </c>
      <c r="W102" s="30">
        <f>IF(D102="","",IF(D102="Consignación",IF(O102="",0,ROUND(O102/(1+Configuracion!$B$11),0)),IF(N102="",0,ROUND(N102/(1+Configuracion!$B$11),0))))</f>
        <v/>
      </c>
      <c r="X102" s="30">
        <f>IF(W102="","",ROUND(W102*Configuracion!$B$11,0))</f>
        <v/>
      </c>
      <c r="Y102" s="30">
        <f>IF(OR(D102="",Q102&lt;&gt;"Vendido"),0,IF(D102="Consignación",0,IF(K102="",0,K102)))</f>
        <v/>
      </c>
      <c r="Z102" s="30">
        <f>IF(Q102&lt;&gt;"Vendido","",W102-Y102-IF(P102="",0,P102))</f>
        <v/>
      </c>
    </row>
    <row r="103">
      <c r="A103" s="15">
        <f>IF(D103="","",ROW()-5)</f>
        <v/>
      </c>
      <c r="B103" s="70" t="n"/>
      <c r="C103" s="70" t="n"/>
      <c r="D103" s="9" t="n"/>
      <c r="E103" s="9" t="n"/>
      <c r="F103" s="9" t="n"/>
      <c r="G103" s="11" t="n"/>
      <c r="H103" s="9" t="n"/>
      <c r="I103" s="9" t="n"/>
      <c r="J103" s="9" t="n"/>
      <c r="K103" s="71" t="n"/>
      <c r="L103" s="30">
        <f>IF(K103="","",IF(J103="Sí",ROUND(K103*Configuracion!$B$11,0),0))</f>
        <v/>
      </c>
      <c r="M103" s="30">
        <f>IF(K103="","",K103+L103)</f>
        <v/>
      </c>
      <c r="N103" s="71" t="n"/>
      <c r="O103" s="71" t="n"/>
      <c r="P103" s="71" t="n"/>
      <c r="Q103" s="9" t="n"/>
      <c r="R103" s="9" t="n"/>
      <c r="S103" s="15">
        <f>IF(B103="","",YEAR(B103))</f>
        <v/>
      </c>
      <c r="T103" s="15">
        <f>IF(B103="","",MONTH(B103))</f>
        <v/>
      </c>
      <c r="U103" s="15">
        <f>IF(C103="","",YEAR(C103))</f>
        <v/>
      </c>
      <c r="V103" s="15">
        <f>IF(C103="","",MONTH(C103))</f>
        <v/>
      </c>
      <c r="W103" s="30">
        <f>IF(D103="","",IF(D103="Consignación",IF(O103="",0,ROUND(O103/(1+Configuracion!$B$11),0)),IF(N103="",0,ROUND(N103/(1+Configuracion!$B$11),0))))</f>
        <v/>
      </c>
      <c r="X103" s="30">
        <f>IF(W103="","",ROUND(W103*Configuracion!$B$11,0))</f>
        <v/>
      </c>
      <c r="Y103" s="30">
        <f>IF(OR(D103="",Q103&lt;&gt;"Vendido"),0,IF(D103="Consignación",0,IF(K103="",0,K103)))</f>
        <v/>
      </c>
      <c r="Z103" s="30">
        <f>IF(Q103&lt;&gt;"Vendido","",W103-Y103-IF(P103="",0,P103))</f>
        <v/>
      </c>
    </row>
    <row r="104">
      <c r="A104" s="15">
        <f>IF(D104="","",ROW()-5)</f>
        <v/>
      </c>
      <c r="B104" s="70" t="n"/>
      <c r="C104" s="70" t="n"/>
      <c r="D104" s="9" t="n"/>
      <c r="E104" s="9" t="n"/>
      <c r="F104" s="9" t="n"/>
      <c r="G104" s="11" t="n"/>
      <c r="H104" s="9" t="n"/>
      <c r="I104" s="9" t="n"/>
      <c r="J104" s="9" t="n"/>
      <c r="K104" s="71" t="n"/>
      <c r="L104" s="30">
        <f>IF(K104="","",IF(J104="Sí",ROUND(K104*Configuracion!$B$11,0),0))</f>
        <v/>
      </c>
      <c r="M104" s="30">
        <f>IF(K104="","",K104+L104)</f>
        <v/>
      </c>
      <c r="N104" s="71" t="n"/>
      <c r="O104" s="71" t="n"/>
      <c r="P104" s="71" t="n"/>
      <c r="Q104" s="9" t="n"/>
      <c r="R104" s="9" t="n"/>
      <c r="S104" s="15">
        <f>IF(B104="","",YEAR(B104))</f>
        <v/>
      </c>
      <c r="T104" s="15">
        <f>IF(B104="","",MONTH(B104))</f>
        <v/>
      </c>
      <c r="U104" s="15">
        <f>IF(C104="","",YEAR(C104))</f>
        <v/>
      </c>
      <c r="V104" s="15">
        <f>IF(C104="","",MONTH(C104))</f>
        <v/>
      </c>
      <c r="W104" s="30">
        <f>IF(D104="","",IF(D104="Consignación",IF(O104="",0,ROUND(O104/(1+Configuracion!$B$11),0)),IF(N104="",0,ROUND(N104/(1+Configuracion!$B$11),0))))</f>
        <v/>
      </c>
      <c r="X104" s="30">
        <f>IF(W104="","",ROUND(W104*Configuracion!$B$11,0))</f>
        <v/>
      </c>
      <c r="Y104" s="30">
        <f>IF(OR(D104="",Q104&lt;&gt;"Vendido"),0,IF(D104="Consignación",0,IF(K104="",0,K104)))</f>
        <v/>
      </c>
      <c r="Z104" s="30">
        <f>IF(Q104&lt;&gt;"Vendido","",W104-Y104-IF(P104="",0,P104))</f>
        <v/>
      </c>
    </row>
    <row r="105">
      <c r="A105" s="15">
        <f>IF(D105="","",ROW()-5)</f>
        <v/>
      </c>
      <c r="B105" s="70" t="n"/>
      <c r="C105" s="70" t="n"/>
      <c r="D105" s="9" t="n"/>
      <c r="E105" s="9" t="n"/>
      <c r="F105" s="9" t="n"/>
      <c r="G105" s="11" t="n"/>
      <c r="H105" s="9" t="n"/>
      <c r="I105" s="9" t="n"/>
      <c r="J105" s="9" t="n"/>
      <c r="K105" s="71" t="n"/>
      <c r="L105" s="30">
        <f>IF(K105="","",IF(J105="Sí",ROUND(K105*Configuracion!$B$11,0),0))</f>
        <v/>
      </c>
      <c r="M105" s="30">
        <f>IF(K105="","",K105+L105)</f>
        <v/>
      </c>
      <c r="N105" s="71" t="n"/>
      <c r="O105" s="71" t="n"/>
      <c r="P105" s="71" t="n"/>
      <c r="Q105" s="9" t="n"/>
      <c r="R105" s="9" t="n"/>
      <c r="S105" s="15">
        <f>IF(B105="","",YEAR(B105))</f>
        <v/>
      </c>
      <c r="T105" s="15">
        <f>IF(B105="","",MONTH(B105))</f>
        <v/>
      </c>
      <c r="U105" s="15">
        <f>IF(C105="","",YEAR(C105))</f>
        <v/>
      </c>
      <c r="V105" s="15">
        <f>IF(C105="","",MONTH(C105))</f>
        <v/>
      </c>
      <c r="W105" s="30">
        <f>IF(D105="","",IF(D105="Consignación",IF(O105="",0,ROUND(O105/(1+Configuracion!$B$11),0)),IF(N105="",0,ROUND(N105/(1+Configuracion!$B$11),0))))</f>
        <v/>
      </c>
      <c r="X105" s="30">
        <f>IF(W105="","",ROUND(W105*Configuracion!$B$11,0))</f>
        <v/>
      </c>
      <c r="Y105" s="30">
        <f>IF(OR(D105="",Q105&lt;&gt;"Vendido"),0,IF(D105="Consignación",0,IF(K105="",0,K105)))</f>
        <v/>
      </c>
      <c r="Z105" s="30">
        <f>IF(Q105&lt;&gt;"Vendido","",W105-Y105-IF(P105="",0,P105))</f>
        <v/>
      </c>
    </row>
    <row r="106">
      <c r="A106" s="15">
        <f>IF(D106="","",ROW()-5)</f>
        <v/>
      </c>
      <c r="B106" s="70" t="n"/>
      <c r="C106" s="70" t="n"/>
      <c r="D106" s="9" t="n"/>
      <c r="E106" s="9" t="n"/>
      <c r="F106" s="9" t="n"/>
      <c r="G106" s="11" t="n"/>
      <c r="H106" s="9" t="n"/>
      <c r="I106" s="9" t="n"/>
      <c r="J106" s="9" t="n"/>
      <c r="K106" s="71" t="n"/>
      <c r="L106" s="30">
        <f>IF(K106="","",IF(J106="Sí",ROUND(K106*Configuracion!$B$11,0),0))</f>
        <v/>
      </c>
      <c r="M106" s="30">
        <f>IF(K106="","",K106+L106)</f>
        <v/>
      </c>
      <c r="N106" s="71" t="n"/>
      <c r="O106" s="71" t="n"/>
      <c r="P106" s="71" t="n"/>
      <c r="Q106" s="9" t="n"/>
      <c r="R106" s="9" t="n"/>
      <c r="S106" s="15">
        <f>IF(B106="","",YEAR(B106))</f>
        <v/>
      </c>
      <c r="T106" s="15">
        <f>IF(B106="","",MONTH(B106))</f>
        <v/>
      </c>
      <c r="U106" s="15">
        <f>IF(C106="","",YEAR(C106))</f>
        <v/>
      </c>
      <c r="V106" s="15">
        <f>IF(C106="","",MONTH(C106))</f>
        <v/>
      </c>
      <c r="W106" s="30">
        <f>IF(D106="","",IF(D106="Consignación",IF(O106="",0,ROUND(O106/(1+Configuracion!$B$11),0)),IF(N106="",0,ROUND(N106/(1+Configuracion!$B$11),0))))</f>
        <v/>
      </c>
      <c r="X106" s="30">
        <f>IF(W106="","",ROUND(W106*Configuracion!$B$11,0))</f>
        <v/>
      </c>
      <c r="Y106" s="30">
        <f>IF(OR(D106="",Q106&lt;&gt;"Vendido"),0,IF(D106="Consignación",0,IF(K106="",0,K106)))</f>
        <v/>
      </c>
      <c r="Z106" s="30">
        <f>IF(Q106&lt;&gt;"Vendido","",W106-Y106-IF(P106="",0,P106))</f>
        <v/>
      </c>
    </row>
    <row r="107">
      <c r="A107" s="15">
        <f>IF(D107="","",ROW()-5)</f>
        <v/>
      </c>
      <c r="B107" s="70" t="n"/>
      <c r="C107" s="70" t="n"/>
      <c r="D107" s="9" t="n"/>
      <c r="E107" s="9" t="n"/>
      <c r="F107" s="9" t="n"/>
      <c r="G107" s="11" t="n"/>
      <c r="H107" s="9" t="n"/>
      <c r="I107" s="9" t="n"/>
      <c r="J107" s="9" t="n"/>
      <c r="K107" s="71" t="n"/>
      <c r="L107" s="30">
        <f>IF(K107="","",IF(J107="Sí",ROUND(K107*Configuracion!$B$11,0),0))</f>
        <v/>
      </c>
      <c r="M107" s="30">
        <f>IF(K107="","",K107+L107)</f>
        <v/>
      </c>
      <c r="N107" s="71" t="n"/>
      <c r="O107" s="71" t="n"/>
      <c r="P107" s="71" t="n"/>
      <c r="Q107" s="9" t="n"/>
      <c r="R107" s="9" t="n"/>
      <c r="S107" s="15">
        <f>IF(B107="","",YEAR(B107))</f>
        <v/>
      </c>
      <c r="T107" s="15">
        <f>IF(B107="","",MONTH(B107))</f>
        <v/>
      </c>
      <c r="U107" s="15">
        <f>IF(C107="","",YEAR(C107))</f>
        <v/>
      </c>
      <c r="V107" s="15">
        <f>IF(C107="","",MONTH(C107))</f>
        <v/>
      </c>
      <c r="W107" s="30">
        <f>IF(D107="","",IF(D107="Consignación",IF(O107="",0,ROUND(O107/(1+Configuracion!$B$11),0)),IF(N107="",0,ROUND(N107/(1+Configuracion!$B$11),0))))</f>
        <v/>
      </c>
      <c r="X107" s="30">
        <f>IF(W107="","",ROUND(W107*Configuracion!$B$11,0))</f>
        <v/>
      </c>
      <c r="Y107" s="30">
        <f>IF(OR(D107="",Q107&lt;&gt;"Vendido"),0,IF(D107="Consignación",0,IF(K107="",0,K107)))</f>
        <v/>
      </c>
      <c r="Z107" s="30">
        <f>IF(Q107&lt;&gt;"Vendido","",W107-Y107-IF(P107="",0,P107))</f>
        <v/>
      </c>
    </row>
    <row r="108">
      <c r="A108" s="15">
        <f>IF(D108="","",ROW()-5)</f>
        <v/>
      </c>
      <c r="B108" s="70" t="n"/>
      <c r="C108" s="70" t="n"/>
      <c r="D108" s="9" t="n"/>
      <c r="E108" s="9" t="n"/>
      <c r="F108" s="9" t="n"/>
      <c r="G108" s="11" t="n"/>
      <c r="H108" s="9" t="n"/>
      <c r="I108" s="9" t="n"/>
      <c r="J108" s="9" t="n"/>
      <c r="K108" s="71" t="n"/>
      <c r="L108" s="30">
        <f>IF(K108="","",IF(J108="Sí",ROUND(K108*Configuracion!$B$11,0),0))</f>
        <v/>
      </c>
      <c r="M108" s="30">
        <f>IF(K108="","",K108+L108)</f>
        <v/>
      </c>
      <c r="N108" s="71" t="n"/>
      <c r="O108" s="71" t="n"/>
      <c r="P108" s="71" t="n"/>
      <c r="Q108" s="9" t="n"/>
      <c r="R108" s="9" t="n"/>
      <c r="S108" s="15">
        <f>IF(B108="","",YEAR(B108))</f>
        <v/>
      </c>
      <c r="T108" s="15">
        <f>IF(B108="","",MONTH(B108))</f>
        <v/>
      </c>
      <c r="U108" s="15">
        <f>IF(C108="","",YEAR(C108))</f>
        <v/>
      </c>
      <c r="V108" s="15">
        <f>IF(C108="","",MONTH(C108))</f>
        <v/>
      </c>
      <c r="W108" s="30">
        <f>IF(D108="","",IF(D108="Consignación",IF(O108="",0,ROUND(O108/(1+Configuracion!$B$11),0)),IF(N108="",0,ROUND(N108/(1+Configuracion!$B$11),0))))</f>
        <v/>
      </c>
      <c r="X108" s="30">
        <f>IF(W108="","",ROUND(W108*Configuracion!$B$11,0))</f>
        <v/>
      </c>
      <c r="Y108" s="30">
        <f>IF(OR(D108="",Q108&lt;&gt;"Vendido"),0,IF(D108="Consignación",0,IF(K108="",0,K108)))</f>
        <v/>
      </c>
      <c r="Z108" s="30">
        <f>IF(Q108&lt;&gt;"Vendido","",W108-Y108-IF(P108="",0,P108))</f>
        <v/>
      </c>
    </row>
    <row r="109">
      <c r="A109" s="15">
        <f>IF(D109="","",ROW()-5)</f>
        <v/>
      </c>
      <c r="B109" s="70" t="n"/>
      <c r="C109" s="70" t="n"/>
      <c r="D109" s="9" t="n"/>
      <c r="E109" s="9" t="n"/>
      <c r="F109" s="9" t="n"/>
      <c r="G109" s="11" t="n"/>
      <c r="H109" s="9" t="n"/>
      <c r="I109" s="9" t="n"/>
      <c r="J109" s="9" t="n"/>
      <c r="K109" s="71" t="n"/>
      <c r="L109" s="30">
        <f>IF(K109="","",IF(J109="Sí",ROUND(K109*Configuracion!$B$11,0),0))</f>
        <v/>
      </c>
      <c r="M109" s="30">
        <f>IF(K109="","",K109+L109)</f>
        <v/>
      </c>
      <c r="N109" s="71" t="n"/>
      <c r="O109" s="71" t="n"/>
      <c r="P109" s="71" t="n"/>
      <c r="Q109" s="9" t="n"/>
      <c r="R109" s="9" t="n"/>
      <c r="S109" s="15">
        <f>IF(B109="","",YEAR(B109))</f>
        <v/>
      </c>
      <c r="T109" s="15">
        <f>IF(B109="","",MONTH(B109))</f>
        <v/>
      </c>
      <c r="U109" s="15">
        <f>IF(C109="","",YEAR(C109))</f>
        <v/>
      </c>
      <c r="V109" s="15">
        <f>IF(C109="","",MONTH(C109))</f>
        <v/>
      </c>
      <c r="W109" s="30">
        <f>IF(D109="","",IF(D109="Consignación",IF(O109="",0,ROUND(O109/(1+Configuracion!$B$11),0)),IF(N109="",0,ROUND(N109/(1+Configuracion!$B$11),0))))</f>
        <v/>
      </c>
      <c r="X109" s="30">
        <f>IF(W109="","",ROUND(W109*Configuracion!$B$11,0))</f>
        <v/>
      </c>
      <c r="Y109" s="30">
        <f>IF(OR(D109="",Q109&lt;&gt;"Vendido"),0,IF(D109="Consignación",0,IF(K109="",0,K109)))</f>
        <v/>
      </c>
      <c r="Z109" s="30">
        <f>IF(Q109&lt;&gt;"Vendido","",W109-Y109-IF(P109="",0,P109))</f>
        <v/>
      </c>
    </row>
    <row r="110">
      <c r="A110" s="15">
        <f>IF(D110="","",ROW()-5)</f>
        <v/>
      </c>
      <c r="B110" s="70" t="n"/>
      <c r="C110" s="70" t="n"/>
      <c r="D110" s="9" t="n"/>
      <c r="E110" s="9" t="n"/>
      <c r="F110" s="9" t="n"/>
      <c r="G110" s="11" t="n"/>
      <c r="H110" s="9" t="n"/>
      <c r="I110" s="9" t="n"/>
      <c r="J110" s="9" t="n"/>
      <c r="K110" s="71" t="n"/>
      <c r="L110" s="30">
        <f>IF(K110="","",IF(J110="Sí",ROUND(K110*Configuracion!$B$11,0),0))</f>
        <v/>
      </c>
      <c r="M110" s="30">
        <f>IF(K110="","",K110+L110)</f>
        <v/>
      </c>
      <c r="N110" s="71" t="n"/>
      <c r="O110" s="71" t="n"/>
      <c r="P110" s="71" t="n"/>
      <c r="Q110" s="9" t="n"/>
      <c r="R110" s="9" t="n"/>
      <c r="S110" s="15">
        <f>IF(B110="","",YEAR(B110))</f>
        <v/>
      </c>
      <c r="T110" s="15">
        <f>IF(B110="","",MONTH(B110))</f>
        <v/>
      </c>
      <c r="U110" s="15">
        <f>IF(C110="","",YEAR(C110))</f>
        <v/>
      </c>
      <c r="V110" s="15">
        <f>IF(C110="","",MONTH(C110))</f>
        <v/>
      </c>
      <c r="W110" s="30">
        <f>IF(D110="","",IF(D110="Consignación",IF(O110="",0,ROUND(O110/(1+Configuracion!$B$11),0)),IF(N110="",0,ROUND(N110/(1+Configuracion!$B$11),0))))</f>
        <v/>
      </c>
      <c r="X110" s="30">
        <f>IF(W110="","",ROUND(W110*Configuracion!$B$11,0))</f>
        <v/>
      </c>
      <c r="Y110" s="30">
        <f>IF(OR(D110="",Q110&lt;&gt;"Vendido"),0,IF(D110="Consignación",0,IF(K110="",0,K110)))</f>
        <v/>
      </c>
      <c r="Z110" s="30">
        <f>IF(Q110&lt;&gt;"Vendido","",W110-Y110-IF(P110="",0,P110))</f>
        <v/>
      </c>
    </row>
    <row r="111">
      <c r="A111" s="15">
        <f>IF(D111="","",ROW()-5)</f>
        <v/>
      </c>
      <c r="B111" s="70" t="n"/>
      <c r="C111" s="70" t="n"/>
      <c r="D111" s="9" t="n"/>
      <c r="E111" s="9" t="n"/>
      <c r="F111" s="9" t="n"/>
      <c r="G111" s="11" t="n"/>
      <c r="H111" s="9" t="n"/>
      <c r="I111" s="9" t="n"/>
      <c r="J111" s="9" t="n"/>
      <c r="K111" s="71" t="n"/>
      <c r="L111" s="30">
        <f>IF(K111="","",IF(J111="Sí",ROUND(K111*Configuracion!$B$11,0),0))</f>
        <v/>
      </c>
      <c r="M111" s="30">
        <f>IF(K111="","",K111+L111)</f>
        <v/>
      </c>
      <c r="N111" s="71" t="n"/>
      <c r="O111" s="71" t="n"/>
      <c r="P111" s="71" t="n"/>
      <c r="Q111" s="9" t="n"/>
      <c r="R111" s="9" t="n"/>
      <c r="S111" s="15">
        <f>IF(B111="","",YEAR(B111))</f>
        <v/>
      </c>
      <c r="T111" s="15">
        <f>IF(B111="","",MONTH(B111))</f>
        <v/>
      </c>
      <c r="U111" s="15">
        <f>IF(C111="","",YEAR(C111))</f>
        <v/>
      </c>
      <c r="V111" s="15">
        <f>IF(C111="","",MONTH(C111))</f>
        <v/>
      </c>
      <c r="W111" s="30">
        <f>IF(D111="","",IF(D111="Consignación",IF(O111="",0,ROUND(O111/(1+Configuracion!$B$11),0)),IF(N111="",0,ROUND(N111/(1+Configuracion!$B$11),0))))</f>
        <v/>
      </c>
      <c r="X111" s="30">
        <f>IF(W111="","",ROUND(W111*Configuracion!$B$11,0))</f>
        <v/>
      </c>
      <c r="Y111" s="30">
        <f>IF(OR(D111="",Q111&lt;&gt;"Vendido"),0,IF(D111="Consignación",0,IF(K111="",0,K111)))</f>
        <v/>
      </c>
      <c r="Z111" s="30">
        <f>IF(Q111&lt;&gt;"Vendido","",W111-Y111-IF(P111="",0,P111))</f>
        <v/>
      </c>
    </row>
    <row r="112">
      <c r="A112" s="15">
        <f>IF(D112="","",ROW()-5)</f>
        <v/>
      </c>
      <c r="B112" s="70" t="n"/>
      <c r="C112" s="70" t="n"/>
      <c r="D112" s="9" t="n"/>
      <c r="E112" s="9" t="n"/>
      <c r="F112" s="9" t="n"/>
      <c r="G112" s="11" t="n"/>
      <c r="H112" s="9" t="n"/>
      <c r="I112" s="9" t="n"/>
      <c r="J112" s="9" t="n"/>
      <c r="K112" s="71" t="n"/>
      <c r="L112" s="30">
        <f>IF(K112="","",IF(J112="Sí",ROUND(K112*Configuracion!$B$11,0),0))</f>
        <v/>
      </c>
      <c r="M112" s="30">
        <f>IF(K112="","",K112+L112)</f>
        <v/>
      </c>
      <c r="N112" s="71" t="n"/>
      <c r="O112" s="71" t="n"/>
      <c r="P112" s="71" t="n"/>
      <c r="Q112" s="9" t="n"/>
      <c r="R112" s="9" t="n"/>
      <c r="S112" s="15">
        <f>IF(B112="","",YEAR(B112))</f>
        <v/>
      </c>
      <c r="T112" s="15">
        <f>IF(B112="","",MONTH(B112))</f>
        <v/>
      </c>
      <c r="U112" s="15">
        <f>IF(C112="","",YEAR(C112))</f>
        <v/>
      </c>
      <c r="V112" s="15">
        <f>IF(C112="","",MONTH(C112))</f>
        <v/>
      </c>
      <c r="W112" s="30">
        <f>IF(D112="","",IF(D112="Consignación",IF(O112="",0,ROUND(O112/(1+Configuracion!$B$11),0)),IF(N112="",0,ROUND(N112/(1+Configuracion!$B$11),0))))</f>
        <v/>
      </c>
      <c r="X112" s="30">
        <f>IF(W112="","",ROUND(W112*Configuracion!$B$11,0))</f>
        <v/>
      </c>
      <c r="Y112" s="30">
        <f>IF(OR(D112="",Q112&lt;&gt;"Vendido"),0,IF(D112="Consignación",0,IF(K112="",0,K112)))</f>
        <v/>
      </c>
      <c r="Z112" s="30">
        <f>IF(Q112&lt;&gt;"Vendido","",W112-Y112-IF(P112="",0,P112))</f>
        <v/>
      </c>
    </row>
    <row r="113">
      <c r="A113" s="15">
        <f>IF(D113="","",ROW()-5)</f>
        <v/>
      </c>
      <c r="B113" s="70" t="n"/>
      <c r="C113" s="70" t="n"/>
      <c r="D113" s="9" t="n"/>
      <c r="E113" s="9" t="n"/>
      <c r="F113" s="9" t="n"/>
      <c r="G113" s="11" t="n"/>
      <c r="H113" s="9" t="n"/>
      <c r="I113" s="9" t="n"/>
      <c r="J113" s="9" t="n"/>
      <c r="K113" s="71" t="n"/>
      <c r="L113" s="30">
        <f>IF(K113="","",IF(J113="Sí",ROUND(K113*Configuracion!$B$11,0),0))</f>
        <v/>
      </c>
      <c r="M113" s="30">
        <f>IF(K113="","",K113+L113)</f>
        <v/>
      </c>
      <c r="N113" s="71" t="n"/>
      <c r="O113" s="71" t="n"/>
      <c r="P113" s="71" t="n"/>
      <c r="Q113" s="9" t="n"/>
      <c r="R113" s="9" t="n"/>
      <c r="S113" s="15">
        <f>IF(B113="","",YEAR(B113))</f>
        <v/>
      </c>
      <c r="T113" s="15">
        <f>IF(B113="","",MONTH(B113))</f>
        <v/>
      </c>
      <c r="U113" s="15">
        <f>IF(C113="","",YEAR(C113))</f>
        <v/>
      </c>
      <c r="V113" s="15">
        <f>IF(C113="","",MONTH(C113))</f>
        <v/>
      </c>
      <c r="W113" s="30">
        <f>IF(D113="","",IF(D113="Consignación",IF(O113="",0,ROUND(O113/(1+Configuracion!$B$11),0)),IF(N113="",0,ROUND(N113/(1+Configuracion!$B$11),0))))</f>
        <v/>
      </c>
      <c r="X113" s="30">
        <f>IF(W113="","",ROUND(W113*Configuracion!$B$11,0))</f>
        <v/>
      </c>
      <c r="Y113" s="30">
        <f>IF(OR(D113="",Q113&lt;&gt;"Vendido"),0,IF(D113="Consignación",0,IF(K113="",0,K113)))</f>
        <v/>
      </c>
      <c r="Z113" s="30">
        <f>IF(Q113&lt;&gt;"Vendido","",W113-Y113-IF(P113="",0,P113))</f>
        <v/>
      </c>
    </row>
    <row r="114">
      <c r="A114" s="15">
        <f>IF(D114="","",ROW()-5)</f>
        <v/>
      </c>
      <c r="B114" s="70" t="n"/>
      <c r="C114" s="70" t="n"/>
      <c r="D114" s="9" t="n"/>
      <c r="E114" s="9" t="n"/>
      <c r="F114" s="9" t="n"/>
      <c r="G114" s="11" t="n"/>
      <c r="H114" s="9" t="n"/>
      <c r="I114" s="9" t="n"/>
      <c r="J114" s="9" t="n"/>
      <c r="K114" s="71" t="n"/>
      <c r="L114" s="30">
        <f>IF(K114="","",IF(J114="Sí",ROUND(K114*Configuracion!$B$11,0),0))</f>
        <v/>
      </c>
      <c r="M114" s="30">
        <f>IF(K114="","",K114+L114)</f>
        <v/>
      </c>
      <c r="N114" s="71" t="n"/>
      <c r="O114" s="71" t="n"/>
      <c r="P114" s="71" t="n"/>
      <c r="Q114" s="9" t="n"/>
      <c r="R114" s="9" t="n"/>
      <c r="S114" s="15">
        <f>IF(B114="","",YEAR(B114))</f>
        <v/>
      </c>
      <c r="T114" s="15">
        <f>IF(B114="","",MONTH(B114))</f>
        <v/>
      </c>
      <c r="U114" s="15">
        <f>IF(C114="","",YEAR(C114))</f>
        <v/>
      </c>
      <c r="V114" s="15">
        <f>IF(C114="","",MONTH(C114))</f>
        <v/>
      </c>
      <c r="W114" s="30">
        <f>IF(D114="","",IF(D114="Consignación",IF(O114="",0,ROUND(O114/(1+Configuracion!$B$11),0)),IF(N114="",0,ROUND(N114/(1+Configuracion!$B$11),0))))</f>
        <v/>
      </c>
      <c r="X114" s="30">
        <f>IF(W114="","",ROUND(W114*Configuracion!$B$11,0))</f>
        <v/>
      </c>
      <c r="Y114" s="30">
        <f>IF(OR(D114="",Q114&lt;&gt;"Vendido"),0,IF(D114="Consignación",0,IF(K114="",0,K114)))</f>
        <v/>
      </c>
      <c r="Z114" s="30">
        <f>IF(Q114&lt;&gt;"Vendido","",W114-Y114-IF(P114="",0,P114))</f>
        <v/>
      </c>
    </row>
    <row r="115">
      <c r="A115" s="15">
        <f>IF(D115="","",ROW()-5)</f>
        <v/>
      </c>
      <c r="B115" s="70" t="n"/>
      <c r="C115" s="70" t="n"/>
      <c r="D115" s="9" t="n"/>
      <c r="E115" s="9" t="n"/>
      <c r="F115" s="9" t="n"/>
      <c r="G115" s="11" t="n"/>
      <c r="H115" s="9" t="n"/>
      <c r="I115" s="9" t="n"/>
      <c r="J115" s="9" t="n"/>
      <c r="K115" s="71" t="n"/>
      <c r="L115" s="30">
        <f>IF(K115="","",IF(J115="Sí",ROUND(K115*Configuracion!$B$11,0),0))</f>
        <v/>
      </c>
      <c r="M115" s="30">
        <f>IF(K115="","",K115+L115)</f>
        <v/>
      </c>
      <c r="N115" s="71" t="n"/>
      <c r="O115" s="71" t="n"/>
      <c r="P115" s="71" t="n"/>
      <c r="Q115" s="9" t="n"/>
      <c r="R115" s="9" t="n"/>
      <c r="S115" s="15">
        <f>IF(B115="","",YEAR(B115))</f>
        <v/>
      </c>
      <c r="T115" s="15">
        <f>IF(B115="","",MONTH(B115))</f>
        <v/>
      </c>
      <c r="U115" s="15">
        <f>IF(C115="","",YEAR(C115))</f>
        <v/>
      </c>
      <c r="V115" s="15">
        <f>IF(C115="","",MONTH(C115))</f>
        <v/>
      </c>
      <c r="W115" s="30">
        <f>IF(D115="","",IF(D115="Consignación",IF(O115="",0,ROUND(O115/(1+Configuracion!$B$11),0)),IF(N115="",0,ROUND(N115/(1+Configuracion!$B$11),0))))</f>
        <v/>
      </c>
      <c r="X115" s="30">
        <f>IF(W115="","",ROUND(W115*Configuracion!$B$11,0))</f>
        <v/>
      </c>
      <c r="Y115" s="30">
        <f>IF(OR(D115="",Q115&lt;&gt;"Vendido"),0,IF(D115="Consignación",0,IF(K115="",0,K115)))</f>
        <v/>
      </c>
      <c r="Z115" s="30">
        <f>IF(Q115&lt;&gt;"Vendido","",W115-Y115-IF(P115="",0,P115))</f>
        <v/>
      </c>
    </row>
    <row r="116">
      <c r="A116" s="15">
        <f>IF(D116="","",ROW()-5)</f>
        <v/>
      </c>
      <c r="B116" s="70" t="n"/>
      <c r="C116" s="70" t="n"/>
      <c r="D116" s="9" t="n"/>
      <c r="E116" s="9" t="n"/>
      <c r="F116" s="9" t="n"/>
      <c r="G116" s="11" t="n"/>
      <c r="H116" s="9" t="n"/>
      <c r="I116" s="9" t="n"/>
      <c r="J116" s="9" t="n"/>
      <c r="K116" s="71" t="n"/>
      <c r="L116" s="30">
        <f>IF(K116="","",IF(J116="Sí",ROUND(K116*Configuracion!$B$11,0),0))</f>
        <v/>
      </c>
      <c r="M116" s="30">
        <f>IF(K116="","",K116+L116)</f>
        <v/>
      </c>
      <c r="N116" s="71" t="n"/>
      <c r="O116" s="71" t="n"/>
      <c r="P116" s="71" t="n"/>
      <c r="Q116" s="9" t="n"/>
      <c r="R116" s="9" t="n"/>
      <c r="S116" s="15">
        <f>IF(B116="","",YEAR(B116))</f>
        <v/>
      </c>
      <c r="T116" s="15">
        <f>IF(B116="","",MONTH(B116))</f>
        <v/>
      </c>
      <c r="U116" s="15">
        <f>IF(C116="","",YEAR(C116))</f>
        <v/>
      </c>
      <c r="V116" s="15">
        <f>IF(C116="","",MONTH(C116))</f>
        <v/>
      </c>
      <c r="W116" s="30">
        <f>IF(D116="","",IF(D116="Consignación",IF(O116="",0,ROUND(O116/(1+Configuracion!$B$11),0)),IF(N116="",0,ROUND(N116/(1+Configuracion!$B$11),0))))</f>
        <v/>
      </c>
      <c r="X116" s="30">
        <f>IF(W116="","",ROUND(W116*Configuracion!$B$11,0))</f>
        <v/>
      </c>
      <c r="Y116" s="30">
        <f>IF(OR(D116="",Q116&lt;&gt;"Vendido"),0,IF(D116="Consignación",0,IF(K116="",0,K116)))</f>
        <v/>
      </c>
      <c r="Z116" s="30">
        <f>IF(Q116&lt;&gt;"Vendido","",W116-Y116-IF(P116="",0,P116))</f>
        <v/>
      </c>
    </row>
    <row r="117">
      <c r="A117" s="15">
        <f>IF(D117="","",ROW()-5)</f>
        <v/>
      </c>
      <c r="B117" s="70" t="n"/>
      <c r="C117" s="70" t="n"/>
      <c r="D117" s="9" t="n"/>
      <c r="E117" s="9" t="n"/>
      <c r="F117" s="9" t="n"/>
      <c r="G117" s="11" t="n"/>
      <c r="H117" s="9" t="n"/>
      <c r="I117" s="9" t="n"/>
      <c r="J117" s="9" t="n"/>
      <c r="K117" s="71" t="n"/>
      <c r="L117" s="30">
        <f>IF(K117="","",IF(J117="Sí",ROUND(K117*Configuracion!$B$11,0),0))</f>
        <v/>
      </c>
      <c r="M117" s="30">
        <f>IF(K117="","",K117+L117)</f>
        <v/>
      </c>
      <c r="N117" s="71" t="n"/>
      <c r="O117" s="71" t="n"/>
      <c r="P117" s="71" t="n"/>
      <c r="Q117" s="9" t="n"/>
      <c r="R117" s="9" t="n"/>
      <c r="S117" s="15">
        <f>IF(B117="","",YEAR(B117))</f>
        <v/>
      </c>
      <c r="T117" s="15">
        <f>IF(B117="","",MONTH(B117))</f>
        <v/>
      </c>
      <c r="U117" s="15">
        <f>IF(C117="","",YEAR(C117))</f>
        <v/>
      </c>
      <c r="V117" s="15">
        <f>IF(C117="","",MONTH(C117))</f>
        <v/>
      </c>
      <c r="W117" s="30">
        <f>IF(D117="","",IF(D117="Consignación",IF(O117="",0,ROUND(O117/(1+Configuracion!$B$11),0)),IF(N117="",0,ROUND(N117/(1+Configuracion!$B$11),0))))</f>
        <v/>
      </c>
      <c r="X117" s="30">
        <f>IF(W117="","",ROUND(W117*Configuracion!$B$11,0))</f>
        <v/>
      </c>
      <c r="Y117" s="30">
        <f>IF(OR(D117="",Q117&lt;&gt;"Vendido"),0,IF(D117="Consignación",0,IF(K117="",0,K117)))</f>
        <v/>
      </c>
      <c r="Z117" s="30">
        <f>IF(Q117&lt;&gt;"Vendido","",W117-Y117-IF(P117="",0,P117))</f>
        <v/>
      </c>
    </row>
    <row r="118">
      <c r="A118" s="15">
        <f>IF(D118="","",ROW()-5)</f>
        <v/>
      </c>
      <c r="B118" s="70" t="n"/>
      <c r="C118" s="70" t="n"/>
      <c r="D118" s="9" t="n"/>
      <c r="E118" s="9" t="n"/>
      <c r="F118" s="9" t="n"/>
      <c r="G118" s="11" t="n"/>
      <c r="H118" s="9" t="n"/>
      <c r="I118" s="9" t="n"/>
      <c r="J118" s="9" t="n"/>
      <c r="K118" s="71" t="n"/>
      <c r="L118" s="30">
        <f>IF(K118="","",IF(J118="Sí",ROUND(K118*Configuracion!$B$11,0),0))</f>
        <v/>
      </c>
      <c r="M118" s="30">
        <f>IF(K118="","",K118+L118)</f>
        <v/>
      </c>
      <c r="N118" s="71" t="n"/>
      <c r="O118" s="71" t="n"/>
      <c r="P118" s="71" t="n"/>
      <c r="Q118" s="9" t="n"/>
      <c r="R118" s="9" t="n"/>
      <c r="S118" s="15">
        <f>IF(B118="","",YEAR(B118))</f>
        <v/>
      </c>
      <c r="T118" s="15">
        <f>IF(B118="","",MONTH(B118))</f>
        <v/>
      </c>
      <c r="U118" s="15">
        <f>IF(C118="","",YEAR(C118))</f>
        <v/>
      </c>
      <c r="V118" s="15">
        <f>IF(C118="","",MONTH(C118))</f>
        <v/>
      </c>
      <c r="W118" s="30">
        <f>IF(D118="","",IF(D118="Consignación",IF(O118="",0,ROUND(O118/(1+Configuracion!$B$11),0)),IF(N118="",0,ROUND(N118/(1+Configuracion!$B$11),0))))</f>
        <v/>
      </c>
      <c r="X118" s="30">
        <f>IF(W118="","",ROUND(W118*Configuracion!$B$11,0))</f>
        <v/>
      </c>
      <c r="Y118" s="30">
        <f>IF(OR(D118="",Q118&lt;&gt;"Vendido"),0,IF(D118="Consignación",0,IF(K118="",0,K118)))</f>
        <v/>
      </c>
      <c r="Z118" s="30">
        <f>IF(Q118&lt;&gt;"Vendido","",W118-Y118-IF(P118="",0,P118))</f>
        <v/>
      </c>
    </row>
    <row r="119">
      <c r="A119" s="15">
        <f>IF(D119="","",ROW()-5)</f>
        <v/>
      </c>
      <c r="B119" s="70" t="n"/>
      <c r="C119" s="70" t="n"/>
      <c r="D119" s="9" t="n"/>
      <c r="E119" s="9" t="n"/>
      <c r="F119" s="9" t="n"/>
      <c r="G119" s="11" t="n"/>
      <c r="H119" s="9" t="n"/>
      <c r="I119" s="9" t="n"/>
      <c r="J119" s="9" t="n"/>
      <c r="K119" s="71" t="n"/>
      <c r="L119" s="30">
        <f>IF(K119="","",IF(J119="Sí",ROUND(K119*Configuracion!$B$11,0),0))</f>
        <v/>
      </c>
      <c r="M119" s="30">
        <f>IF(K119="","",K119+L119)</f>
        <v/>
      </c>
      <c r="N119" s="71" t="n"/>
      <c r="O119" s="71" t="n"/>
      <c r="P119" s="71" t="n"/>
      <c r="Q119" s="9" t="n"/>
      <c r="R119" s="9" t="n"/>
      <c r="S119" s="15">
        <f>IF(B119="","",YEAR(B119))</f>
        <v/>
      </c>
      <c r="T119" s="15">
        <f>IF(B119="","",MONTH(B119))</f>
        <v/>
      </c>
      <c r="U119" s="15">
        <f>IF(C119="","",YEAR(C119))</f>
        <v/>
      </c>
      <c r="V119" s="15">
        <f>IF(C119="","",MONTH(C119))</f>
        <v/>
      </c>
      <c r="W119" s="30">
        <f>IF(D119="","",IF(D119="Consignación",IF(O119="",0,ROUND(O119/(1+Configuracion!$B$11),0)),IF(N119="",0,ROUND(N119/(1+Configuracion!$B$11),0))))</f>
        <v/>
      </c>
      <c r="X119" s="30">
        <f>IF(W119="","",ROUND(W119*Configuracion!$B$11,0))</f>
        <v/>
      </c>
      <c r="Y119" s="30">
        <f>IF(OR(D119="",Q119&lt;&gt;"Vendido"),0,IF(D119="Consignación",0,IF(K119="",0,K119)))</f>
        <v/>
      </c>
      <c r="Z119" s="30">
        <f>IF(Q119&lt;&gt;"Vendido","",W119-Y119-IF(P119="",0,P119))</f>
        <v/>
      </c>
    </row>
    <row r="120">
      <c r="A120" s="15">
        <f>IF(D120="","",ROW()-5)</f>
        <v/>
      </c>
      <c r="B120" s="70" t="n"/>
      <c r="C120" s="70" t="n"/>
      <c r="D120" s="9" t="n"/>
      <c r="E120" s="9" t="n"/>
      <c r="F120" s="9" t="n"/>
      <c r="G120" s="11" t="n"/>
      <c r="H120" s="9" t="n"/>
      <c r="I120" s="9" t="n"/>
      <c r="J120" s="9" t="n"/>
      <c r="K120" s="71" t="n"/>
      <c r="L120" s="30">
        <f>IF(K120="","",IF(J120="Sí",ROUND(K120*Configuracion!$B$11,0),0))</f>
        <v/>
      </c>
      <c r="M120" s="30">
        <f>IF(K120="","",K120+L120)</f>
        <v/>
      </c>
      <c r="N120" s="71" t="n"/>
      <c r="O120" s="71" t="n"/>
      <c r="P120" s="71" t="n"/>
      <c r="Q120" s="9" t="n"/>
      <c r="R120" s="9" t="n"/>
      <c r="S120" s="15">
        <f>IF(B120="","",YEAR(B120))</f>
        <v/>
      </c>
      <c r="T120" s="15">
        <f>IF(B120="","",MONTH(B120))</f>
        <v/>
      </c>
      <c r="U120" s="15">
        <f>IF(C120="","",YEAR(C120))</f>
        <v/>
      </c>
      <c r="V120" s="15">
        <f>IF(C120="","",MONTH(C120))</f>
        <v/>
      </c>
      <c r="W120" s="30">
        <f>IF(D120="","",IF(D120="Consignación",IF(O120="",0,ROUND(O120/(1+Configuracion!$B$11),0)),IF(N120="",0,ROUND(N120/(1+Configuracion!$B$11),0))))</f>
        <v/>
      </c>
      <c r="X120" s="30">
        <f>IF(W120="","",ROUND(W120*Configuracion!$B$11,0))</f>
        <v/>
      </c>
      <c r="Y120" s="30">
        <f>IF(OR(D120="",Q120&lt;&gt;"Vendido"),0,IF(D120="Consignación",0,IF(K120="",0,K120)))</f>
        <v/>
      </c>
      <c r="Z120" s="30">
        <f>IF(Q120&lt;&gt;"Vendido","",W120-Y120-IF(P120="",0,P120))</f>
        <v/>
      </c>
    </row>
    <row r="121">
      <c r="A121" s="15">
        <f>IF(D121="","",ROW()-5)</f>
        <v/>
      </c>
      <c r="B121" s="70" t="n"/>
      <c r="C121" s="70" t="n"/>
      <c r="D121" s="9" t="n"/>
      <c r="E121" s="9" t="n"/>
      <c r="F121" s="9" t="n"/>
      <c r="G121" s="11" t="n"/>
      <c r="H121" s="9" t="n"/>
      <c r="I121" s="9" t="n"/>
      <c r="J121" s="9" t="n"/>
      <c r="K121" s="71" t="n"/>
      <c r="L121" s="30">
        <f>IF(K121="","",IF(J121="Sí",ROUND(K121*Configuracion!$B$11,0),0))</f>
        <v/>
      </c>
      <c r="M121" s="30">
        <f>IF(K121="","",K121+L121)</f>
        <v/>
      </c>
      <c r="N121" s="71" t="n"/>
      <c r="O121" s="71" t="n"/>
      <c r="P121" s="71" t="n"/>
      <c r="Q121" s="9" t="n"/>
      <c r="R121" s="9" t="n"/>
      <c r="S121" s="15">
        <f>IF(B121="","",YEAR(B121))</f>
        <v/>
      </c>
      <c r="T121" s="15">
        <f>IF(B121="","",MONTH(B121))</f>
        <v/>
      </c>
      <c r="U121" s="15">
        <f>IF(C121="","",YEAR(C121))</f>
        <v/>
      </c>
      <c r="V121" s="15">
        <f>IF(C121="","",MONTH(C121))</f>
        <v/>
      </c>
      <c r="W121" s="30">
        <f>IF(D121="","",IF(D121="Consignación",IF(O121="",0,ROUND(O121/(1+Configuracion!$B$11),0)),IF(N121="",0,ROUND(N121/(1+Configuracion!$B$11),0))))</f>
        <v/>
      </c>
      <c r="X121" s="30">
        <f>IF(W121="","",ROUND(W121*Configuracion!$B$11,0))</f>
        <v/>
      </c>
      <c r="Y121" s="30">
        <f>IF(OR(D121="",Q121&lt;&gt;"Vendido"),0,IF(D121="Consignación",0,IF(K121="",0,K121)))</f>
        <v/>
      </c>
      <c r="Z121" s="30">
        <f>IF(Q121&lt;&gt;"Vendido","",W121-Y121-IF(P121="",0,P121))</f>
        <v/>
      </c>
    </row>
    <row r="122">
      <c r="A122" s="15">
        <f>IF(D122="","",ROW()-5)</f>
        <v/>
      </c>
      <c r="B122" s="70" t="n"/>
      <c r="C122" s="70" t="n"/>
      <c r="D122" s="9" t="n"/>
      <c r="E122" s="9" t="n"/>
      <c r="F122" s="9" t="n"/>
      <c r="G122" s="11" t="n"/>
      <c r="H122" s="9" t="n"/>
      <c r="I122" s="9" t="n"/>
      <c r="J122" s="9" t="n"/>
      <c r="K122" s="71" t="n"/>
      <c r="L122" s="30">
        <f>IF(K122="","",IF(J122="Sí",ROUND(K122*Configuracion!$B$11,0),0))</f>
        <v/>
      </c>
      <c r="M122" s="30">
        <f>IF(K122="","",K122+L122)</f>
        <v/>
      </c>
      <c r="N122" s="71" t="n"/>
      <c r="O122" s="71" t="n"/>
      <c r="P122" s="71" t="n"/>
      <c r="Q122" s="9" t="n"/>
      <c r="R122" s="9" t="n"/>
      <c r="S122" s="15">
        <f>IF(B122="","",YEAR(B122))</f>
        <v/>
      </c>
      <c r="T122" s="15">
        <f>IF(B122="","",MONTH(B122))</f>
        <v/>
      </c>
      <c r="U122" s="15">
        <f>IF(C122="","",YEAR(C122))</f>
        <v/>
      </c>
      <c r="V122" s="15">
        <f>IF(C122="","",MONTH(C122))</f>
        <v/>
      </c>
      <c r="W122" s="30">
        <f>IF(D122="","",IF(D122="Consignación",IF(O122="",0,ROUND(O122/(1+Configuracion!$B$11),0)),IF(N122="",0,ROUND(N122/(1+Configuracion!$B$11),0))))</f>
        <v/>
      </c>
      <c r="X122" s="30">
        <f>IF(W122="","",ROUND(W122*Configuracion!$B$11,0))</f>
        <v/>
      </c>
      <c r="Y122" s="30">
        <f>IF(OR(D122="",Q122&lt;&gt;"Vendido"),0,IF(D122="Consignación",0,IF(K122="",0,K122)))</f>
        <v/>
      </c>
      <c r="Z122" s="30">
        <f>IF(Q122&lt;&gt;"Vendido","",W122-Y122-IF(P122="",0,P122))</f>
        <v/>
      </c>
    </row>
    <row r="123">
      <c r="A123" s="15">
        <f>IF(D123="","",ROW()-5)</f>
        <v/>
      </c>
      <c r="B123" s="70" t="n"/>
      <c r="C123" s="70" t="n"/>
      <c r="D123" s="9" t="n"/>
      <c r="E123" s="9" t="n"/>
      <c r="F123" s="9" t="n"/>
      <c r="G123" s="11" t="n"/>
      <c r="H123" s="9" t="n"/>
      <c r="I123" s="9" t="n"/>
      <c r="J123" s="9" t="n"/>
      <c r="K123" s="71" t="n"/>
      <c r="L123" s="30">
        <f>IF(K123="","",IF(J123="Sí",ROUND(K123*Configuracion!$B$11,0),0))</f>
        <v/>
      </c>
      <c r="M123" s="30">
        <f>IF(K123="","",K123+L123)</f>
        <v/>
      </c>
      <c r="N123" s="71" t="n"/>
      <c r="O123" s="71" t="n"/>
      <c r="P123" s="71" t="n"/>
      <c r="Q123" s="9" t="n"/>
      <c r="R123" s="9" t="n"/>
      <c r="S123" s="15">
        <f>IF(B123="","",YEAR(B123))</f>
        <v/>
      </c>
      <c r="T123" s="15">
        <f>IF(B123="","",MONTH(B123))</f>
        <v/>
      </c>
      <c r="U123" s="15">
        <f>IF(C123="","",YEAR(C123))</f>
        <v/>
      </c>
      <c r="V123" s="15">
        <f>IF(C123="","",MONTH(C123))</f>
        <v/>
      </c>
      <c r="W123" s="30">
        <f>IF(D123="","",IF(D123="Consignación",IF(O123="",0,ROUND(O123/(1+Configuracion!$B$11),0)),IF(N123="",0,ROUND(N123/(1+Configuracion!$B$11),0))))</f>
        <v/>
      </c>
      <c r="X123" s="30">
        <f>IF(W123="","",ROUND(W123*Configuracion!$B$11,0))</f>
        <v/>
      </c>
      <c r="Y123" s="30">
        <f>IF(OR(D123="",Q123&lt;&gt;"Vendido"),0,IF(D123="Consignación",0,IF(K123="",0,K123)))</f>
        <v/>
      </c>
      <c r="Z123" s="30">
        <f>IF(Q123&lt;&gt;"Vendido","",W123-Y123-IF(P123="",0,P123))</f>
        <v/>
      </c>
    </row>
    <row r="124">
      <c r="A124" s="15">
        <f>IF(D124="","",ROW()-5)</f>
        <v/>
      </c>
      <c r="B124" s="70" t="n"/>
      <c r="C124" s="70" t="n"/>
      <c r="D124" s="9" t="n"/>
      <c r="E124" s="9" t="n"/>
      <c r="F124" s="9" t="n"/>
      <c r="G124" s="11" t="n"/>
      <c r="H124" s="9" t="n"/>
      <c r="I124" s="9" t="n"/>
      <c r="J124" s="9" t="n"/>
      <c r="K124" s="71" t="n"/>
      <c r="L124" s="30">
        <f>IF(K124="","",IF(J124="Sí",ROUND(K124*Configuracion!$B$11,0),0))</f>
        <v/>
      </c>
      <c r="M124" s="30">
        <f>IF(K124="","",K124+L124)</f>
        <v/>
      </c>
      <c r="N124" s="71" t="n"/>
      <c r="O124" s="71" t="n"/>
      <c r="P124" s="71" t="n"/>
      <c r="Q124" s="9" t="n"/>
      <c r="R124" s="9" t="n"/>
      <c r="S124" s="15">
        <f>IF(B124="","",YEAR(B124))</f>
        <v/>
      </c>
      <c r="T124" s="15">
        <f>IF(B124="","",MONTH(B124))</f>
        <v/>
      </c>
      <c r="U124" s="15">
        <f>IF(C124="","",YEAR(C124))</f>
        <v/>
      </c>
      <c r="V124" s="15">
        <f>IF(C124="","",MONTH(C124))</f>
        <v/>
      </c>
      <c r="W124" s="30">
        <f>IF(D124="","",IF(D124="Consignación",IF(O124="",0,ROUND(O124/(1+Configuracion!$B$11),0)),IF(N124="",0,ROUND(N124/(1+Configuracion!$B$11),0))))</f>
        <v/>
      </c>
      <c r="X124" s="30">
        <f>IF(W124="","",ROUND(W124*Configuracion!$B$11,0))</f>
        <v/>
      </c>
      <c r="Y124" s="30">
        <f>IF(OR(D124="",Q124&lt;&gt;"Vendido"),0,IF(D124="Consignación",0,IF(K124="",0,K124)))</f>
        <v/>
      </c>
      <c r="Z124" s="30">
        <f>IF(Q124&lt;&gt;"Vendido","",W124-Y124-IF(P124="",0,P124))</f>
        <v/>
      </c>
    </row>
    <row r="125">
      <c r="A125" s="15">
        <f>IF(D125="","",ROW()-5)</f>
        <v/>
      </c>
      <c r="B125" s="70" t="n"/>
      <c r="C125" s="70" t="n"/>
      <c r="D125" s="9" t="n"/>
      <c r="E125" s="9" t="n"/>
      <c r="F125" s="9" t="n"/>
      <c r="G125" s="11" t="n"/>
      <c r="H125" s="9" t="n"/>
      <c r="I125" s="9" t="n"/>
      <c r="J125" s="9" t="n"/>
      <c r="K125" s="71" t="n"/>
      <c r="L125" s="30">
        <f>IF(K125="","",IF(J125="Sí",ROUND(K125*Configuracion!$B$11,0),0))</f>
        <v/>
      </c>
      <c r="M125" s="30">
        <f>IF(K125="","",K125+L125)</f>
        <v/>
      </c>
      <c r="N125" s="71" t="n"/>
      <c r="O125" s="71" t="n"/>
      <c r="P125" s="71" t="n"/>
      <c r="Q125" s="9" t="n"/>
      <c r="R125" s="9" t="n"/>
      <c r="S125" s="15">
        <f>IF(B125="","",YEAR(B125))</f>
        <v/>
      </c>
      <c r="T125" s="15">
        <f>IF(B125="","",MONTH(B125))</f>
        <v/>
      </c>
      <c r="U125" s="15">
        <f>IF(C125="","",YEAR(C125))</f>
        <v/>
      </c>
      <c r="V125" s="15">
        <f>IF(C125="","",MONTH(C125))</f>
        <v/>
      </c>
      <c r="W125" s="30">
        <f>IF(D125="","",IF(D125="Consignación",IF(O125="",0,ROUND(O125/(1+Configuracion!$B$11),0)),IF(N125="",0,ROUND(N125/(1+Configuracion!$B$11),0))))</f>
        <v/>
      </c>
      <c r="X125" s="30">
        <f>IF(W125="","",ROUND(W125*Configuracion!$B$11,0))</f>
        <v/>
      </c>
      <c r="Y125" s="30">
        <f>IF(OR(D125="",Q125&lt;&gt;"Vendido"),0,IF(D125="Consignación",0,IF(K125="",0,K125)))</f>
        <v/>
      </c>
      <c r="Z125" s="30">
        <f>IF(Q125&lt;&gt;"Vendido","",W125-Y125-IF(P125="",0,P125))</f>
        <v/>
      </c>
    </row>
    <row r="126">
      <c r="A126" s="15">
        <f>IF(D126="","",ROW()-5)</f>
        <v/>
      </c>
      <c r="B126" s="70" t="n"/>
      <c r="C126" s="70" t="n"/>
      <c r="D126" s="9" t="n"/>
      <c r="E126" s="9" t="n"/>
      <c r="F126" s="9" t="n"/>
      <c r="G126" s="11" t="n"/>
      <c r="H126" s="9" t="n"/>
      <c r="I126" s="9" t="n"/>
      <c r="J126" s="9" t="n"/>
      <c r="K126" s="71" t="n"/>
      <c r="L126" s="30">
        <f>IF(K126="","",IF(J126="Sí",ROUND(K126*Configuracion!$B$11,0),0))</f>
        <v/>
      </c>
      <c r="M126" s="30">
        <f>IF(K126="","",K126+L126)</f>
        <v/>
      </c>
      <c r="N126" s="71" t="n"/>
      <c r="O126" s="71" t="n"/>
      <c r="P126" s="71" t="n"/>
      <c r="Q126" s="9" t="n"/>
      <c r="R126" s="9" t="n"/>
      <c r="S126" s="15">
        <f>IF(B126="","",YEAR(B126))</f>
        <v/>
      </c>
      <c r="T126" s="15">
        <f>IF(B126="","",MONTH(B126))</f>
        <v/>
      </c>
      <c r="U126" s="15">
        <f>IF(C126="","",YEAR(C126))</f>
        <v/>
      </c>
      <c r="V126" s="15">
        <f>IF(C126="","",MONTH(C126))</f>
        <v/>
      </c>
      <c r="W126" s="30">
        <f>IF(D126="","",IF(D126="Consignación",IF(O126="",0,ROUND(O126/(1+Configuracion!$B$11),0)),IF(N126="",0,ROUND(N126/(1+Configuracion!$B$11),0))))</f>
        <v/>
      </c>
      <c r="X126" s="30">
        <f>IF(W126="","",ROUND(W126*Configuracion!$B$11,0))</f>
        <v/>
      </c>
      <c r="Y126" s="30">
        <f>IF(OR(D126="",Q126&lt;&gt;"Vendido"),0,IF(D126="Consignación",0,IF(K126="",0,K126)))</f>
        <v/>
      </c>
      <c r="Z126" s="30">
        <f>IF(Q126&lt;&gt;"Vendido","",W126-Y126-IF(P126="",0,P126))</f>
        <v/>
      </c>
    </row>
    <row r="127">
      <c r="A127" s="15">
        <f>IF(D127="","",ROW()-5)</f>
        <v/>
      </c>
      <c r="B127" s="70" t="n"/>
      <c r="C127" s="70" t="n"/>
      <c r="D127" s="9" t="n"/>
      <c r="E127" s="9" t="n"/>
      <c r="F127" s="9" t="n"/>
      <c r="G127" s="11" t="n"/>
      <c r="H127" s="9" t="n"/>
      <c r="I127" s="9" t="n"/>
      <c r="J127" s="9" t="n"/>
      <c r="K127" s="71" t="n"/>
      <c r="L127" s="30">
        <f>IF(K127="","",IF(J127="Sí",ROUND(K127*Configuracion!$B$11,0),0))</f>
        <v/>
      </c>
      <c r="M127" s="30">
        <f>IF(K127="","",K127+L127)</f>
        <v/>
      </c>
      <c r="N127" s="71" t="n"/>
      <c r="O127" s="71" t="n"/>
      <c r="P127" s="71" t="n"/>
      <c r="Q127" s="9" t="n"/>
      <c r="R127" s="9" t="n"/>
      <c r="S127" s="15">
        <f>IF(B127="","",YEAR(B127))</f>
        <v/>
      </c>
      <c r="T127" s="15">
        <f>IF(B127="","",MONTH(B127))</f>
        <v/>
      </c>
      <c r="U127" s="15">
        <f>IF(C127="","",YEAR(C127))</f>
        <v/>
      </c>
      <c r="V127" s="15">
        <f>IF(C127="","",MONTH(C127))</f>
        <v/>
      </c>
      <c r="W127" s="30">
        <f>IF(D127="","",IF(D127="Consignación",IF(O127="",0,ROUND(O127/(1+Configuracion!$B$11),0)),IF(N127="",0,ROUND(N127/(1+Configuracion!$B$11),0))))</f>
        <v/>
      </c>
      <c r="X127" s="30">
        <f>IF(W127="","",ROUND(W127*Configuracion!$B$11,0))</f>
        <v/>
      </c>
      <c r="Y127" s="30">
        <f>IF(OR(D127="",Q127&lt;&gt;"Vendido"),0,IF(D127="Consignación",0,IF(K127="",0,K127)))</f>
        <v/>
      </c>
      <c r="Z127" s="30">
        <f>IF(Q127&lt;&gt;"Vendido","",W127-Y127-IF(P127="",0,P127))</f>
        <v/>
      </c>
    </row>
    <row r="128">
      <c r="A128" s="15">
        <f>IF(D128="","",ROW()-5)</f>
        <v/>
      </c>
      <c r="B128" s="70" t="n"/>
      <c r="C128" s="70" t="n"/>
      <c r="D128" s="9" t="n"/>
      <c r="E128" s="9" t="n"/>
      <c r="F128" s="9" t="n"/>
      <c r="G128" s="11" t="n"/>
      <c r="H128" s="9" t="n"/>
      <c r="I128" s="9" t="n"/>
      <c r="J128" s="9" t="n"/>
      <c r="K128" s="71" t="n"/>
      <c r="L128" s="30">
        <f>IF(K128="","",IF(J128="Sí",ROUND(K128*Configuracion!$B$11,0),0))</f>
        <v/>
      </c>
      <c r="M128" s="30">
        <f>IF(K128="","",K128+L128)</f>
        <v/>
      </c>
      <c r="N128" s="71" t="n"/>
      <c r="O128" s="71" t="n"/>
      <c r="P128" s="71" t="n"/>
      <c r="Q128" s="9" t="n"/>
      <c r="R128" s="9" t="n"/>
      <c r="S128" s="15">
        <f>IF(B128="","",YEAR(B128))</f>
        <v/>
      </c>
      <c r="T128" s="15">
        <f>IF(B128="","",MONTH(B128))</f>
        <v/>
      </c>
      <c r="U128" s="15">
        <f>IF(C128="","",YEAR(C128))</f>
        <v/>
      </c>
      <c r="V128" s="15">
        <f>IF(C128="","",MONTH(C128))</f>
        <v/>
      </c>
      <c r="W128" s="30">
        <f>IF(D128="","",IF(D128="Consignación",IF(O128="",0,ROUND(O128/(1+Configuracion!$B$11),0)),IF(N128="",0,ROUND(N128/(1+Configuracion!$B$11),0))))</f>
        <v/>
      </c>
      <c r="X128" s="30">
        <f>IF(W128="","",ROUND(W128*Configuracion!$B$11,0))</f>
        <v/>
      </c>
      <c r="Y128" s="30">
        <f>IF(OR(D128="",Q128&lt;&gt;"Vendido"),0,IF(D128="Consignación",0,IF(K128="",0,K128)))</f>
        <v/>
      </c>
      <c r="Z128" s="30">
        <f>IF(Q128&lt;&gt;"Vendido","",W128-Y128-IF(P128="",0,P128))</f>
        <v/>
      </c>
    </row>
    <row r="129">
      <c r="A129" s="15">
        <f>IF(D129="","",ROW()-5)</f>
        <v/>
      </c>
      <c r="B129" s="70" t="n"/>
      <c r="C129" s="70" t="n"/>
      <c r="D129" s="9" t="n"/>
      <c r="E129" s="9" t="n"/>
      <c r="F129" s="9" t="n"/>
      <c r="G129" s="11" t="n"/>
      <c r="H129" s="9" t="n"/>
      <c r="I129" s="9" t="n"/>
      <c r="J129" s="9" t="n"/>
      <c r="K129" s="71" t="n"/>
      <c r="L129" s="30">
        <f>IF(K129="","",IF(J129="Sí",ROUND(K129*Configuracion!$B$11,0),0))</f>
        <v/>
      </c>
      <c r="M129" s="30">
        <f>IF(K129="","",K129+L129)</f>
        <v/>
      </c>
      <c r="N129" s="71" t="n"/>
      <c r="O129" s="71" t="n"/>
      <c r="P129" s="71" t="n"/>
      <c r="Q129" s="9" t="n"/>
      <c r="R129" s="9" t="n"/>
      <c r="S129" s="15">
        <f>IF(B129="","",YEAR(B129))</f>
        <v/>
      </c>
      <c r="T129" s="15">
        <f>IF(B129="","",MONTH(B129))</f>
        <v/>
      </c>
      <c r="U129" s="15">
        <f>IF(C129="","",YEAR(C129))</f>
        <v/>
      </c>
      <c r="V129" s="15">
        <f>IF(C129="","",MONTH(C129))</f>
        <v/>
      </c>
      <c r="W129" s="30">
        <f>IF(D129="","",IF(D129="Consignación",IF(O129="",0,ROUND(O129/(1+Configuracion!$B$11),0)),IF(N129="",0,ROUND(N129/(1+Configuracion!$B$11),0))))</f>
        <v/>
      </c>
      <c r="X129" s="30">
        <f>IF(W129="","",ROUND(W129*Configuracion!$B$11,0))</f>
        <v/>
      </c>
      <c r="Y129" s="30">
        <f>IF(OR(D129="",Q129&lt;&gt;"Vendido"),0,IF(D129="Consignación",0,IF(K129="",0,K129)))</f>
        <v/>
      </c>
      <c r="Z129" s="30">
        <f>IF(Q129&lt;&gt;"Vendido","",W129-Y129-IF(P129="",0,P129))</f>
        <v/>
      </c>
    </row>
    <row r="130">
      <c r="A130" s="15">
        <f>IF(D130="","",ROW()-5)</f>
        <v/>
      </c>
      <c r="B130" s="70" t="n"/>
      <c r="C130" s="70" t="n"/>
      <c r="D130" s="9" t="n"/>
      <c r="E130" s="9" t="n"/>
      <c r="F130" s="9" t="n"/>
      <c r="G130" s="11" t="n"/>
      <c r="H130" s="9" t="n"/>
      <c r="I130" s="9" t="n"/>
      <c r="J130" s="9" t="n"/>
      <c r="K130" s="71" t="n"/>
      <c r="L130" s="30">
        <f>IF(K130="","",IF(J130="Sí",ROUND(K130*Configuracion!$B$11,0),0))</f>
        <v/>
      </c>
      <c r="M130" s="30">
        <f>IF(K130="","",K130+L130)</f>
        <v/>
      </c>
      <c r="N130" s="71" t="n"/>
      <c r="O130" s="71" t="n"/>
      <c r="P130" s="71" t="n"/>
      <c r="Q130" s="9" t="n"/>
      <c r="R130" s="9" t="n"/>
      <c r="S130" s="15">
        <f>IF(B130="","",YEAR(B130))</f>
        <v/>
      </c>
      <c r="T130" s="15">
        <f>IF(B130="","",MONTH(B130))</f>
        <v/>
      </c>
      <c r="U130" s="15">
        <f>IF(C130="","",YEAR(C130))</f>
        <v/>
      </c>
      <c r="V130" s="15">
        <f>IF(C130="","",MONTH(C130))</f>
        <v/>
      </c>
      <c r="W130" s="30">
        <f>IF(D130="","",IF(D130="Consignación",IF(O130="",0,ROUND(O130/(1+Configuracion!$B$11),0)),IF(N130="",0,ROUND(N130/(1+Configuracion!$B$11),0))))</f>
        <v/>
      </c>
      <c r="X130" s="30">
        <f>IF(W130="","",ROUND(W130*Configuracion!$B$11,0))</f>
        <v/>
      </c>
      <c r="Y130" s="30">
        <f>IF(OR(D130="",Q130&lt;&gt;"Vendido"),0,IF(D130="Consignación",0,IF(K130="",0,K130)))</f>
        <v/>
      </c>
      <c r="Z130" s="30">
        <f>IF(Q130&lt;&gt;"Vendido","",W130-Y130-IF(P130="",0,P130))</f>
        <v/>
      </c>
    </row>
    <row r="131">
      <c r="A131" s="15">
        <f>IF(D131="","",ROW()-5)</f>
        <v/>
      </c>
      <c r="B131" s="70" t="n"/>
      <c r="C131" s="70" t="n"/>
      <c r="D131" s="9" t="n"/>
      <c r="E131" s="9" t="n"/>
      <c r="F131" s="9" t="n"/>
      <c r="G131" s="11" t="n"/>
      <c r="H131" s="9" t="n"/>
      <c r="I131" s="9" t="n"/>
      <c r="J131" s="9" t="n"/>
      <c r="K131" s="71" t="n"/>
      <c r="L131" s="30">
        <f>IF(K131="","",IF(J131="Sí",ROUND(K131*Configuracion!$B$11,0),0))</f>
        <v/>
      </c>
      <c r="M131" s="30">
        <f>IF(K131="","",K131+L131)</f>
        <v/>
      </c>
      <c r="N131" s="71" t="n"/>
      <c r="O131" s="71" t="n"/>
      <c r="P131" s="71" t="n"/>
      <c r="Q131" s="9" t="n"/>
      <c r="R131" s="9" t="n"/>
      <c r="S131" s="15">
        <f>IF(B131="","",YEAR(B131))</f>
        <v/>
      </c>
      <c r="T131" s="15">
        <f>IF(B131="","",MONTH(B131))</f>
        <v/>
      </c>
      <c r="U131" s="15">
        <f>IF(C131="","",YEAR(C131))</f>
        <v/>
      </c>
      <c r="V131" s="15">
        <f>IF(C131="","",MONTH(C131))</f>
        <v/>
      </c>
      <c r="W131" s="30">
        <f>IF(D131="","",IF(D131="Consignación",IF(O131="",0,ROUND(O131/(1+Configuracion!$B$11),0)),IF(N131="",0,ROUND(N131/(1+Configuracion!$B$11),0))))</f>
        <v/>
      </c>
      <c r="X131" s="30">
        <f>IF(W131="","",ROUND(W131*Configuracion!$B$11,0))</f>
        <v/>
      </c>
      <c r="Y131" s="30">
        <f>IF(OR(D131="",Q131&lt;&gt;"Vendido"),0,IF(D131="Consignación",0,IF(K131="",0,K131)))</f>
        <v/>
      </c>
      <c r="Z131" s="30">
        <f>IF(Q131&lt;&gt;"Vendido","",W131-Y131-IF(P131="",0,P131))</f>
        <v/>
      </c>
    </row>
    <row r="132">
      <c r="A132" s="15">
        <f>IF(D132="","",ROW()-5)</f>
        <v/>
      </c>
      <c r="B132" s="70" t="n"/>
      <c r="C132" s="70" t="n"/>
      <c r="D132" s="9" t="n"/>
      <c r="E132" s="9" t="n"/>
      <c r="F132" s="9" t="n"/>
      <c r="G132" s="11" t="n"/>
      <c r="H132" s="9" t="n"/>
      <c r="I132" s="9" t="n"/>
      <c r="J132" s="9" t="n"/>
      <c r="K132" s="71" t="n"/>
      <c r="L132" s="30">
        <f>IF(K132="","",IF(J132="Sí",ROUND(K132*Configuracion!$B$11,0),0))</f>
        <v/>
      </c>
      <c r="M132" s="30">
        <f>IF(K132="","",K132+L132)</f>
        <v/>
      </c>
      <c r="N132" s="71" t="n"/>
      <c r="O132" s="71" t="n"/>
      <c r="P132" s="71" t="n"/>
      <c r="Q132" s="9" t="n"/>
      <c r="R132" s="9" t="n"/>
      <c r="S132" s="15">
        <f>IF(B132="","",YEAR(B132))</f>
        <v/>
      </c>
      <c r="T132" s="15">
        <f>IF(B132="","",MONTH(B132))</f>
        <v/>
      </c>
      <c r="U132" s="15">
        <f>IF(C132="","",YEAR(C132))</f>
        <v/>
      </c>
      <c r="V132" s="15">
        <f>IF(C132="","",MONTH(C132))</f>
        <v/>
      </c>
      <c r="W132" s="30">
        <f>IF(D132="","",IF(D132="Consignación",IF(O132="",0,ROUND(O132/(1+Configuracion!$B$11),0)),IF(N132="",0,ROUND(N132/(1+Configuracion!$B$11),0))))</f>
        <v/>
      </c>
      <c r="X132" s="30">
        <f>IF(W132="","",ROUND(W132*Configuracion!$B$11,0))</f>
        <v/>
      </c>
      <c r="Y132" s="30">
        <f>IF(OR(D132="",Q132&lt;&gt;"Vendido"),0,IF(D132="Consignación",0,IF(K132="",0,K132)))</f>
        <v/>
      </c>
      <c r="Z132" s="30">
        <f>IF(Q132&lt;&gt;"Vendido","",W132-Y132-IF(P132="",0,P132))</f>
        <v/>
      </c>
    </row>
    <row r="133">
      <c r="A133" s="15">
        <f>IF(D133="","",ROW()-5)</f>
        <v/>
      </c>
      <c r="B133" s="70" t="n"/>
      <c r="C133" s="70" t="n"/>
      <c r="D133" s="9" t="n"/>
      <c r="E133" s="9" t="n"/>
      <c r="F133" s="9" t="n"/>
      <c r="G133" s="11" t="n"/>
      <c r="H133" s="9" t="n"/>
      <c r="I133" s="9" t="n"/>
      <c r="J133" s="9" t="n"/>
      <c r="K133" s="71" t="n"/>
      <c r="L133" s="30">
        <f>IF(K133="","",IF(J133="Sí",ROUND(K133*Configuracion!$B$11,0),0))</f>
        <v/>
      </c>
      <c r="M133" s="30">
        <f>IF(K133="","",K133+L133)</f>
        <v/>
      </c>
      <c r="N133" s="71" t="n"/>
      <c r="O133" s="71" t="n"/>
      <c r="P133" s="71" t="n"/>
      <c r="Q133" s="9" t="n"/>
      <c r="R133" s="9" t="n"/>
      <c r="S133" s="15">
        <f>IF(B133="","",YEAR(B133))</f>
        <v/>
      </c>
      <c r="T133" s="15">
        <f>IF(B133="","",MONTH(B133))</f>
        <v/>
      </c>
      <c r="U133" s="15">
        <f>IF(C133="","",YEAR(C133))</f>
        <v/>
      </c>
      <c r="V133" s="15">
        <f>IF(C133="","",MONTH(C133))</f>
        <v/>
      </c>
      <c r="W133" s="30">
        <f>IF(D133="","",IF(D133="Consignación",IF(O133="",0,ROUND(O133/(1+Configuracion!$B$11),0)),IF(N133="",0,ROUND(N133/(1+Configuracion!$B$11),0))))</f>
        <v/>
      </c>
      <c r="X133" s="30">
        <f>IF(W133="","",ROUND(W133*Configuracion!$B$11,0))</f>
        <v/>
      </c>
      <c r="Y133" s="30">
        <f>IF(OR(D133="",Q133&lt;&gt;"Vendido"),0,IF(D133="Consignación",0,IF(K133="",0,K133)))</f>
        <v/>
      </c>
      <c r="Z133" s="30">
        <f>IF(Q133&lt;&gt;"Vendido","",W133-Y133-IF(P133="",0,P133))</f>
        <v/>
      </c>
    </row>
    <row r="134">
      <c r="A134" s="15">
        <f>IF(D134="","",ROW()-5)</f>
        <v/>
      </c>
      <c r="B134" s="70" t="n"/>
      <c r="C134" s="70" t="n"/>
      <c r="D134" s="9" t="n"/>
      <c r="E134" s="9" t="n"/>
      <c r="F134" s="9" t="n"/>
      <c r="G134" s="11" t="n"/>
      <c r="H134" s="9" t="n"/>
      <c r="I134" s="9" t="n"/>
      <c r="J134" s="9" t="n"/>
      <c r="K134" s="71" t="n"/>
      <c r="L134" s="30">
        <f>IF(K134="","",IF(J134="Sí",ROUND(K134*Configuracion!$B$11,0),0))</f>
        <v/>
      </c>
      <c r="M134" s="30">
        <f>IF(K134="","",K134+L134)</f>
        <v/>
      </c>
      <c r="N134" s="71" t="n"/>
      <c r="O134" s="71" t="n"/>
      <c r="P134" s="71" t="n"/>
      <c r="Q134" s="9" t="n"/>
      <c r="R134" s="9" t="n"/>
      <c r="S134" s="15">
        <f>IF(B134="","",YEAR(B134))</f>
        <v/>
      </c>
      <c r="T134" s="15">
        <f>IF(B134="","",MONTH(B134))</f>
        <v/>
      </c>
      <c r="U134" s="15">
        <f>IF(C134="","",YEAR(C134))</f>
        <v/>
      </c>
      <c r="V134" s="15">
        <f>IF(C134="","",MONTH(C134))</f>
        <v/>
      </c>
      <c r="W134" s="30">
        <f>IF(D134="","",IF(D134="Consignación",IF(O134="",0,ROUND(O134/(1+Configuracion!$B$11),0)),IF(N134="",0,ROUND(N134/(1+Configuracion!$B$11),0))))</f>
        <v/>
      </c>
      <c r="X134" s="30">
        <f>IF(W134="","",ROUND(W134*Configuracion!$B$11,0))</f>
        <v/>
      </c>
      <c r="Y134" s="30">
        <f>IF(OR(D134="",Q134&lt;&gt;"Vendido"),0,IF(D134="Consignación",0,IF(K134="",0,K134)))</f>
        <v/>
      </c>
      <c r="Z134" s="30">
        <f>IF(Q134&lt;&gt;"Vendido","",W134-Y134-IF(P134="",0,P134))</f>
        <v/>
      </c>
    </row>
    <row r="135">
      <c r="A135" s="15">
        <f>IF(D135="","",ROW()-5)</f>
        <v/>
      </c>
      <c r="B135" s="70" t="n"/>
      <c r="C135" s="70" t="n"/>
      <c r="D135" s="9" t="n"/>
      <c r="E135" s="9" t="n"/>
      <c r="F135" s="9" t="n"/>
      <c r="G135" s="11" t="n"/>
      <c r="H135" s="9" t="n"/>
      <c r="I135" s="9" t="n"/>
      <c r="J135" s="9" t="n"/>
      <c r="K135" s="71" t="n"/>
      <c r="L135" s="30">
        <f>IF(K135="","",IF(J135="Sí",ROUND(K135*Configuracion!$B$11,0),0))</f>
        <v/>
      </c>
      <c r="M135" s="30">
        <f>IF(K135="","",K135+L135)</f>
        <v/>
      </c>
      <c r="N135" s="71" t="n"/>
      <c r="O135" s="71" t="n"/>
      <c r="P135" s="71" t="n"/>
      <c r="Q135" s="9" t="n"/>
      <c r="R135" s="9" t="n"/>
      <c r="S135" s="15">
        <f>IF(B135="","",YEAR(B135))</f>
        <v/>
      </c>
      <c r="T135" s="15">
        <f>IF(B135="","",MONTH(B135))</f>
        <v/>
      </c>
      <c r="U135" s="15">
        <f>IF(C135="","",YEAR(C135))</f>
        <v/>
      </c>
      <c r="V135" s="15">
        <f>IF(C135="","",MONTH(C135))</f>
        <v/>
      </c>
      <c r="W135" s="30">
        <f>IF(D135="","",IF(D135="Consignación",IF(O135="",0,ROUND(O135/(1+Configuracion!$B$11),0)),IF(N135="",0,ROUND(N135/(1+Configuracion!$B$11),0))))</f>
        <v/>
      </c>
      <c r="X135" s="30">
        <f>IF(W135="","",ROUND(W135*Configuracion!$B$11,0))</f>
        <v/>
      </c>
      <c r="Y135" s="30">
        <f>IF(OR(D135="",Q135&lt;&gt;"Vendido"),0,IF(D135="Consignación",0,IF(K135="",0,K135)))</f>
        <v/>
      </c>
      <c r="Z135" s="30">
        <f>IF(Q135&lt;&gt;"Vendido","",W135-Y135-IF(P135="",0,P135))</f>
        <v/>
      </c>
    </row>
    <row r="136">
      <c r="A136" s="15">
        <f>IF(D136="","",ROW()-5)</f>
        <v/>
      </c>
      <c r="B136" s="70" t="n"/>
      <c r="C136" s="70" t="n"/>
      <c r="D136" s="9" t="n"/>
      <c r="E136" s="9" t="n"/>
      <c r="F136" s="9" t="n"/>
      <c r="G136" s="11" t="n"/>
      <c r="H136" s="9" t="n"/>
      <c r="I136" s="9" t="n"/>
      <c r="J136" s="9" t="n"/>
      <c r="K136" s="71" t="n"/>
      <c r="L136" s="30">
        <f>IF(K136="","",IF(J136="Sí",ROUND(K136*Configuracion!$B$11,0),0))</f>
        <v/>
      </c>
      <c r="M136" s="30">
        <f>IF(K136="","",K136+L136)</f>
        <v/>
      </c>
      <c r="N136" s="71" t="n"/>
      <c r="O136" s="71" t="n"/>
      <c r="P136" s="71" t="n"/>
      <c r="Q136" s="9" t="n"/>
      <c r="R136" s="9" t="n"/>
      <c r="S136" s="15">
        <f>IF(B136="","",YEAR(B136))</f>
        <v/>
      </c>
      <c r="T136" s="15">
        <f>IF(B136="","",MONTH(B136))</f>
        <v/>
      </c>
      <c r="U136" s="15">
        <f>IF(C136="","",YEAR(C136))</f>
        <v/>
      </c>
      <c r="V136" s="15">
        <f>IF(C136="","",MONTH(C136))</f>
        <v/>
      </c>
      <c r="W136" s="30">
        <f>IF(D136="","",IF(D136="Consignación",IF(O136="",0,ROUND(O136/(1+Configuracion!$B$11),0)),IF(N136="",0,ROUND(N136/(1+Configuracion!$B$11),0))))</f>
        <v/>
      </c>
      <c r="X136" s="30">
        <f>IF(W136="","",ROUND(W136*Configuracion!$B$11,0))</f>
        <v/>
      </c>
      <c r="Y136" s="30">
        <f>IF(OR(D136="",Q136&lt;&gt;"Vendido"),0,IF(D136="Consignación",0,IF(K136="",0,K136)))</f>
        <v/>
      </c>
      <c r="Z136" s="30">
        <f>IF(Q136&lt;&gt;"Vendido","",W136-Y136-IF(P136="",0,P136))</f>
        <v/>
      </c>
    </row>
    <row r="137">
      <c r="A137" s="15">
        <f>IF(D137="","",ROW()-5)</f>
        <v/>
      </c>
      <c r="B137" s="70" t="n"/>
      <c r="C137" s="70" t="n"/>
      <c r="D137" s="9" t="n"/>
      <c r="E137" s="9" t="n"/>
      <c r="F137" s="9" t="n"/>
      <c r="G137" s="11" t="n"/>
      <c r="H137" s="9" t="n"/>
      <c r="I137" s="9" t="n"/>
      <c r="J137" s="9" t="n"/>
      <c r="K137" s="71" t="n"/>
      <c r="L137" s="30">
        <f>IF(K137="","",IF(J137="Sí",ROUND(K137*Configuracion!$B$11,0),0))</f>
        <v/>
      </c>
      <c r="M137" s="30">
        <f>IF(K137="","",K137+L137)</f>
        <v/>
      </c>
      <c r="N137" s="71" t="n"/>
      <c r="O137" s="71" t="n"/>
      <c r="P137" s="71" t="n"/>
      <c r="Q137" s="9" t="n"/>
      <c r="R137" s="9" t="n"/>
      <c r="S137" s="15">
        <f>IF(B137="","",YEAR(B137))</f>
        <v/>
      </c>
      <c r="T137" s="15">
        <f>IF(B137="","",MONTH(B137))</f>
        <v/>
      </c>
      <c r="U137" s="15">
        <f>IF(C137="","",YEAR(C137))</f>
        <v/>
      </c>
      <c r="V137" s="15">
        <f>IF(C137="","",MONTH(C137))</f>
        <v/>
      </c>
      <c r="W137" s="30">
        <f>IF(D137="","",IF(D137="Consignación",IF(O137="",0,ROUND(O137/(1+Configuracion!$B$11),0)),IF(N137="",0,ROUND(N137/(1+Configuracion!$B$11),0))))</f>
        <v/>
      </c>
      <c r="X137" s="30">
        <f>IF(W137="","",ROUND(W137*Configuracion!$B$11,0))</f>
        <v/>
      </c>
      <c r="Y137" s="30">
        <f>IF(OR(D137="",Q137&lt;&gt;"Vendido"),0,IF(D137="Consignación",0,IF(K137="",0,K137)))</f>
        <v/>
      </c>
      <c r="Z137" s="30">
        <f>IF(Q137&lt;&gt;"Vendido","",W137-Y137-IF(P137="",0,P137))</f>
        <v/>
      </c>
    </row>
    <row r="138">
      <c r="A138" s="15">
        <f>IF(D138="","",ROW()-5)</f>
        <v/>
      </c>
      <c r="B138" s="70" t="n"/>
      <c r="C138" s="70" t="n"/>
      <c r="D138" s="9" t="n"/>
      <c r="E138" s="9" t="n"/>
      <c r="F138" s="9" t="n"/>
      <c r="G138" s="11" t="n"/>
      <c r="H138" s="9" t="n"/>
      <c r="I138" s="9" t="n"/>
      <c r="J138" s="9" t="n"/>
      <c r="K138" s="71" t="n"/>
      <c r="L138" s="30">
        <f>IF(K138="","",IF(J138="Sí",ROUND(K138*Configuracion!$B$11,0),0))</f>
        <v/>
      </c>
      <c r="M138" s="30">
        <f>IF(K138="","",K138+L138)</f>
        <v/>
      </c>
      <c r="N138" s="71" t="n"/>
      <c r="O138" s="71" t="n"/>
      <c r="P138" s="71" t="n"/>
      <c r="Q138" s="9" t="n"/>
      <c r="R138" s="9" t="n"/>
      <c r="S138" s="15">
        <f>IF(B138="","",YEAR(B138))</f>
        <v/>
      </c>
      <c r="T138" s="15">
        <f>IF(B138="","",MONTH(B138))</f>
        <v/>
      </c>
      <c r="U138" s="15">
        <f>IF(C138="","",YEAR(C138))</f>
        <v/>
      </c>
      <c r="V138" s="15">
        <f>IF(C138="","",MONTH(C138))</f>
        <v/>
      </c>
      <c r="W138" s="30">
        <f>IF(D138="","",IF(D138="Consignación",IF(O138="",0,ROUND(O138/(1+Configuracion!$B$11),0)),IF(N138="",0,ROUND(N138/(1+Configuracion!$B$11),0))))</f>
        <v/>
      </c>
      <c r="X138" s="30">
        <f>IF(W138="","",ROUND(W138*Configuracion!$B$11,0))</f>
        <v/>
      </c>
      <c r="Y138" s="30">
        <f>IF(OR(D138="",Q138&lt;&gt;"Vendido"),0,IF(D138="Consignación",0,IF(K138="",0,K138)))</f>
        <v/>
      </c>
      <c r="Z138" s="30">
        <f>IF(Q138&lt;&gt;"Vendido","",W138-Y138-IF(P138="",0,P138))</f>
        <v/>
      </c>
    </row>
    <row r="139">
      <c r="A139" s="15">
        <f>IF(D139="","",ROW()-5)</f>
        <v/>
      </c>
      <c r="B139" s="70" t="n"/>
      <c r="C139" s="70" t="n"/>
      <c r="D139" s="9" t="n"/>
      <c r="E139" s="9" t="n"/>
      <c r="F139" s="9" t="n"/>
      <c r="G139" s="11" t="n"/>
      <c r="H139" s="9" t="n"/>
      <c r="I139" s="9" t="n"/>
      <c r="J139" s="9" t="n"/>
      <c r="K139" s="71" t="n"/>
      <c r="L139" s="30">
        <f>IF(K139="","",IF(J139="Sí",ROUND(K139*Configuracion!$B$11,0),0))</f>
        <v/>
      </c>
      <c r="M139" s="30">
        <f>IF(K139="","",K139+L139)</f>
        <v/>
      </c>
      <c r="N139" s="71" t="n"/>
      <c r="O139" s="71" t="n"/>
      <c r="P139" s="71" t="n"/>
      <c r="Q139" s="9" t="n"/>
      <c r="R139" s="9" t="n"/>
      <c r="S139" s="15">
        <f>IF(B139="","",YEAR(B139))</f>
        <v/>
      </c>
      <c r="T139" s="15">
        <f>IF(B139="","",MONTH(B139))</f>
        <v/>
      </c>
      <c r="U139" s="15">
        <f>IF(C139="","",YEAR(C139))</f>
        <v/>
      </c>
      <c r="V139" s="15">
        <f>IF(C139="","",MONTH(C139))</f>
        <v/>
      </c>
      <c r="W139" s="30">
        <f>IF(D139="","",IF(D139="Consignación",IF(O139="",0,ROUND(O139/(1+Configuracion!$B$11),0)),IF(N139="",0,ROUND(N139/(1+Configuracion!$B$11),0))))</f>
        <v/>
      </c>
      <c r="X139" s="30">
        <f>IF(W139="","",ROUND(W139*Configuracion!$B$11,0))</f>
        <v/>
      </c>
      <c r="Y139" s="30">
        <f>IF(OR(D139="",Q139&lt;&gt;"Vendido"),0,IF(D139="Consignación",0,IF(K139="",0,K139)))</f>
        <v/>
      </c>
      <c r="Z139" s="30">
        <f>IF(Q139&lt;&gt;"Vendido","",W139-Y139-IF(P139="",0,P139))</f>
        <v/>
      </c>
    </row>
    <row r="140">
      <c r="A140" s="15">
        <f>IF(D140="","",ROW()-5)</f>
        <v/>
      </c>
      <c r="B140" s="70" t="n"/>
      <c r="C140" s="70" t="n"/>
      <c r="D140" s="9" t="n"/>
      <c r="E140" s="9" t="n"/>
      <c r="F140" s="9" t="n"/>
      <c r="G140" s="11" t="n"/>
      <c r="H140" s="9" t="n"/>
      <c r="I140" s="9" t="n"/>
      <c r="J140" s="9" t="n"/>
      <c r="K140" s="71" t="n"/>
      <c r="L140" s="30">
        <f>IF(K140="","",IF(J140="Sí",ROUND(K140*Configuracion!$B$11,0),0))</f>
        <v/>
      </c>
      <c r="M140" s="30">
        <f>IF(K140="","",K140+L140)</f>
        <v/>
      </c>
      <c r="N140" s="71" t="n"/>
      <c r="O140" s="71" t="n"/>
      <c r="P140" s="71" t="n"/>
      <c r="Q140" s="9" t="n"/>
      <c r="R140" s="9" t="n"/>
      <c r="S140" s="15">
        <f>IF(B140="","",YEAR(B140))</f>
        <v/>
      </c>
      <c r="T140" s="15">
        <f>IF(B140="","",MONTH(B140))</f>
        <v/>
      </c>
      <c r="U140" s="15">
        <f>IF(C140="","",YEAR(C140))</f>
        <v/>
      </c>
      <c r="V140" s="15">
        <f>IF(C140="","",MONTH(C140))</f>
        <v/>
      </c>
      <c r="W140" s="30">
        <f>IF(D140="","",IF(D140="Consignación",IF(O140="",0,ROUND(O140/(1+Configuracion!$B$11),0)),IF(N140="",0,ROUND(N140/(1+Configuracion!$B$11),0))))</f>
        <v/>
      </c>
      <c r="X140" s="30">
        <f>IF(W140="","",ROUND(W140*Configuracion!$B$11,0))</f>
        <v/>
      </c>
      <c r="Y140" s="30">
        <f>IF(OR(D140="",Q140&lt;&gt;"Vendido"),0,IF(D140="Consignación",0,IF(K140="",0,K140)))</f>
        <v/>
      </c>
      <c r="Z140" s="30">
        <f>IF(Q140&lt;&gt;"Vendido","",W140-Y140-IF(P140="",0,P140))</f>
        <v/>
      </c>
    </row>
    <row r="141">
      <c r="A141" s="15">
        <f>IF(D141="","",ROW()-5)</f>
        <v/>
      </c>
      <c r="B141" s="70" t="n"/>
      <c r="C141" s="70" t="n"/>
      <c r="D141" s="9" t="n"/>
      <c r="E141" s="9" t="n"/>
      <c r="F141" s="9" t="n"/>
      <c r="G141" s="11" t="n"/>
      <c r="H141" s="9" t="n"/>
      <c r="I141" s="9" t="n"/>
      <c r="J141" s="9" t="n"/>
      <c r="K141" s="71" t="n"/>
      <c r="L141" s="30">
        <f>IF(K141="","",IF(J141="Sí",ROUND(K141*Configuracion!$B$11,0),0))</f>
        <v/>
      </c>
      <c r="M141" s="30">
        <f>IF(K141="","",K141+L141)</f>
        <v/>
      </c>
      <c r="N141" s="71" t="n"/>
      <c r="O141" s="71" t="n"/>
      <c r="P141" s="71" t="n"/>
      <c r="Q141" s="9" t="n"/>
      <c r="R141" s="9" t="n"/>
      <c r="S141" s="15">
        <f>IF(B141="","",YEAR(B141))</f>
        <v/>
      </c>
      <c r="T141" s="15">
        <f>IF(B141="","",MONTH(B141))</f>
        <v/>
      </c>
      <c r="U141" s="15">
        <f>IF(C141="","",YEAR(C141))</f>
        <v/>
      </c>
      <c r="V141" s="15">
        <f>IF(C141="","",MONTH(C141))</f>
        <v/>
      </c>
      <c r="W141" s="30">
        <f>IF(D141="","",IF(D141="Consignación",IF(O141="",0,ROUND(O141/(1+Configuracion!$B$11),0)),IF(N141="",0,ROUND(N141/(1+Configuracion!$B$11),0))))</f>
        <v/>
      </c>
      <c r="X141" s="30">
        <f>IF(W141="","",ROUND(W141*Configuracion!$B$11,0))</f>
        <v/>
      </c>
      <c r="Y141" s="30">
        <f>IF(OR(D141="",Q141&lt;&gt;"Vendido"),0,IF(D141="Consignación",0,IF(K141="",0,K141)))</f>
        <v/>
      </c>
      <c r="Z141" s="30">
        <f>IF(Q141&lt;&gt;"Vendido","",W141-Y141-IF(P141="",0,P141))</f>
        <v/>
      </c>
    </row>
    <row r="142">
      <c r="A142" s="15">
        <f>IF(D142="","",ROW()-5)</f>
        <v/>
      </c>
      <c r="B142" s="70" t="n"/>
      <c r="C142" s="70" t="n"/>
      <c r="D142" s="9" t="n"/>
      <c r="E142" s="9" t="n"/>
      <c r="F142" s="9" t="n"/>
      <c r="G142" s="11" t="n"/>
      <c r="H142" s="9" t="n"/>
      <c r="I142" s="9" t="n"/>
      <c r="J142" s="9" t="n"/>
      <c r="K142" s="71" t="n"/>
      <c r="L142" s="30">
        <f>IF(K142="","",IF(J142="Sí",ROUND(K142*Configuracion!$B$11,0),0))</f>
        <v/>
      </c>
      <c r="M142" s="30">
        <f>IF(K142="","",K142+L142)</f>
        <v/>
      </c>
      <c r="N142" s="71" t="n"/>
      <c r="O142" s="71" t="n"/>
      <c r="P142" s="71" t="n"/>
      <c r="Q142" s="9" t="n"/>
      <c r="R142" s="9" t="n"/>
      <c r="S142" s="15">
        <f>IF(B142="","",YEAR(B142))</f>
        <v/>
      </c>
      <c r="T142" s="15">
        <f>IF(B142="","",MONTH(B142))</f>
        <v/>
      </c>
      <c r="U142" s="15">
        <f>IF(C142="","",YEAR(C142))</f>
        <v/>
      </c>
      <c r="V142" s="15">
        <f>IF(C142="","",MONTH(C142))</f>
        <v/>
      </c>
      <c r="W142" s="30">
        <f>IF(D142="","",IF(D142="Consignación",IF(O142="",0,ROUND(O142/(1+Configuracion!$B$11),0)),IF(N142="",0,ROUND(N142/(1+Configuracion!$B$11),0))))</f>
        <v/>
      </c>
      <c r="X142" s="30">
        <f>IF(W142="","",ROUND(W142*Configuracion!$B$11,0))</f>
        <v/>
      </c>
      <c r="Y142" s="30">
        <f>IF(OR(D142="",Q142&lt;&gt;"Vendido"),0,IF(D142="Consignación",0,IF(K142="",0,K142)))</f>
        <v/>
      </c>
      <c r="Z142" s="30">
        <f>IF(Q142&lt;&gt;"Vendido","",W142-Y142-IF(P142="",0,P142))</f>
        <v/>
      </c>
    </row>
    <row r="143">
      <c r="A143" s="15">
        <f>IF(D143="","",ROW()-5)</f>
        <v/>
      </c>
      <c r="B143" s="70" t="n"/>
      <c r="C143" s="70" t="n"/>
      <c r="D143" s="9" t="n"/>
      <c r="E143" s="9" t="n"/>
      <c r="F143" s="9" t="n"/>
      <c r="G143" s="11" t="n"/>
      <c r="H143" s="9" t="n"/>
      <c r="I143" s="9" t="n"/>
      <c r="J143" s="9" t="n"/>
      <c r="K143" s="71" t="n"/>
      <c r="L143" s="30">
        <f>IF(K143="","",IF(J143="Sí",ROUND(K143*Configuracion!$B$11,0),0))</f>
        <v/>
      </c>
      <c r="M143" s="30">
        <f>IF(K143="","",K143+L143)</f>
        <v/>
      </c>
      <c r="N143" s="71" t="n"/>
      <c r="O143" s="71" t="n"/>
      <c r="P143" s="71" t="n"/>
      <c r="Q143" s="9" t="n"/>
      <c r="R143" s="9" t="n"/>
      <c r="S143" s="15">
        <f>IF(B143="","",YEAR(B143))</f>
        <v/>
      </c>
      <c r="T143" s="15">
        <f>IF(B143="","",MONTH(B143))</f>
        <v/>
      </c>
      <c r="U143" s="15">
        <f>IF(C143="","",YEAR(C143))</f>
        <v/>
      </c>
      <c r="V143" s="15">
        <f>IF(C143="","",MONTH(C143))</f>
        <v/>
      </c>
      <c r="W143" s="30">
        <f>IF(D143="","",IF(D143="Consignación",IF(O143="",0,ROUND(O143/(1+Configuracion!$B$11),0)),IF(N143="",0,ROUND(N143/(1+Configuracion!$B$11),0))))</f>
        <v/>
      </c>
      <c r="X143" s="30">
        <f>IF(W143="","",ROUND(W143*Configuracion!$B$11,0))</f>
        <v/>
      </c>
      <c r="Y143" s="30">
        <f>IF(OR(D143="",Q143&lt;&gt;"Vendido"),0,IF(D143="Consignación",0,IF(K143="",0,K143)))</f>
        <v/>
      </c>
      <c r="Z143" s="30">
        <f>IF(Q143&lt;&gt;"Vendido","",W143-Y143-IF(P143="",0,P143))</f>
        <v/>
      </c>
    </row>
    <row r="144">
      <c r="A144" s="15">
        <f>IF(D144="","",ROW()-5)</f>
        <v/>
      </c>
      <c r="B144" s="70" t="n"/>
      <c r="C144" s="70" t="n"/>
      <c r="D144" s="9" t="n"/>
      <c r="E144" s="9" t="n"/>
      <c r="F144" s="9" t="n"/>
      <c r="G144" s="11" t="n"/>
      <c r="H144" s="9" t="n"/>
      <c r="I144" s="9" t="n"/>
      <c r="J144" s="9" t="n"/>
      <c r="K144" s="71" t="n"/>
      <c r="L144" s="30">
        <f>IF(K144="","",IF(J144="Sí",ROUND(K144*Configuracion!$B$11,0),0))</f>
        <v/>
      </c>
      <c r="M144" s="30">
        <f>IF(K144="","",K144+L144)</f>
        <v/>
      </c>
      <c r="N144" s="71" t="n"/>
      <c r="O144" s="71" t="n"/>
      <c r="P144" s="71" t="n"/>
      <c r="Q144" s="9" t="n"/>
      <c r="R144" s="9" t="n"/>
      <c r="S144" s="15">
        <f>IF(B144="","",YEAR(B144))</f>
        <v/>
      </c>
      <c r="T144" s="15">
        <f>IF(B144="","",MONTH(B144))</f>
        <v/>
      </c>
      <c r="U144" s="15">
        <f>IF(C144="","",YEAR(C144))</f>
        <v/>
      </c>
      <c r="V144" s="15">
        <f>IF(C144="","",MONTH(C144))</f>
        <v/>
      </c>
      <c r="W144" s="30">
        <f>IF(D144="","",IF(D144="Consignación",IF(O144="",0,ROUND(O144/(1+Configuracion!$B$11),0)),IF(N144="",0,ROUND(N144/(1+Configuracion!$B$11),0))))</f>
        <v/>
      </c>
      <c r="X144" s="30">
        <f>IF(W144="","",ROUND(W144*Configuracion!$B$11,0))</f>
        <v/>
      </c>
      <c r="Y144" s="30">
        <f>IF(OR(D144="",Q144&lt;&gt;"Vendido"),0,IF(D144="Consignación",0,IF(K144="",0,K144)))</f>
        <v/>
      </c>
      <c r="Z144" s="30">
        <f>IF(Q144&lt;&gt;"Vendido","",W144-Y144-IF(P144="",0,P144))</f>
        <v/>
      </c>
    </row>
    <row r="145">
      <c r="A145" s="15">
        <f>IF(D145="","",ROW()-5)</f>
        <v/>
      </c>
      <c r="B145" s="70" t="n"/>
      <c r="C145" s="70" t="n"/>
      <c r="D145" s="9" t="n"/>
      <c r="E145" s="9" t="n"/>
      <c r="F145" s="9" t="n"/>
      <c r="G145" s="11" t="n"/>
      <c r="H145" s="9" t="n"/>
      <c r="I145" s="9" t="n"/>
      <c r="J145" s="9" t="n"/>
      <c r="K145" s="71" t="n"/>
      <c r="L145" s="30">
        <f>IF(K145="","",IF(J145="Sí",ROUND(K145*Configuracion!$B$11,0),0))</f>
        <v/>
      </c>
      <c r="M145" s="30">
        <f>IF(K145="","",K145+L145)</f>
        <v/>
      </c>
      <c r="N145" s="71" t="n"/>
      <c r="O145" s="71" t="n"/>
      <c r="P145" s="71" t="n"/>
      <c r="Q145" s="9" t="n"/>
      <c r="R145" s="9" t="n"/>
      <c r="S145" s="15">
        <f>IF(B145="","",YEAR(B145))</f>
        <v/>
      </c>
      <c r="T145" s="15">
        <f>IF(B145="","",MONTH(B145))</f>
        <v/>
      </c>
      <c r="U145" s="15">
        <f>IF(C145="","",YEAR(C145))</f>
        <v/>
      </c>
      <c r="V145" s="15">
        <f>IF(C145="","",MONTH(C145))</f>
        <v/>
      </c>
      <c r="W145" s="30">
        <f>IF(D145="","",IF(D145="Consignación",IF(O145="",0,ROUND(O145/(1+Configuracion!$B$11),0)),IF(N145="",0,ROUND(N145/(1+Configuracion!$B$11),0))))</f>
        <v/>
      </c>
      <c r="X145" s="30">
        <f>IF(W145="","",ROUND(W145*Configuracion!$B$11,0))</f>
        <v/>
      </c>
      <c r="Y145" s="30">
        <f>IF(OR(D145="",Q145&lt;&gt;"Vendido"),0,IF(D145="Consignación",0,IF(K145="",0,K145)))</f>
        <v/>
      </c>
      <c r="Z145" s="30">
        <f>IF(Q145&lt;&gt;"Vendido","",W145-Y145-IF(P145="",0,P145))</f>
        <v/>
      </c>
    </row>
    <row r="146">
      <c r="A146" s="15">
        <f>IF(D146="","",ROW()-5)</f>
        <v/>
      </c>
      <c r="B146" s="70" t="n"/>
      <c r="C146" s="70" t="n"/>
      <c r="D146" s="9" t="n"/>
      <c r="E146" s="9" t="n"/>
      <c r="F146" s="9" t="n"/>
      <c r="G146" s="11" t="n"/>
      <c r="H146" s="9" t="n"/>
      <c r="I146" s="9" t="n"/>
      <c r="J146" s="9" t="n"/>
      <c r="K146" s="71" t="n"/>
      <c r="L146" s="30">
        <f>IF(K146="","",IF(J146="Sí",ROUND(K146*Configuracion!$B$11,0),0))</f>
        <v/>
      </c>
      <c r="M146" s="30">
        <f>IF(K146="","",K146+L146)</f>
        <v/>
      </c>
      <c r="N146" s="71" t="n"/>
      <c r="O146" s="71" t="n"/>
      <c r="P146" s="71" t="n"/>
      <c r="Q146" s="9" t="n"/>
      <c r="R146" s="9" t="n"/>
      <c r="S146" s="15">
        <f>IF(B146="","",YEAR(B146))</f>
        <v/>
      </c>
      <c r="T146" s="15">
        <f>IF(B146="","",MONTH(B146))</f>
        <v/>
      </c>
      <c r="U146" s="15">
        <f>IF(C146="","",YEAR(C146))</f>
        <v/>
      </c>
      <c r="V146" s="15">
        <f>IF(C146="","",MONTH(C146))</f>
        <v/>
      </c>
      <c r="W146" s="30">
        <f>IF(D146="","",IF(D146="Consignación",IF(O146="",0,ROUND(O146/(1+Configuracion!$B$11),0)),IF(N146="",0,ROUND(N146/(1+Configuracion!$B$11),0))))</f>
        <v/>
      </c>
      <c r="X146" s="30">
        <f>IF(W146="","",ROUND(W146*Configuracion!$B$11,0))</f>
        <v/>
      </c>
      <c r="Y146" s="30">
        <f>IF(OR(D146="",Q146&lt;&gt;"Vendido"),0,IF(D146="Consignación",0,IF(K146="",0,K146)))</f>
        <v/>
      </c>
      <c r="Z146" s="30">
        <f>IF(Q146&lt;&gt;"Vendido","",W146-Y146-IF(P146="",0,P146))</f>
        <v/>
      </c>
    </row>
    <row r="147">
      <c r="A147" s="15">
        <f>IF(D147="","",ROW()-5)</f>
        <v/>
      </c>
      <c r="B147" s="70" t="n"/>
      <c r="C147" s="70" t="n"/>
      <c r="D147" s="9" t="n"/>
      <c r="E147" s="9" t="n"/>
      <c r="F147" s="9" t="n"/>
      <c r="G147" s="11" t="n"/>
      <c r="H147" s="9" t="n"/>
      <c r="I147" s="9" t="n"/>
      <c r="J147" s="9" t="n"/>
      <c r="K147" s="71" t="n"/>
      <c r="L147" s="30">
        <f>IF(K147="","",IF(J147="Sí",ROUND(K147*Configuracion!$B$11,0),0))</f>
        <v/>
      </c>
      <c r="M147" s="30">
        <f>IF(K147="","",K147+L147)</f>
        <v/>
      </c>
      <c r="N147" s="71" t="n"/>
      <c r="O147" s="71" t="n"/>
      <c r="P147" s="71" t="n"/>
      <c r="Q147" s="9" t="n"/>
      <c r="R147" s="9" t="n"/>
      <c r="S147" s="15">
        <f>IF(B147="","",YEAR(B147))</f>
        <v/>
      </c>
      <c r="T147" s="15">
        <f>IF(B147="","",MONTH(B147))</f>
        <v/>
      </c>
      <c r="U147" s="15">
        <f>IF(C147="","",YEAR(C147))</f>
        <v/>
      </c>
      <c r="V147" s="15">
        <f>IF(C147="","",MONTH(C147))</f>
        <v/>
      </c>
      <c r="W147" s="30">
        <f>IF(D147="","",IF(D147="Consignación",IF(O147="",0,ROUND(O147/(1+Configuracion!$B$11),0)),IF(N147="",0,ROUND(N147/(1+Configuracion!$B$11),0))))</f>
        <v/>
      </c>
      <c r="X147" s="30">
        <f>IF(W147="","",ROUND(W147*Configuracion!$B$11,0))</f>
        <v/>
      </c>
      <c r="Y147" s="30">
        <f>IF(OR(D147="",Q147&lt;&gt;"Vendido"),0,IF(D147="Consignación",0,IF(K147="",0,K147)))</f>
        <v/>
      </c>
      <c r="Z147" s="30">
        <f>IF(Q147&lt;&gt;"Vendido","",W147-Y147-IF(P147="",0,P147))</f>
        <v/>
      </c>
    </row>
    <row r="148">
      <c r="A148" s="15">
        <f>IF(D148="","",ROW()-5)</f>
        <v/>
      </c>
      <c r="B148" s="70" t="n"/>
      <c r="C148" s="70" t="n"/>
      <c r="D148" s="9" t="n"/>
      <c r="E148" s="9" t="n"/>
      <c r="F148" s="9" t="n"/>
      <c r="G148" s="11" t="n"/>
      <c r="H148" s="9" t="n"/>
      <c r="I148" s="9" t="n"/>
      <c r="J148" s="9" t="n"/>
      <c r="K148" s="71" t="n"/>
      <c r="L148" s="30">
        <f>IF(K148="","",IF(J148="Sí",ROUND(K148*Configuracion!$B$11,0),0))</f>
        <v/>
      </c>
      <c r="M148" s="30">
        <f>IF(K148="","",K148+L148)</f>
        <v/>
      </c>
      <c r="N148" s="71" t="n"/>
      <c r="O148" s="71" t="n"/>
      <c r="P148" s="71" t="n"/>
      <c r="Q148" s="9" t="n"/>
      <c r="R148" s="9" t="n"/>
      <c r="S148" s="15">
        <f>IF(B148="","",YEAR(B148))</f>
        <v/>
      </c>
      <c r="T148" s="15">
        <f>IF(B148="","",MONTH(B148))</f>
        <v/>
      </c>
      <c r="U148" s="15">
        <f>IF(C148="","",YEAR(C148))</f>
        <v/>
      </c>
      <c r="V148" s="15">
        <f>IF(C148="","",MONTH(C148))</f>
        <v/>
      </c>
      <c r="W148" s="30">
        <f>IF(D148="","",IF(D148="Consignación",IF(O148="",0,ROUND(O148/(1+Configuracion!$B$11),0)),IF(N148="",0,ROUND(N148/(1+Configuracion!$B$11),0))))</f>
        <v/>
      </c>
      <c r="X148" s="30">
        <f>IF(W148="","",ROUND(W148*Configuracion!$B$11,0))</f>
        <v/>
      </c>
      <c r="Y148" s="30">
        <f>IF(OR(D148="",Q148&lt;&gt;"Vendido"),0,IF(D148="Consignación",0,IF(K148="",0,K148)))</f>
        <v/>
      </c>
      <c r="Z148" s="30">
        <f>IF(Q148&lt;&gt;"Vendido","",W148-Y148-IF(P148="",0,P148))</f>
        <v/>
      </c>
    </row>
    <row r="149">
      <c r="A149" s="15">
        <f>IF(D149="","",ROW()-5)</f>
        <v/>
      </c>
      <c r="B149" s="70" t="n"/>
      <c r="C149" s="70" t="n"/>
      <c r="D149" s="9" t="n"/>
      <c r="E149" s="9" t="n"/>
      <c r="F149" s="9" t="n"/>
      <c r="G149" s="11" t="n"/>
      <c r="H149" s="9" t="n"/>
      <c r="I149" s="9" t="n"/>
      <c r="J149" s="9" t="n"/>
      <c r="K149" s="71" t="n"/>
      <c r="L149" s="30">
        <f>IF(K149="","",IF(J149="Sí",ROUND(K149*Configuracion!$B$11,0),0))</f>
        <v/>
      </c>
      <c r="M149" s="30">
        <f>IF(K149="","",K149+L149)</f>
        <v/>
      </c>
      <c r="N149" s="71" t="n"/>
      <c r="O149" s="71" t="n"/>
      <c r="P149" s="71" t="n"/>
      <c r="Q149" s="9" t="n"/>
      <c r="R149" s="9" t="n"/>
      <c r="S149" s="15">
        <f>IF(B149="","",YEAR(B149))</f>
        <v/>
      </c>
      <c r="T149" s="15">
        <f>IF(B149="","",MONTH(B149))</f>
        <v/>
      </c>
      <c r="U149" s="15">
        <f>IF(C149="","",YEAR(C149))</f>
        <v/>
      </c>
      <c r="V149" s="15">
        <f>IF(C149="","",MONTH(C149))</f>
        <v/>
      </c>
      <c r="W149" s="30">
        <f>IF(D149="","",IF(D149="Consignación",IF(O149="",0,ROUND(O149/(1+Configuracion!$B$11),0)),IF(N149="",0,ROUND(N149/(1+Configuracion!$B$11),0))))</f>
        <v/>
      </c>
      <c r="X149" s="30">
        <f>IF(W149="","",ROUND(W149*Configuracion!$B$11,0))</f>
        <v/>
      </c>
      <c r="Y149" s="30">
        <f>IF(OR(D149="",Q149&lt;&gt;"Vendido"),0,IF(D149="Consignación",0,IF(K149="",0,K149)))</f>
        <v/>
      </c>
      <c r="Z149" s="30">
        <f>IF(Q149&lt;&gt;"Vendido","",W149-Y149-IF(P149="",0,P149))</f>
        <v/>
      </c>
    </row>
    <row r="150">
      <c r="A150" s="15">
        <f>IF(D150="","",ROW()-5)</f>
        <v/>
      </c>
      <c r="B150" s="70" t="n"/>
      <c r="C150" s="70" t="n"/>
      <c r="D150" s="9" t="n"/>
      <c r="E150" s="9" t="n"/>
      <c r="F150" s="9" t="n"/>
      <c r="G150" s="11" t="n"/>
      <c r="H150" s="9" t="n"/>
      <c r="I150" s="9" t="n"/>
      <c r="J150" s="9" t="n"/>
      <c r="K150" s="71" t="n"/>
      <c r="L150" s="30">
        <f>IF(K150="","",IF(J150="Sí",ROUND(K150*Configuracion!$B$11,0),0))</f>
        <v/>
      </c>
      <c r="M150" s="30">
        <f>IF(K150="","",K150+L150)</f>
        <v/>
      </c>
      <c r="N150" s="71" t="n"/>
      <c r="O150" s="71" t="n"/>
      <c r="P150" s="71" t="n"/>
      <c r="Q150" s="9" t="n"/>
      <c r="R150" s="9" t="n"/>
      <c r="S150" s="15">
        <f>IF(B150="","",YEAR(B150))</f>
        <v/>
      </c>
      <c r="T150" s="15">
        <f>IF(B150="","",MONTH(B150))</f>
        <v/>
      </c>
      <c r="U150" s="15">
        <f>IF(C150="","",YEAR(C150))</f>
        <v/>
      </c>
      <c r="V150" s="15">
        <f>IF(C150="","",MONTH(C150))</f>
        <v/>
      </c>
      <c r="W150" s="30">
        <f>IF(D150="","",IF(D150="Consignación",IF(O150="",0,ROUND(O150/(1+Configuracion!$B$11),0)),IF(N150="",0,ROUND(N150/(1+Configuracion!$B$11),0))))</f>
        <v/>
      </c>
      <c r="X150" s="30">
        <f>IF(W150="","",ROUND(W150*Configuracion!$B$11,0))</f>
        <v/>
      </c>
      <c r="Y150" s="30">
        <f>IF(OR(D150="",Q150&lt;&gt;"Vendido"),0,IF(D150="Consignación",0,IF(K150="",0,K150)))</f>
        <v/>
      </c>
      <c r="Z150" s="30">
        <f>IF(Q150&lt;&gt;"Vendido","",W150-Y150-IF(P150="",0,P150))</f>
        <v/>
      </c>
    </row>
    <row r="151">
      <c r="A151" s="15">
        <f>IF(D151="","",ROW()-5)</f>
        <v/>
      </c>
      <c r="B151" s="70" t="n"/>
      <c r="C151" s="70" t="n"/>
      <c r="D151" s="9" t="n"/>
      <c r="E151" s="9" t="n"/>
      <c r="F151" s="9" t="n"/>
      <c r="G151" s="11" t="n"/>
      <c r="H151" s="9" t="n"/>
      <c r="I151" s="9" t="n"/>
      <c r="J151" s="9" t="n"/>
      <c r="K151" s="71" t="n"/>
      <c r="L151" s="30">
        <f>IF(K151="","",IF(J151="Sí",ROUND(K151*Configuracion!$B$11,0),0))</f>
        <v/>
      </c>
      <c r="M151" s="30">
        <f>IF(K151="","",K151+L151)</f>
        <v/>
      </c>
      <c r="N151" s="71" t="n"/>
      <c r="O151" s="71" t="n"/>
      <c r="P151" s="71" t="n"/>
      <c r="Q151" s="9" t="n"/>
      <c r="R151" s="9" t="n"/>
      <c r="S151" s="15">
        <f>IF(B151="","",YEAR(B151))</f>
        <v/>
      </c>
      <c r="T151" s="15">
        <f>IF(B151="","",MONTH(B151))</f>
        <v/>
      </c>
      <c r="U151" s="15">
        <f>IF(C151="","",YEAR(C151))</f>
        <v/>
      </c>
      <c r="V151" s="15">
        <f>IF(C151="","",MONTH(C151))</f>
        <v/>
      </c>
      <c r="W151" s="30">
        <f>IF(D151="","",IF(D151="Consignación",IF(O151="",0,ROUND(O151/(1+Configuracion!$B$11),0)),IF(N151="",0,ROUND(N151/(1+Configuracion!$B$11),0))))</f>
        <v/>
      </c>
      <c r="X151" s="30">
        <f>IF(W151="","",ROUND(W151*Configuracion!$B$11,0))</f>
        <v/>
      </c>
      <c r="Y151" s="30">
        <f>IF(OR(D151="",Q151&lt;&gt;"Vendido"),0,IF(D151="Consignación",0,IF(K151="",0,K151)))</f>
        <v/>
      </c>
      <c r="Z151" s="30">
        <f>IF(Q151&lt;&gt;"Vendido","",W151-Y151-IF(P151="",0,P151))</f>
        <v/>
      </c>
    </row>
    <row r="152">
      <c r="A152" s="15">
        <f>IF(D152="","",ROW()-5)</f>
        <v/>
      </c>
      <c r="B152" s="70" t="n"/>
      <c r="C152" s="70" t="n"/>
      <c r="D152" s="9" t="n"/>
      <c r="E152" s="9" t="n"/>
      <c r="F152" s="9" t="n"/>
      <c r="G152" s="11" t="n"/>
      <c r="H152" s="9" t="n"/>
      <c r="I152" s="9" t="n"/>
      <c r="J152" s="9" t="n"/>
      <c r="K152" s="71" t="n"/>
      <c r="L152" s="30">
        <f>IF(K152="","",IF(J152="Sí",ROUND(K152*Configuracion!$B$11,0),0))</f>
        <v/>
      </c>
      <c r="M152" s="30">
        <f>IF(K152="","",K152+L152)</f>
        <v/>
      </c>
      <c r="N152" s="71" t="n"/>
      <c r="O152" s="71" t="n"/>
      <c r="P152" s="71" t="n"/>
      <c r="Q152" s="9" t="n"/>
      <c r="R152" s="9" t="n"/>
      <c r="S152" s="15">
        <f>IF(B152="","",YEAR(B152))</f>
        <v/>
      </c>
      <c r="T152" s="15">
        <f>IF(B152="","",MONTH(B152))</f>
        <v/>
      </c>
      <c r="U152" s="15">
        <f>IF(C152="","",YEAR(C152))</f>
        <v/>
      </c>
      <c r="V152" s="15">
        <f>IF(C152="","",MONTH(C152))</f>
        <v/>
      </c>
      <c r="W152" s="30">
        <f>IF(D152="","",IF(D152="Consignación",IF(O152="",0,ROUND(O152/(1+Configuracion!$B$11),0)),IF(N152="",0,ROUND(N152/(1+Configuracion!$B$11),0))))</f>
        <v/>
      </c>
      <c r="X152" s="30">
        <f>IF(W152="","",ROUND(W152*Configuracion!$B$11,0))</f>
        <v/>
      </c>
      <c r="Y152" s="30">
        <f>IF(OR(D152="",Q152&lt;&gt;"Vendido"),0,IF(D152="Consignación",0,IF(K152="",0,K152)))</f>
        <v/>
      </c>
      <c r="Z152" s="30">
        <f>IF(Q152&lt;&gt;"Vendido","",W152-Y152-IF(P152="",0,P152))</f>
        <v/>
      </c>
    </row>
    <row r="153">
      <c r="A153" s="15">
        <f>IF(D153="","",ROW()-5)</f>
        <v/>
      </c>
      <c r="B153" s="70" t="n"/>
      <c r="C153" s="70" t="n"/>
      <c r="D153" s="9" t="n"/>
      <c r="E153" s="9" t="n"/>
      <c r="F153" s="9" t="n"/>
      <c r="G153" s="11" t="n"/>
      <c r="H153" s="9" t="n"/>
      <c r="I153" s="9" t="n"/>
      <c r="J153" s="9" t="n"/>
      <c r="K153" s="71" t="n"/>
      <c r="L153" s="30">
        <f>IF(K153="","",IF(J153="Sí",ROUND(K153*Configuracion!$B$11,0),0))</f>
        <v/>
      </c>
      <c r="M153" s="30">
        <f>IF(K153="","",K153+L153)</f>
        <v/>
      </c>
      <c r="N153" s="71" t="n"/>
      <c r="O153" s="71" t="n"/>
      <c r="P153" s="71" t="n"/>
      <c r="Q153" s="9" t="n"/>
      <c r="R153" s="9" t="n"/>
      <c r="S153" s="15">
        <f>IF(B153="","",YEAR(B153))</f>
        <v/>
      </c>
      <c r="T153" s="15">
        <f>IF(B153="","",MONTH(B153))</f>
        <v/>
      </c>
      <c r="U153" s="15">
        <f>IF(C153="","",YEAR(C153))</f>
        <v/>
      </c>
      <c r="V153" s="15">
        <f>IF(C153="","",MONTH(C153))</f>
        <v/>
      </c>
      <c r="W153" s="30">
        <f>IF(D153="","",IF(D153="Consignación",IF(O153="",0,ROUND(O153/(1+Configuracion!$B$11),0)),IF(N153="",0,ROUND(N153/(1+Configuracion!$B$11),0))))</f>
        <v/>
      </c>
      <c r="X153" s="30">
        <f>IF(W153="","",ROUND(W153*Configuracion!$B$11,0))</f>
        <v/>
      </c>
      <c r="Y153" s="30">
        <f>IF(OR(D153="",Q153&lt;&gt;"Vendido"),0,IF(D153="Consignación",0,IF(K153="",0,K153)))</f>
        <v/>
      </c>
      <c r="Z153" s="30">
        <f>IF(Q153&lt;&gt;"Vendido","",W153-Y153-IF(P153="",0,P153))</f>
        <v/>
      </c>
    </row>
    <row r="154">
      <c r="A154" s="15">
        <f>IF(D154="","",ROW()-5)</f>
        <v/>
      </c>
      <c r="B154" s="70" t="n"/>
      <c r="C154" s="70" t="n"/>
      <c r="D154" s="9" t="n"/>
      <c r="E154" s="9" t="n"/>
      <c r="F154" s="9" t="n"/>
      <c r="G154" s="11" t="n"/>
      <c r="H154" s="9" t="n"/>
      <c r="I154" s="9" t="n"/>
      <c r="J154" s="9" t="n"/>
      <c r="K154" s="71" t="n"/>
      <c r="L154" s="30">
        <f>IF(K154="","",IF(J154="Sí",ROUND(K154*Configuracion!$B$11,0),0))</f>
        <v/>
      </c>
      <c r="M154" s="30">
        <f>IF(K154="","",K154+L154)</f>
        <v/>
      </c>
      <c r="N154" s="71" t="n"/>
      <c r="O154" s="71" t="n"/>
      <c r="P154" s="71" t="n"/>
      <c r="Q154" s="9" t="n"/>
      <c r="R154" s="9" t="n"/>
      <c r="S154" s="15">
        <f>IF(B154="","",YEAR(B154))</f>
        <v/>
      </c>
      <c r="T154" s="15">
        <f>IF(B154="","",MONTH(B154))</f>
        <v/>
      </c>
      <c r="U154" s="15">
        <f>IF(C154="","",YEAR(C154))</f>
        <v/>
      </c>
      <c r="V154" s="15">
        <f>IF(C154="","",MONTH(C154))</f>
        <v/>
      </c>
      <c r="W154" s="30">
        <f>IF(D154="","",IF(D154="Consignación",IF(O154="",0,ROUND(O154/(1+Configuracion!$B$11),0)),IF(N154="",0,ROUND(N154/(1+Configuracion!$B$11),0))))</f>
        <v/>
      </c>
      <c r="X154" s="30">
        <f>IF(W154="","",ROUND(W154*Configuracion!$B$11,0))</f>
        <v/>
      </c>
      <c r="Y154" s="30">
        <f>IF(OR(D154="",Q154&lt;&gt;"Vendido"),0,IF(D154="Consignación",0,IF(K154="",0,K154)))</f>
        <v/>
      </c>
      <c r="Z154" s="30">
        <f>IF(Q154&lt;&gt;"Vendido","",W154-Y154-IF(P154="",0,P154))</f>
        <v/>
      </c>
    </row>
    <row r="155">
      <c r="A155" s="15">
        <f>IF(D155="","",ROW()-5)</f>
        <v/>
      </c>
      <c r="B155" s="70" t="n"/>
      <c r="C155" s="70" t="n"/>
      <c r="D155" s="9" t="n"/>
      <c r="E155" s="9" t="n"/>
      <c r="F155" s="9" t="n"/>
      <c r="G155" s="11" t="n"/>
      <c r="H155" s="9" t="n"/>
      <c r="I155" s="9" t="n"/>
      <c r="J155" s="9" t="n"/>
      <c r="K155" s="71" t="n"/>
      <c r="L155" s="30">
        <f>IF(K155="","",IF(J155="Sí",ROUND(K155*Configuracion!$B$11,0),0))</f>
        <v/>
      </c>
      <c r="M155" s="30">
        <f>IF(K155="","",K155+L155)</f>
        <v/>
      </c>
      <c r="N155" s="71" t="n"/>
      <c r="O155" s="71" t="n"/>
      <c r="P155" s="71" t="n"/>
      <c r="Q155" s="9" t="n"/>
      <c r="R155" s="9" t="n"/>
      <c r="S155" s="15">
        <f>IF(B155="","",YEAR(B155))</f>
        <v/>
      </c>
      <c r="T155" s="15">
        <f>IF(B155="","",MONTH(B155))</f>
        <v/>
      </c>
      <c r="U155" s="15">
        <f>IF(C155="","",YEAR(C155))</f>
        <v/>
      </c>
      <c r="V155" s="15">
        <f>IF(C155="","",MONTH(C155))</f>
        <v/>
      </c>
      <c r="W155" s="30">
        <f>IF(D155="","",IF(D155="Consignación",IF(O155="",0,ROUND(O155/(1+Configuracion!$B$11),0)),IF(N155="",0,ROUND(N155/(1+Configuracion!$B$11),0))))</f>
        <v/>
      </c>
      <c r="X155" s="30">
        <f>IF(W155="","",ROUND(W155*Configuracion!$B$11,0))</f>
        <v/>
      </c>
      <c r="Y155" s="30">
        <f>IF(OR(D155="",Q155&lt;&gt;"Vendido"),0,IF(D155="Consignación",0,IF(K155="",0,K155)))</f>
        <v/>
      </c>
      <c r="Z155" s="30">
        <f>IF(Q155&lt;&gt;"Vendido","",W155-Y155-IF(P155="",0,P155))</f>
        <v/>
      </c>
    </row>
    <row r="156">
      <c r="A156" s="15">
        <f>IF(D156="","",ROW()-5)</f>
        <v/>
      </c>
      <c r="B156" s="70" t="n"/>
      <c r="C156" s="70" t="n"/>
      <c r="D156" s="9" t="n"/>
      <c r="E156" s="9" t="n"/>
      <c r="F156" s="9" t="n"/>
      <c r="G156" s="11" t="n"/>
      <c r="H156" s="9" t="n"/>
      <c r="I156" s="9" t="n"/>
      <c r="J156" s="9" t="n"/>
      <c r="K156" s="71" t="n"/>
      <c r="L156" s="30">
        <f>IF(K156="","",IF(J156="Sí",ROUND(K156*Configuracion!$B$11,0),0))</f>
        <v/>
      </c>
      <c r="M156" s="30">
        <f>IF(K156="","",K156+L156)</f>
        <v/>
      </c>
      <c r="N156" s="71" t="n"/>
      <c r="O156" s="71" t="n"/>
      <c r="P156" s="71" t="n"/>
      <c r="Q156" s="9" t="n"/>
      <c r="R156" s="9" t="n"/>
      <c r="S156" s="15">
        <f>IF(B156="","",YEAR(B156))</f>
        <v/>
      </c>
      <c r="T156" s="15">
        <f>IF(B156="","",MONTH(B156))</f>
        <v/>
      </c>
      <c r="U156" s="15">
        <f>IF(C156="","",YEAR(C156))</f>
        <v/>
      </c>
      <c r="V156" s="15">
        <f>IF(C156="","",MONTH(C156))</f>
        <v/>
      </c>
      <c r="W156" s="30">
        <f>IF(D156="","",IF(D156="Consignación",IF(O156="",0,ROUND(O156/(1+Configuracion!$B$11),0)),IF(N156="",0,ROUND(N156/(1+Configuracion!$B$11),0))))</f>
        <v/>
      </c>
      <c r="X156" s="30">
        <f>IF(W156="","",ROUND(W156*Configuracion!$B$11,0))</f>
        <v/>
      </c>
      <c r="Y156" s="30">
        <f>IF(OR(D156="",Q156&lt;&gt;"Vendido"),0,IF(D156="Consignación",0,IF(K156="",0,K156)))</f>
        <v/>
      </c>
      <c r="Z156" s="30">
        <f>IF(Q156&lt;&gt;"Vendido","",W156-Y156-IF(P156="",0,P156))</f>
        <v/>
      </c>
    </row>
    <row r="157">
      <c r="A157" s="15">
        <f>IF(D157="","",ROW()-5)</f>
        <v/>
      </c>
      <c r="B157" s="70" t="n"/>
      <c r="C157" s="70" t="n"/>
      <c r="D157" s="9" t="n"/>
      <c r="E157" s="9" t="n"/>
      <c r="F157" s="9" t="n"/>
      <c r="G157" s="11" t="n"/>
      <c r="H157" s="9" t="n"/>
      <c r="I157" s="9" t="n"/>
      <c r="J157" s="9" t="n"/>
      <c r="K157" s="71" t="n"/>
      <c r="L157" s="30">
        <f>IF(K157="","",IF(J157="Sí",ROUND(K157*Configuracion!$B$11,0),0))</f>
        <v/>
      </c>
      <c r="M157" s="30">
        <f>IF(K157="","",K157+L157)</f>
        <v/>
      </c>
      <c r="N157" s="71" t="n"/>
      <c r="O157" s="71" t="n"/>
      <c r="P157" s="71" t="n"/>
      <c r="Q157" s="9" t="n"/>
      <c r="R157" s="9" t="n"/>
      <c r="S157" s="15">
        <f>IF(B157="","",YEAR(B157))</f>
        <v/>
      </c>
      <c r="T157" s="15">
        <f>IF(B157="","",MONTH(B157))</f>
        <v/>
      </c>
      <c r="U157" s="15">
        <f>IF(C157="","",YEAR(C157))</f>
        <v/>
      </c>
      <c r="V157" s="15">
        <f>IF(C157="","",MONTH(C157))</f>
        <v/>
      </c>
      <c r="W157" s="30">
        <f>IF(D157="","",IF(D157="Consignación",IF(O157="",0,ROUND(O157/(1+Configuracion!$B$11),0)),IF(N157="",0,ROUND(N157/(1+Configuracion!$B$11),0))))</f>
        <v/>
      </c>
      <c r="X157" s="30">
        <f>IF(W157="","",ROUND(W157*Configuracion!$B$11,0))</f>
        <v/>
      </c>
      <c r="Y157" s="30">
        <f>IF(OR(D157="",Q157&lt;&gt;"Vendido"),0,IF(D157="Consignación",0,IF(K157="",0,K157)))</f>
        <v/>
      </c>
      <c r="Z157" s="30">
        <f>IF(Q157&lt;&gt;"Vendido","",W157-Y157-IF(P157="",0,P157))</f>
        <v/>
      </c>
    </row>
    <row r="158">
      <c r="A158" s="15">
        <f>IF(D158="","",ROW()-5)</f>
        <v/>
      </c>
      <c r="B158" s="70" t="n"/>
      <c r="C158" s="70" t="n"/>
      <c r="D158" s="9" t="n"/>
      <c r="E158" s="9" t="n"/>
      <c r="F158" s="9" t="n"/>
      <c r="G158" s="11" t="n"/>
      <c r="H158" s="9" t="n"/>
      <c r="I158" s="9" t="n"/>
      <c r="J158" s="9" t="n"/>
      <c r="K158" s="71" t="n"/>
      <c r="L158" s="30">
        <f>IF(K158="","",IF(J158="Sí",ROUND(K158*Configuracion!$B$11,0),0))</f>
        <v/>
      </c>
      <c r="M158" s="30">
        <f>IF(K158="","",K158+L158)</f>
        <v/>
      </c>
      <c r="N158" s="71" t="n"/>
      <c r="O158" s="71" t="n"/>
      <c r="P158" s="71" t="n"/>
      <c r="Q158" s="9" t="n"/>
      <c r="R158" s="9" t="n"/>
      <c r="S158" s="15">
        <f>IF(B158="","",YEAR(B158))</f>
        <v/>
      </c>
      <c r="T158" s="15">
        <f>IF(B158="","",MONTH(B158))</f>
        <v/>
      </c>
      <c r="U158" s="15">
        <f>IF(C158="","",YEAR(C158))</f>
        <v/>
      </c>
      <c r="V158" s="15">
        <f>IF(C158="","",MONTH(C158))</f>
        <v/>
      </c>
      <c r="W158" s="30">
        <f>IF(D158="","",IF(D158="Consignación",IF(O158="",0,ROUND(O158/(1+Configuracion!$B$11),0)),IF(N158="",0,ROUND(N158/(1+Configuracion!$B$11),0))))</f>
        <v/>
      </c>
      <c r="X158" s="30">
        <f>IF(W158="","",ROUND(W158*Configuracion!$B$11,0))</f>
        <v/>
      </c>
      <c r="Y158" s="30">
        <f>IF(OR(D158="",Q158&lt;&gt;"Vendido"),0,IF(D158="Consignación",0,IF(K158="",0,K158)))</f>
        <v/>
      </c>
      <c r="Z158" s="30">
        <f>IF(Q158&lt;&gt;"Vendido","",W158-Y158-IF(P158="",0,P158))</f>
        <v/>
      </c>
    </row>
    <row r="159">
      <c r="A159" s="15">
        <f>IF(D159="","",ROW()-5)</f>
        <v/>
      </c>
      <c r="B159" s="70" t="n"/>
      <c r="C159" s="70" t="n"/>
      <c r="D159" s="9" t="n"/>
      <c r="E159" s="9" t="n"/>
      <c r="F159" s="9" t="n"/>
      <c r="G159" s="11" t="n"/>
      <c r="H159" s="9" t="n"/>
      <c r="I159" s="9" t="n"/>
      <c r="J159" s="9" t="n"/>
      <c r="K159" s="71" t="n"/>
      <c r="L159" s="30">
        <f>IF(K159="","",IF(J159="Sí",ROUND(K159*Configuracion!$B$11,0),0))</f>
        <v/>
      </c>
      <c r="M159" s="30">
        <f>IF(K159="","",K159+L159)</f>
        <v/>
      </c>
      <c r="N159" s="71" t="n"/>
      <c r="O159" s="71" t="n"/>
      <c r="P159" s="71" t="n"/>
      <c r="Q159" s="9" t="n"/>
      <c r="R159" s="9" t="n"/>
      <c r="S159" s="15">
        <f>IF(B159="","",YEAR(B159))</f>
        <v/>
      </c>
      <c r="T159" s="15">
        <f>IF(B159="","",MONTH(B159))</f>
        <v/>
      </c>
      <c r="U159" s="15">
        <f>IF(C159="","",YEAR(C159))</f>
        <v/>
      </c>
      <c r="V159" s="15">
        <f>IF(C159="","",MONTH(C159))</f>
        <v/>
      </c>
      <c r="W159" s="30">
        <f>IF(D159="","",IF(D159="Consignación",IF(O159="",0,ROUND(O159/(1+Configuracion!$B$11),0)),IF(N159="",0,ROUND(N159/(1+Configuracion!$B$11),0))))</f>
        <v/>
      </c>
      <c r="X159" s="30">
        <f>IF(W159="","",ROUND(W159*Configuracion!$B$11,0))</f>
        <v/>
      </c>
      <c r="Y159" s="30">
        <f>IF(OR(D159="",Q159&lt;&gt;"Vendido"),0,IF(D159="Consignación",0,IF(K159="",0,K159)))</f>
        <v/>
      </c>
      <c r="Z159" s="30">
        <f>IF(Q159&lt;&gt;"Vendido","",W159-Y159-IF(P159="",0,P159))</f>
        <v/>
      </c>
    </row>
    <row r="160">
      <c r="A160" s="15">
        <f>IF(D160="","",ROW()-5)</f>
        <v/>
      </c>
      <c r="B160" s="70" t="n"/>
      <c r="C160" s="70" t="n"/>
      <c r="D160" s="9" t="n"/>
      <c r="E160" s="9" t="n"/>
      <c r="F160" s="9" t="n"/>
      <c r="G160" s="11" t="n"/>
      <c r="H160" s="9" t="n"/>
      <c r="I160" s="9" t="n"/>
      <c r="J160" s="9" t="n"/>
      <c r="K160" s="71" t="n"/>
      <c r="L160" s="30">
        <f>IF(K160="","",IF(J160="Sí",ROUND(K160*Configuracion!$B$11,0),0))</f>
        <v/>
      </c>
      <c r="M160" s="30">
        <f>IF(K160="","",K160+L160)</f>
        <v/>
      </c>
      <c r="N160" s="71" t="n"/>
      <c r="O160" s="71" t="n"/>
      <c r="P160" s="71" t="n"/>
      <c r="Q160" s="9" t="n"/>
      <c r="R160" s="9" t="n"/>
      <c r="S160" s="15">
        <f>IF(B160="","",YEAR(B160))</f>
        <v/>
      </c>
      <c r="T160" s="15">
        <f>IF(B160="","",MONTH(B160))</f>
        <v/>
      </c>
      <c r="U160" s="15">
        <f>IF(C160="","",YEAR(C160))</f>
        <v/>
      </c>
      <c r="V160" s="15">
        <f>IF(C160="","",MONTH(C160))</f>
        <v/>
      </c>
      <c r="W160" s="30">
        <f>IF(D160="","",IF(D160="Consignación",IF(O160="",0,ROUND(O160/(1+Configuracion!$B$11),0)),IF(N160="",0,ROUND(N160/(1+Configuracion!$B$11),0))))</f>
        <v/>
      </c>
      <c r="X160" s="30">
        <f>IF(W160="","",ROUND(W160*Configuracion!$B$11,0))</f>
        <v/>
      </c>
      <c r="Y160" s="30">
        <f>IF(OR(D160="",Q160&lt;&gt;"Vendido"),0,IF(D160="Consignación",0,IF(K160="",0,K160)))</f>
        <v/>
      </c>
      <c r="Z160" s="30">
        <f>IF(Q160&lt;&gt;"Vendido","",W160-Y160-IF(P160="",0,P160))</f>
        <v/>
      </c>
    </row>
    <row r="161">
      <c r="A161" s="15">
        <f>IF(D161="","",ROW()-5)</f>
        <v/>
      </c>
      <c r="B161" s="70" t="n"/>
      <c r="C161" s="70" t="n"/>
      <c r="D161" s="9" t="n"/>
      <c r="E161" s="9" t="n"/>
      <c r="F161" s="9" t="n"/>
      <c r="G161" s="11" t="n"/>
      <c r="H161" s="9" t="n"/>
      <c r="I161" s="9" t="n"/>
      <c r="J161" s="9" t="n"/>
      <c r="K161" s="71" t="n"/>
      <c r="L161" s="30">
        <f>IF(K161="","",IF(J161="Sí",ROUND(K161*Configuracion!$B$11,0),0))</f>
        <v/>
      </c>
      <c r="M161" s="30">
        <f>IF(K161="","",K161+L161)</f>
        <v/>
      </c>
      <c r="N161" s="71" t="n"/>
      <c r="O161" s="71" t="n"/>
      <c r="P161" s="71" t="n"/>
      <c r="Q161" s="9" t="n"/>
      <c r="R161" s="9" t="n"/>
      <c r="S161" s="15">
        <f>IF(B161="","",YEAR(B161))</f>
        <v/>
      </c>
      <c r="T161" s="15">
        <f>IF(B161="","",MONTH(B161))</f>
        <v/>
      </c>
      <c r="U161" s="15">
        <f>IF(C161="","",YEAR(C161))</f>
        <v/>
      </c>
      <c r="V161" s="15">
        <f>IF(C161="","",MONTH(C161))</f>
        <v/>
      </c>
      <c r="W161" s="30">
        <f>IF(D161="","",IF(D161="Consignación",IF(O161="",0,ROUND(O161/(1+Configuracion!$B$11),0)),IF(N161="",0,ROUND(N161/(1+Configuracion!$B$11),0))))</f>
        <v/>
      </c>
      <c r="X161" s="30">
        <f>IF(W161="","",ROUND(W161*Configuracion!$B$11,0))</f>
        <v/>
      </c>
      <c r="Y161" s="30">
        <f>IF(OR(D161="",Q161&lt;&gt;"Vendido"),0,IF(D161="Consignación",0,IF(K161="",0,K161)))</f>
        <v/>
      </c>
      <c r="Z161" s="30">
        <f>IF(Q161&lt;&gt;"Vendido","",W161-Y161-IF(P161="",0,P161))</f>
        <v/>
      </c>
    </row>
    <row r="162">
      <c r="A162" s="15">
        <f>IF(D162="","",ROW()-5)</f>
        <v/>
      </c>
      <c r="B162" s="70" t="n"/>
      <c r="C162" s="70" t="n"/>
      <c r="D162" s="9" t="n"/>
      <c r="E162" s="9" t="n"/>
      <c r="F162" s="9" t="n"/>
      <c r="G162" s="11" t="n"/>
      <c r="H162" s="9" t="n"/>
      <c r="I162" s="9" t="n"/>
      <c r="J162" s="9" t="n"/>
      <c r="K162" s="71" t="n"/>
      <c r="L162" s="30">
        <f>IF(K162="","",IF(J162="Sí",ROUND(K162*Configuracion!$B$11,0),0))</f>
        <v/>
      </c>
      <c r="M162" s="30">
        <f>IF(K162="","",K162+L162)</f>
        <v/>
      </c>
      <c r="N162" s="71" t="n"/>
      <c r="O162" s="71" t="n"/>
      <c r="P162" s="71" t="n"/>
      <c r="Q162" s="9" t="n"/>
      <c r="R162" s="9" t="n"/>
      <c r="S162" s="15">
        <f>IF(B162="","",YEAR(B162))</f>
        <v/>
      </c>
      <c r="T162" s="15">
        <f>IF(B162="","",MONTH(B162))</f>
        <v/>
      </c>
      <c r="U162" s="15">
        <f>IF(C162="","",YEAR(C162))</f>
        <v/>
      </c>
      <c r="V162" s="15">
        <f>IF(C162="","",MONTH(C162))</f>
        <v/>
      </c>
      <c r="W162" s="30">
        <f>IF(D162="","",IF(D162="Consignación",IF(O162="",0,ROUND(O162/(1+Configuracion!$B$11),0)),IF(N162="",0,ROUND(N162/(1+Configuracion!$B$11),0))))</f>
        <v/>
      </c>
      <c r="X162" s="30">
        <f>IF(W162="","",ROUND(W162*Configuracion!$B$11,0))</f>
        <v/>
      </c>
      <c r="Y162" s="30">
        <f>IF(OR(D162="",Q162&lt;&gt;"Vendido"),0,IF(D162="Consignación",0,IF(K162="",0,K162)))</f>
        <v/>
      </c>
      <c r="Z162" s="30">
        <f>IF(Q162&lt;&gt;"Vendido","",W162-Y162-IF(P162="",0,P162))</f>
        <v/>
      </c>
    </row>
    <row r="163">
      <c r="A163" s="15">
        <f>IF(D163="","",ROW()-5)</f>
        <v/>
      </c>
      <c r="B163" s="70" t="n"/>
      <c r="C163" s="70" t="n"/>
      <c r="D163" s="9" t="n"/>
      <c r="E163" s="9" t="n"/>
      <c r="F163" s="9" t="n"/>
      <c r="G163" s="11" t="n"/>
      <c r="H163" s="9" t="n"/>
      <c r="I163" s="9" t="n"/>
      <c r="J163" s="9" t="n"/>
      <c r="K163" s="71" t="n"/>
      <c r="L163" s="30">
        <f>IF(K163="","",IF(J163="Sí",ROUND(K163*Configuracion!$B$11,0),0))</f>
        <v/>
      </c>
      <c r="M163" s="30">
        <f>IF(K163="","",K163+L163)</f>
        <v/>
      </c>
      <c r="N163" s="71" t="n"/>
      <c r="O163" s="71" t="n"/>
      <c r="P163" s="71" t="n"/>
      <c r="Q163" s="9" t="n"/>
      <c r="R163" s="9" t="n"/>
      <c r="S163" s="15">
        <f>IF(B163="","",YEAR(B163))</f>
        <v/>
      </c>
      <c r="T163" s="15">
        <f>IF(B163="","",MONTH(B163))</f>
        <v/>
      </c>
      <c r="U163" s="15">
        <f>IF(C163="","",YEAR(C163))</f>
        <v/>
      </c>
      <c r="V163" s="15">
        <f>IF(C163="","",MONTH(C163))</f>
        <v/>
      </c>
      <c r="W163" s="30">
        <f>IF(D163="","",IF(D163="Consignación",IF(O163="",0,ROUND(O163/(1+Configuracion!$B$11),0)),IF(N163="",0,ROUND(N163/(1+Configuracion!$B$11),0))))</f>
        <v/>
      </c>
      <c r="X163" s="30">
        <f>IF(W163="","",ROUND(W163*Configuracion!$B$11,0))</f>
        <v/>
      </c>
      <c r="Y163" s="30">
        <f>IF(OR(D163="",Q163&lt;&gt;"Vendido"),0,IF(D163="Consignación",0,IF(K163="",0,K163)))</f>
        <v/>
      </c>
      <c r="Z163" s="30">
        <f>IF(Q163&lt;&gt;"Vendido","",W163-Y163-IF(P163="",0,P163))</f>
        <v/>
      </c>
    </row>
    <row r="164">
      <c r="A164" s="15">
        <f>IF(D164="","",ROW()-5)</f>
        <v/>
      </c>
      <c r="B164" s="70" t="n"/>
      <c r="C164" s="70" t="n"/>
      <c r="D164" s="9" t="n"/>
      <c r="E164" s="9" t="n"/>
      <c r="F164" s="9" t="n"/>
      <c r="G164" s="11" t="n"/>
      <c r="H164" s="9" t="n"/>
      <c r="I164" s="9" t="n"/>
      <c r="J164" s="9" t="n"/>
      <c r="K164" s="71" t="n"/>
      <c r="L164" s="30">
        <f>IF(K164="","",IF(J164="Sí",ROUND(K164*Configuracion!$B$11,0),0))</f>
        <v/>
      </c>
      <c r="M164" s="30">
        <f>IF(K164="","",K164+L164)</f>
        <v/>
      </c>
      <c r="N164" s="71" t="n"/>
      <c r="O164" s="71" t="n"/>
      <c r="P164" s="71" t="n"/>
      <c r="Q164" s="9" t="n"/>
      <c r="R164" s="9" t="n"/>
      <c r="S164" s="15">
        <f>IF(B164="","",YEAR(B164))</f>
        <v/>
      </c>
      <c r="T164" s="15">
        <f>IF(B164="","",MONTH(B164))</f>
        <v/>
      </c>
      <c r="U164" s="15">
        <f>IF(C164="","",YEAR(C164))</f>
        <v/>
      </c>
      <c r="V164" s="15">
        <f>IF(C164="","",MONTH(C164))</f>
        <v/>
      </c>
      <c r="W164" s="30">
        <f>IF(D164="","",IF(D164="Consignación",IF(O164="",0,ROUND(O164/(1+Configuracion!$B$11),0)),IF(N164="",0,ROUND(N164/(1+Configuracion!$B$11),0))))</f>
        <v/>
      </c>
      <c r="X164" s="30">
        <f>IF(W164="","",ROUND(W164*Configuracion!$B$11,0))</f>
        <v/>
      </c>
      <c r="Y164" s="30">
        <f>IF(OR(D164="",Q164&lt;&gt;"Vendido"),0,IF(D164="Consignación",0,IF(K164="",0,K164)))</f>
        <v/>
      </c>
      <c r="Z164" s="30">
        <f>IF(Q164&lt;&gt;"Vendido","",W164-Y164-IF(P164="",0,P164))</f>
        <v/>
      </c>
    </row>
    <row r="165">
      <c r="A165" s="15">
        <f>IF(D165="","",ROW()-5)</f>
        <v/>
      </c>
      <c r="B165" s="70" t="n"/>
      <c r="C165" s="70" t="n"/>
      <c r="D165" s="9" t="n"/>
      <c r="E165" s="9" t="n"/>
      <c r="F165" s="9" t="n"/>
      <c r="G165" s="11" t="n"/>
      <c r="H165" s="9" t="n"/>
      <c r="I165" s="9" t="n"/>
      <c r="J165" s="9" t="n"/>
      <c r="K165" s="71" t="n"/>
      <c r="L165" s="30">
        <f>IF(K165="","",IF(J165="Sí",ROUND(K165*Configuracion!$B$11,0),0))</f>
        <v/>
      </c>
      <c r="M165" s="30">
        <f>IF(K165="","",K165+L165)</f>
        <v/>
      </c>
      <c r="N165" s="71" t="n"/>
      <c r="O165" s="71" t="n"/>
      <c r="P165" s="71" t="n"/>
      <c r="Q165" s="9" t="n"/>
      <c r="R165" s="9" t="n"/>
      <c r="S165" s="15">
        <f>IF(B165="","",YEAR(B165))</f>
        <v/>
      </c>
      <c r="T165" s="15">
        <f>IF(B165="","",MONTH(B165))</f>
        <v/>
      </c>
      <c r="U165" s="15">
        <f>IF(C165="","",YEAR(C165))</f>
        <v/>
      </c>
      <c r="V165" s="15">
        <f>IF(C165="","",MONTH(C165))</f>
        <v/>
      </c>
      <c r="W165" s="30">
        <f>IF(D165="","",IF(D165="Consignación",IF(O165="",0,ROUND(O165/(1+Configuracion!$B$11),0)),IF(N165="",0,ROUND(N165/(1+Configuracion!$B$11),0))))</f>
        <v/>
      </c>
      <c r="X165" s="30">
        <f>IF(W165="","",ROUND(W165*Configuracion!$B$11,0))</f>
        <v/>
      </c>
      <c r="Y165" s="30">
        <f>IF(OR(D165="",Q165&lt;&gt;"Vendido"),0,IF(D165="Consignación",0,IF(K165="",0,K165)))</f>
        <v/>
      </c>
      <c r="Z165" s="30">
        <f>IF(Q165&lt;&gt;"Vendido","",W165-Y165-IF(P165="",0,P165))</f>
        <v/>
      </c>
    </row>
    <row r="166">
      <c r="A166" s="15">
        <f>IF(D166="","",ROW()-5)</f>
        <v/>
      </c>
      <c r="B166" s="70" t="n"/>
      <c r="C166" s="70" t="n"/>
      <c r="D166" s="9" t="n"/>
      <c r="E166" s="9" t="n"/>
      <c r="F166" s="9" t="n"/>
      <c r="G166" s="11" t="n"/>
      <c r="H166" s="9" t="n"/>
      <c r="I166" s="9" t="n"/>
      <c r="J166" s="9" t="n"/>
      <c r="K166" s="71" t="n"/>
      <c r="L166" s="30">
        <f>IF(K166="","",IF(J166="Sí",ROUND(K166*Configuracion!$B$11,0),0))</f>
        <v/>
      </c>
      <c r="M166" s="30">
        <f>IF(K166="","",K166+L166)</f>
        <v/>
      </c>
      <c r="N166" s="71" t="n"/>
      <c r="O166" s="71" t="n"/>
      <c r="P166" s="71" t="n"/>
      <c r="Q166" s="9" t="n"/>
      <c r="R166" s="9" t="n"/>
      <c r="S166" s="15">
        <f>IF(B166="","",YEAR(B166))</f>
        <v/>
      </c>
      <c r="T166" s="15">
        <f>IF(B166="","",MONTH(B166))</f>
        <v/>
      </c>
      <c r="U166" s="15">
        <f>IF(C166="","",YEAR(C166))</f>
        <v/>
      </c>
      <c r="V166" s="15">
        <f>IF(C166="","",MONTH(C166))</f>
        <v/>
      </c>
      <c r="W166" s="30">
        <f>IF(D166="","",IF(D166="Consignación",IF(O166="",0,ROUND(O166/(1+Configuracion!$B$11),0)),IF(N166="",0,ROUND(N166/(1+Configuracion!$B$11),0))))</f>
        <v/>
      </c>
      <c r="X166" s="30">
        <f>IF(W166="","",ROUND(W166*Configuracion!$B$11,0))</f>
        <v/>
      </c>
      <c r="Y166" s="30">
        <f>IF(OR(D166="",Q166&lt;&gt;"Vendido"),0,IF(D166="Consignación",0,IF(K166="",0,K166)))</f>
        <v/>
      </c>
      <c r="Z166" s="30">
        <f>IF(Q166&lt;&gt;"Vendido","",W166-Y166-IF(P166="",0,P166))</f>
        <v/>
      </c>
    </row>
    <row r="167">
      <c r="A167" s="15">
        <f>IF(D167="","",ROW()-5)</f>
        <v/>
      </c>
      <c r="B167" s="70" t="n"/>
      <c r="C167" s="70" t="n"/>
      <c r="D167" s="9" t="n"/>
      <c r="E167" s="9" t="n"/>
      <c r="F167" s="9" t="n"/>
      <c r="G167" s="11" t="n"/>
      <c r="H167" s="9" t="n"/>
      <c r="I167" s="9" t="n"/>
      <c r="J167" s="9" t="n"/>
      <c r="K167" s="71" t="n"/>
      <c r="L167" s="30">
        <f>IF(K167="","",IF(J167="Sí",ROUND(K167*Configuracion!$B$11,0),0))</f>
        <v/>
      </c>
      <c r="M167" s="30">
        <f>IF(K167="","",K167+L167)</f>
        <v/>
      </c>
      <c r="N167" s="71" t="n"/>
      <c r="O167" s="71" t="n"/>
      <c r="P167" s="71" t="n"/>
      <c r="Q167" s="9" t="n"/>
      <c r="R167" s="9" t="n"/>
      <c r="S167" s="15">
        <f>IF(B167="","",YEAR(B167))</f>
        <v/>
      </c>
      <c r="T167" s="15">
        <f>IF(B167="","",MONTH(B167))</f>
        <v/>
      </c>
      <c r="U167" s="15">
        <f>IF(C167="","",YEAR(C167))</f>
        <v/>
      </c>
      <c r="V167" s="15">
        <f>IF(C167="","",MONTH(C167))</f>
        <v/>
      </c>
      <c r="W167" s="30">
        <f>IF(D167="","",IF(D167="Consignación",IF(O167="",0,ROUND(O167/(1+Configuracion!$B$11),0)),IF(N167="",0,ROUND(N167/(1+Configuracion!$B$11),0))))</f>
        <v/>
      </c>
      <c r="X167" s="30">
        <f>IF(W167="","",ROUND(W167*Configuracion!$B$11,0))</f>
        <v/>
      </c>
      <c r="Y167" s="30">
        <f>IF(OR(D167="",Q167&lt;&gt;"Vendido"),0,IF(D167="Consignación",0,IF(K167="",0,K167)))</f>
        <v/>
      </c>
      <c r="Z167" s="30">
        <f>IF(Q167&lt;&gt;"Vendido","",W167-Y167-IF(P167="",0,P167))</f>
        <v/>
      </c>
    </row>
    <row r="168">
      <c r="A168" s="15">
        <f>IF(D168="","",ROW()-5)</f>
        <v/>
      </c>
      <c r="B168" s="70" t="n"/>
      <c r="C168" s="70" t="n"/>
      <c r="D168" s="9" t="n"/>
      <c r="E168" s="9" t="n"/>
      <c r="F168" s="9" t="n"/>
      <c r="G168" s="11" t="n"/>
      <c r="H168" s="9" t="n"/>
      <c r="I168" s="9" t="n"/>
      <c r="J168" s="9" t="n"/>
      <c r="K168" s="71" t="n"/>
      <c r="L168" s="30">
        <f>IF(K168="","",IF(J168="Sí",ROUND(K168*Configuracion!$B$11,0),0))</f>
        <v/>
      </c>
      <c r="M168" s="30">
        <f>IF(K168="","",K168+L168)</f>
        <v/>
      </c>
      <c r="N168" s="71" t="n"/>
      <c r="O168" s="71" t="n"/>
      <c r="P168" s="71" t="n"/>
      <c r="Q168" s="9" t="n"/>
      <c r="R168" s="9" t="n"/>
      <c r="S168" s="15">
        <f>IF(B168="","",YEAR(B168))</f>
        <v/>
      </c>
      <c r="T168" s="15">
        <f>IF(B168="","",MONTH(B168))</f>
        <v/>
      </c>
      <c r="U168" s="15">
        <f>IF(C168="","",YEAR(C168))</f>
        <v/>
      </c>
      <c r="V168" s="15">
        <f>IF(C168="","",MONTH(C168))</f>
        <v/>
      </c>
      <c r="W168" s="30">
        <f>IF(D168="","",IF(D168="Consignación",IF(O168="",0,ROUND(O168/(1+Configuracion!$B$11),0)),IF(N168="",0,ROUND(N168/(1+Configuracion!$B$11),0))))</f>
        <v/>
      </c>
      <c r="X168" s="30">
        <f>IF(W168="","",ROUND(W168*Configuracion!$B$11,0))</f>
        <v/>
      </c>
      <c r="Y168" s="30">
        <f>IF(OR(D168="",Q168&lt;&gt;"Vendido"),0,IF(D168="Consignación",0,IF(K168="",0,K168)))</f>
        <v/>
      </c>
      <c r="Z168" s="30">
        <f>IF(Q168&lt;&gt;"Vendido","",W168-Y168-IF(P168="",0,P168))</f>
        <v/>
      </c>
    </row>
    <row r="169">
      <c r="A169" s="15">
        <f>IF(D169="","",ROW()-5)</f>
        <v/>
      </c>
      <c r="B169" s="70" t="n"/>
      <c r="C169" s="70" t="n"/>
      <c r="D169" s="9" t="n"/>
      <c r="E169" s="9" t="n"/>
      <c r="F169" s="9" t="n"/>
      <c r="G169" s="11" t="n"/>
      <c r="H169" s="9" t="n"/>
      <c r="I169" s="9" t="n"/>
      <c r="J169" s="9" t="n"/>
      <c r="K169" s="71" t="n"/>
      <c r="L169" s="30">
        <f>IF(K169="","",IF(J169="Sí",ROUND(K169*Configuracion!$B$11,0),0))</f>
        <v/>
      </c>
      <c r="M169" s="30">
        <f>IF(K169="","",K169+L169)</f>
        <v/>
      </c>
      <c r="N169" s="71" t="n"/>
      <c r="O169" s="71" t="n"/>
      <c r="P169" s="71" t="n"/>
      <c r="Q169" s="9" t="n"/>
      <c r="R169" s="9" t="n"/>
      <c r="S169" s="15">
        <f>IF(B169="","",YEAR(B169))</f>
        <v/>
      </c>
      <c r="T169" s="15">
        <f>IF(B169="","",MONTH(B169))</f>
        <v/>
      </c>
      <c r="U169" s="15">
        <f>IF(C169="","",YEAR(C169))</f>
        <v/>
      </c>
      <c r="V169" s="15">
        <f>IF(C169="","",MONTH(C169))</f>
        <v/>
      </c>
      <c r="W169" s="30">
        <f>IF(D169="","",IF(D169="Consignación",IF(O169="",0,ROUND(O169/(1+Configuracion!$B$11),0)),IF(N169="",0,ROUND(N169/(1+Configuracion!$B$11),0))))</f>
        <v/>
      </c>
      <c r="X169" s="30">
        <f>IF(W169="","",ROUND(W169*Configuracion!$B$11,0))</f>
        <v/>
      </c>
      <c r="Y169" s="30">
        <f>IF(OR(D169="",Q169&lt;&gt;"Vendido"),0,IF(D169="Consignación",0,IF(K169="",0,K169)))</f>
        <v/>
      </c>
      <c r="Z169" s="30">
        <f>IF(Q169&lt;&gt;"Vendido","",W169-Y169-IF(P169="",0,P169))</f>
        <v/>
      </c>
    </row>
    <row r="170">
      <c r="A170" s="15">
        <f>IF(D170="","",ROW()-5)</f>
        <v/>
      </c>
      <c r="B170" s="70" t="n"/>
      <c r="C170" s="70" t="n"/>
      <c r="D170" s="9" t="n"/>
      <c r="E170" s="9" t="n"/>
      <c r="F170" s="9" t="n"/>
      <c r="G170" s="11" t="n"/>
      <c r="H170" s="9" t="n"/>
      <c r="I170" s="9" t="n"/>
      <c r="J170" s="9" t="n"/>
      <c r="K170" s="71" t="n"/>
      <c r="L170" s="30">
        <f>IF(K170="","",IF(J170="Sí",ROUND(K170*Configuracion!$B$11,0),0))</f>
        <v/>
      </c>
      <c r="M170" s="30">
        <f>IF(K170="","",K170+L170)</f>
        <v/>
      </c>
      <c r="N170" s="71" t="n"/>
      <c r="O170" s="71" t="n"/>
      <c r="P170" s="71" t="n"/>
      <c r="Q170" s="9" t="n"/>
      <c r="R170" s="9" t="n"/>
      <c r="S170" s="15">
        <f>IF(B170="","",YEAR(B170))</f>
        <v/>
      </c>
      <c r="T170" s="15">
        <f>IF(B170="","",MONTH(B170))</f>
        <v/>
      </c>
      <c r="U170" s="15">
        <f>IF(C170="","",YEAR(C170))</f>
        <v/>
      </c>
      <c r="V170" s="15">
        <f>IF(C170="","",MONTH(C170))</f>
        <v/>
      </c>
      <c r="W170" s="30">
        <f>IF(D170="","",IF(D170="Consignación",IF(O170="",0,ROUND(O170/(1+Configuracion!$B$11),0)),IF(N170="",0,ROUND(N170/(1+Configuracion!$B$11),0))))</f>
        <v/>
      </c>
      <c r="X170" s="30">
        <f>IF(W170="","",ROUND(W170*Configuracion!$B$11,0))</f>
        <v/>
      </c>
      <c r="Y170" s="30">
        <f>IF(OR(D170="",Q170&lt;&gt;"Vendido"),0,IF(D170="Consignación",0,IF(K170="",0,K170)))</f>
        <v/>
      </c>
      <c r="Z170" s="30">
        <f>IF(Q170&lt;&gt;"Vendido","",W170-Y170-IF(P170="",0,P170))</f>
        <v/>
      </c>
    </row>
    <row r="171">
      <c r="A171" s="15">
        <f>IF(D171="","",ROW()-5)</f>
        <v/>
      </c>
      <c r="B171" s="70" t="n"/>
      <c r="C171" s="70" t="n"/>
      <c r="D171" s="9" t="n"/>
      <c r="E171" s="9" t="n"/>
      <c r="F171" s="9" t="n"/>
      <c r="G171" s="11" t="n"/>
      <c r="H171" s="9" t="n"/>
      <c r="I171" s="9" t="n"/>
      <c r="J171" s="9" t="n"/>
      <c r="K171" s="71" t="n"/>
      <c r="L171" s="30">
        <f>IF(K171="","",IF(J171="Sí",ROUND(K171*Configuracion!$B$11,0),0))</f>
        <v/>
      </c>
      <c r="M171" s="30">
        <f>IF(K171="","",K171+L171)</f>
        <v/>
      </c>
      <c r="N171" s="71" t="n"/>
      <c r="O171" s="71" t="n"/>
      <c r="P171" s="71" t="n"/>
      <c r="Q171" s="9" t="n"/>
      <c r="R171" s="9" t="n"/>
      <c r="S171" s="15">
        <f>IF(B171="","",YEAR(B171))</f>
        <v/>
      </c>
      <c r="T171" s="15">
        <f>IF(B171="","",MONTH(B171))</f>
        <v/>
      </c>
      <c r="U171" s="15">
        <f>IF(C171="","",YEAR(C171))</f>
        <v/>
      </c>
      <c r="V171" s="15">
        <f>IF(C171="","",MONTH(C171))</f>
        <v/>
      </c>
      <c r="W171" s="30">
        <f>IF(D171="","",IF(D171="Consignación",IF(O171="",0,ROUND(O171/(1+Configuracion!$B$11),0)),IF(N171="",0,ROUND(N171/(1+Configuracion!$B$11),0))))</f>
        <v/>
      </c>
      <c r="X171" s="30">
        <f>IF(W171="","",ROUND(W171*Configuracion!$B$11,0))</f>
        <v/>
      </c>
      <c r="Y171" s="30">
        <f>IF(OR(D171="",Q171&lt;&gt;"Vendido"),0,IF(D171="Consignación",0,IF(K171="",0,K171)))</f>
        <v/>
      </c>
      <c r="Z171" s="30">
        <f>IF(Q171&lt;&gt;"Vendido","",W171-Y171-IF(P171="",0,P171))</f>
        <v/>
      </c>
    </row>
    <row r="172">
      <c r="A172" s="15">
        <f>IF(D172="","",ROW()-5)</f>
        <v/>
      </c>
      <c r="B172" s="70" t="n"/>
      <c r="C172" s="70" t="n"/>
      <c r="D172" s="9" t="n"/>
      <c r="E172" s="9" t="n"/>
      <c r="F172" s="9" t="n"/>
      <c r="G172" s="11" t="n"/>
      <c r="H172" s="9" t="n"/>
      <c r="I172" s="9" t="n"/>
      <c r="J172" s="9" t="n"/>
      <c r="K172" s="71" t="n"/>
      <c r="L172" s="30">
        <f>IF(K172="","",IF(J172="Sí",ROUND(K172*Configuracion!$B$11,0),0))</f>
        <v/>
      </c>
      <c r="M172" s="30">
        <f>IF(K172="","",K172+L172)</f>
        <v/>
      </c>
      <c r="N172" s="71" t="n"/>
      <c r="O172" s="71" t="n"/>
      <c r="P172" s="71" t="n"/>
      <c r="Q172" s="9" t="n"/>
      <c r="R172" s="9" t="n"/>
      <c r="S172" s="15">
        <f>IF(B172="","",YEAR(B172))</f>
        <v/>
      </c>
      <c r="T172" s="15">
        <f>IF(B172="","",MONTH(B172))</f>
        <v/>
      </c>
      <c r="U172" s="15">
        <f>IF(C172="","",YEAR(C172))</f>
        <v/>
      </c>
      <c r="V172" s="15">
        <f>IF(C172="","",MONTH(C172))</f>
        <v/>
      </c>
      <c r="W172" s="30">
        <f>IF(D172="","",IF(D172="Consignación",IF(O172="",0,ROUND(O172/(1+Configuracion!$B$11),0)),IF(N172="",0,ROUND(N172/(1+Configuracion!$B$11),0))))</f>
        <v/>
      </c>
      <c r="X172" s="30">
        <f>IF(W172="","",ROUND(W172*Configuracion!$B$11,0))</f>
        <v/>
      </c>
      <c r="Y172" s="30">
        <f>IF(OR(D172="",Q172&lt;&gt;"Vendido"),0,IF(D172="Consignación",0,IF(K172="",0,K172)))</f>
        <v/>
      </c>
      <c r="Z172" s="30">
        <f>IF(Q172&lt;&gt;"Vendido","",W172-Y172-IF(P172="",0,P172))</f>
        <v/>
      </c>
    </row>
    <row r="173">
      <c r="A173" s="15">
        <f>IF(D173="","",ROW()-5)</f>
        <v/>
      </c>
      <c r="B173" s="70" t="n"/>
      <c r="C173" s="70" t="n"/>
      <c r="D173" s="9" t="n"/>
      <c r="E173" s="9" t="n"/>
      <c r="F173" s="9" t="n"/>
      <c r="G173" s="11" t="n"/>
      <c r="H173" s="9" t="n"/>
      <c r="I173" s="9" t="n"/>
      <c r="J173" s="9" t="n"/>
      <c r="K173" s="71" t="n"/>
      <c r="L173" s="30">
        <f>IF(K173="","",IF(J173="Sí",ROUND(K173*Configuracion!$B$11,0),0))</f>
        <v/>
      </c>
      <c r="M173" s="30">
        <f>IF(K173="","",K173+L173)</f>
        <v/>
      </c>
      <c r="N173" s="71" t="n"/>
      <c r="O173" s="71" t="n"/>
      <c r="P173" s="71" t="n"/>
      <c r="Q173" s="9" t="n"/>
      <c r="R173" s="9" t="n"/>
      <c r="S173" s="15">
        <f>IF(B173="","",YEAR(B173))</f>
        <v/>
      </c>
      <c r="T173" s="15">
        <f>IF(B173="","",MONTH(B173))</f>
        <v/>
      </c>
      <c r="U173" s="15">
        <f>IF(C173="","",YEAR(C173))</f>
        <v/>
      </c>
      <c r="V173" s="15">
        <f>IF(C173="","",MONTH(C173))</f>
        <v/>
      </c>
      <c r="W173" s="30">
        <f>IF(D173="","",IF(D173="Consignación",IF(O173="",0,ROUND(O173/(1+Configuracion!$B$11),0)),IF(N173="",0,ROUND(N173/(1+Configuracion!$B$11),0))))</f>
        <v/>
      </c>
      <c r="X173" s="30">
        <f>IF(W173="","",ROUND(W173*Configuracion!$B$11,0))</f>
        <v/>
      </c>
      <c r="Y173" s="30">
        <f>IF(OR(D173="",Q173&lt;&gt;"Vendido"),0,IF(D173="Consignación",0,IF(K173="",0,K173)))</f>
        <v/>
      </c>
      <c r="Z173" s="30">
        <f>IF(Q173&lt;&gt;"Vendido","",W173-Y173-IF(P173="",0,P173))</f>
        <v/>
      </c>
    </row>
    <row r="174">
      <c r="A174" s="15">
        <f>IF(D174="","",ROW()-5)</f>
        <v/>
      </c>
      <c r="B174" s="70" t="n"/>
      <c r="C174" s="70" t="n"/>
      <c r="D174" s="9" t="n"/>
      <c r="E174" s="9" t="n"/>
      <c r="F174" s="9" t="n"/>
      <c r="G174" s="11" t="n"/>
      <c r="H174" s="9" t="n"/>
      <c r="I174" s="9" t="n"/>
      <c r="J174" s="9" t="n"/>
      <c r="K174" s="71" t="n"/>
      <c r="L174" s="30">
        <f>IF(K174="","",IF(J174="Sí",ROUND(K174*Configuracion!$B$11,0),0))</f>
        <v/>
      </c>
      <c r="M174" s="30">
        <f>IF(K174="","",K174+L174)</f>
        <v/>
      </c>
      <c r="N174" s="71" t="n"/>
      <c r="O174" s="71" t="n"/>
      <c r="P174" s="71" t="n"/>
      <c r="Q174" s="9" t="n"/>
      <c r="R174" s="9" t="n"/>
      <c r="S174" s="15">
        <f>IF(B174="","",YEAR(B174))</f>
        <v/>
      </c>
      <c r="T174" s="15">
        <f>IF(B174="","",MONTH(B174))</f>
        <v/>
      </c>
      <c r="U174" s="15">
        <f>IF(C174="","",YEAR(C174))</f>
        <v/>
      </c>
      <c r="V174" s="15">
        <f>IF(C174="","",MONTH(C174))</f>
        <v/>
      </c>
      <c r="W174" s="30">
        <f>IF(D174="","",IF(D174="Consignación",IF(O174="",0,ROUND(O174/(1+Configuracion!$B$11),0)),IF(N174="",0,ROUND(N174/(1+Configuracion!$B$11),0))))</f>
        <v/>
      </c>
      <c r="X174" s="30">
        <f>IF(W174="","",ROUND(W174*Configuracion!$B$11,0))</f>
        <v/>
      </c>
      <c r="Y174" s="30">
        <f>IF(OR(D174="",Q174&lt;&gt;"Vendido"),0,IF(D174="Consignación",0,IF(K174="",0,K174)))</f>
        <v/>
      </c>
      <c r="Z174" s="30">
        <f>IF(Q174&lt;&gt;"Vendido","",W174-Y174-IF(P174="",0,P174))</f>
        <v/>
      </c>
    </row>
    <row r="175">
      <c r="A175" s="15">
        <f>IF(D175="","",ROW()-5)</f>
        <v/>
      </c>
      <c r="B175" s="70" t="n"/>
      <c r="C175" s="70" t="n"/>
      <c r="D175" s="9" t="n"/>
      <c r="E175" s="9" t="n"/>
      <c r="F175" s="9" t="n"/>
      <c r="G175" s="11" t="n"/>
      <c r="H175" s="9" t="n"/>
      <c r="I175" s="9" t="n"/>
      <c r="J175" s="9" t="n"/>
      <c r="K175" s="71" t="n"/>
      <c r="L175" s="30">
        <f>IF(K175="","",IF(J175="Sí",ROUND(K175*Configuracion!$B$11,0),0))</f>
        <v/>
      </c>
      <c r="M175" s="30">
        <f>IF(K175="","",K175+L175)</f>
        <v/>
      </c>
      <c r="N175" s="71" t="n"/>
      <c r="O175" s="71" t="n"/>
      <c r="P175" s="71" t="n"/>
      <c r="Q175" s="9" t="n"/>
      <c r="R175" s="9" t="n"/>
      <c r="S175" s="15">
        <f>IF(B175="","",YEAR(B175))</f>
        <v/>
      </c>
      <c r="T175" s="15">
        <f>IF(B175="","",MONTH(B175))</f>
        <v/>
      </c>
      <c r="U175" s="15">
        <f>IF(C175="","",YEAR(C175))</f>
        <v/>
      </c>
      <c r="V175" s="15">
        <f>IF(C175="","",MONTH(C175))</f>
        <v/>
      </c>
      <c r="W175" s="30">
        <f>IF(D175="","",IF(D175="Consignación",IF(O175="",0,ROUND(O175/(1+Configuracion!$B$11),0)),IF(N175="",0,ROUND(N175/(1+Configuracion!$B$11),0))))</f>
        <v/>
      </c>
      <c r="X175" s="30">
        <f>IF(W175="","",ROUND(W175*Configuracion!$B$11,0))</f>
        <v/>
      </c>
      <c r="Y175" s="30">
        <f>IF(OR(D175="",Q175&lt;&gt;"Vendido"),0,IF(D175="Consignación",0,IF(K175="",0,K175)))</f>
        <v/>
      </c>
      <c r="Z175" s="30">
        <f>IF(Q175&lt;&gt;"Vendido","",W175-Y175-IF(P175="",0,P175))</f>
        <v/>
      </c>
    </row>
    <row r="176">
      <c r="A176" s="15">
        <f>IF(D176="","",ROW()-5)</f>
        <v/>
      </c>
      <c r="B176" s="70" t="n"/>
      <c r="C176" s="70" t="n"/>
      <c r="D176" s="9" t="n"/>
      <c r="E176" s="9" t="n"/>
      <c r="F176" s="9" t="n"/>
      <c r="G176" s="11" t="n"/>
      <c r="H176" s="9" t="n"/>
      <c r="I176" s="9" t="n"/>
      <c r="J176" s="9" t="n"/>
      <c r="K176" s="71" t="n"/>
      <c r="L176" s="30">
        <f>IF(K176="","",IF(J176="Sí",ROUND(K176*Configuracion!$B$11,0),0))</f>
        <v/>
      </c>
      <c r="M176" s="30">
        <f>IF(K176="","",K176+L176)</f>
        <v/>
      </c>
      <c r="N176" s="71" t="n"/>
      <c r="O176" s="71" t="n"/>
      <c r="P176" s="71" t="n"/>
      <c r="Q176" s="9" t="n"/>
      <c r="R176" s="9" t="n"/>
      <c r="S176" s="15">
        <f>IF(B176="","",YEAR(B176))</f>
        <v/>
      </c>
      <c r="T176" s="15">
        <f>IF(B176="","",MONTH(B176))</f>
        <v/>
      </c>
      <c r="U176" s="15">
        <f>IF(C176="","",YEAR(C176))</f>
        <v/>
      </c>
      <c r="V176" s="15">
        <f>IF(C176="","",MONTH(C176))</f>
        <v/>
      </c>
      <c r="W176" s="30">
        <f>IF(D176="","",IF(D176="Consignación",IF(O176="",0,ROUND(O176/(1+Configuracion!$B$11),0)),IF(N176="",0,ROUND(N176/(1+Configuracion!$B$11),0))))</f>
        <v/>
      </c>
      <c r="X176" s="30">
        <f>IF(W176="","",ROUND(W176*Configuracion!$B$11,0))</f>
        <v/>
      </c>
      <c r="Y176" s="30">
        <f>IF(OR(D176="",Q176&lt;&gt;"Vendido"),0,IF(D176="Consignación",0,IF(K176="",0,K176)))</f>
        <v/>
      </c>
      <c r="Z176" s="30">
        <f>IF(Q176&lt;&gt;"Vendido","",W176-Y176-IF(P176="",0,P176))</f>
        <v/>
      </c>
    </row>
    <row r="177">
      <c r="A177" s="15">
        <f>IF(D177="","",ROW()-5)</f>
        <v/>
      </c>
      <c r="B177" s="70" t="n"/>
      <c r="C177" s="70" t="n"/>
      <c r="D177" s="9" t="n"/>
      <c r="E177" s="9" t="n"/>
      <c r="F177" s="9" t="n"/>
      <c r="G177" s="11" t="n"/>
      <c r="H177" s="9" t="n"/>
      <c r="I177" s="9" t="n"/>
      <c r="J177" s="9" t="n"/>
      <c r="K177" s="71" t="n"/>
      <c r="L177" s="30">
        <f>IF(K177="","",IF(J177="Sí",ROUND(K177*Configuracion!$B$11,0),0))</f>
        <v/>
      </c>
      <c r="M177" s="30">
        <f>IF(K177="","",K177+L177)</f>
        <v/>
      </c>
      <c r="N177" s="71" t="n"/>
      <c r="O177" s="71" t="n"/>
      <c r="P177" s="71" t="n"/>
      <c r="Q177" s="9" t="n"/>
      <c r="R177" s="9" t="n"/>
      <c r="S177" s="15">
        <f>IF(B177="","",YEAR(B177))</f>
        <v/>
      </c>
      <c r="T177" s="15">
        <f>IF(B177="","",MONTH(B177))</f>
        <v/>
      </c>
      <c r="U177" s="15">
        <f>IF(C177="","",YEAR(C177))</f>
        <v/>
      </c>
      <c r="V177" s="15">
        <f>IF(C177="","",MONTH(C177))</f>
        <v/>
      </c>
      <c r="W177" s="30">
        <f>IF(D177="","",IF(D177="Consignación",IF(O177="",0,ROUND(O177/(1+Configuracion!$B$11),0)),IF(N177="",0,ROUND(N177/(1+Configuracion!$B$11),0))))</f>
        <v/>
      </c>
      <c r="X177" s="30">
        <f>IF(W177="","",ROUND(W177*Configuracion!$B$11,0))</f>
        <v/>
      </c>
      <c r="Y177" s="30">
        <f>IF(OR(D177="",Q177&lt;&gt;"Vendido"),0,IF(D177="Consignación",0,IF(K177="",0,K177)))</f>
        <v/>
      </c>
      <c r="Z177" s="30">
        <f>IF(Q177&lt;&gt;"Vendido","",W177-Y177-IF(P177="",0,P177))</f>
        <v/>
      </c>
    </row>
    <row r="178">
      <c r="A178" s="15">
        <f>IF(D178="","",ROW()-5)</f>
        <v/>
      </c>
      <c r="B178" s="70" t="n"/>
      <c r="C178" s="70" t="n"/>
      <c r="D178" s="9" t="n"/>
      <c r="E178" s="9" t="n"/>
      <c r="F178" s="9" t="n"/>
      <c r="G178" s="11" t="n"/>
      <c r="H178" s="9" t="n"/>
      <c r="I178" s="9" t="n"/>
      <c r="J178" s="9" t="n"/>
      <c r="K178" s="71" t="n"/>
      <c r="L178" s="30">
        <f>IF(K178="","",IF(J178="Sí",ROUND(K178*Configuracion!$B$11,0),0))</f>
        <v/>
      </c>
      <c r="M178" s="30">
        <f>IF(K178="","",K178+L178)</f>
        <v/>
      </c>
      <c r="N178" s="71" t="n"/>
      <c r="O178" s="71" t="n"/>
      <c r="P178" s="71" t="n"/>
      <c r="Q178" s="9" t="n"/>
      <c r="R178" s="9" t="n"/>
      <c r="S178" s="15">
        <f>IF(B178="","",YEAR(B178))</f>
        <v/>
      </c>
      <c r="T178" s="15">
        <f>IF(B178="","",MONTH(B178))</f>
        <v/>
      </c>
      <c r="U178" s="15">
        <f>IF(C178="","",YEAR(C178))</f>
        <v/>
      </c>
      <c r="V178" s="15">
        <f>IF(C178="","",MONTH(C178))</f>
        <v/>
      </c>
      <c r="W178" s="30">
        <f>IF(D178="","",IF(D178="Consignación",IF(O178="",0,ROUND(O178/(1+Configuracion!$B$11),0)),IF(N178="",0,ROUND(N178/(1+Configuracion!$B$11),0))))</f>
        <v/>
      </c>
      <c r="X178" s="30">
        <f>IF(W178="","",ROUND(W178*Configuracion!$B$11,0))</f>
        <v/>
      </c>
      <c r="Y178" s="30">
        <f>IF(OR(D178="",Q178&lt;&gt;"Vendido"),0,IF(D178="Consignación",0,IF(K178="",0,K178)))</f>
        <v/>
      </c>
      <c r="Z178" s="30">
        <f>IF(Q178&lt;&gt;"Vendido","",W178-Y178-IF(P178="",0,P178))</f>
        <v/>
      </c>
    </row>
    <row r="179">
      <c r="A179" s="15">
        <f>IF(D179="","",ROW()-5)</f>
        <v/>
      </c>
      <c r="B179" s="70" t="n"/>
      <c r="C179" s="70" t="n"/>
      <c r="D179" s="9" t="n"/>
      <c r="E179" s="9" t="n"/>
      <c r="F179" s="9" t="n"/>
      <c r="G179" s="11" t="n"/>
      <c r="H179" s="9" t="n"/>
      <c r="I179" s="9" t="n"/>
      <c r="J179" s="9" t="n"/>
      <c r="K179" s="71" t="n"/>
      <c r="L179" s="30">
        <f>IF(K179="","",IF(J179="Sí",ROUND(K179*Configuracion!$B$11,0),0))</f>
        <v/>
      </c>
      <c r="M179" s="30">
        <f>IF(K179="","",K179+L179)</f>
        <v/>
      </c>
      <c r="N179" s="71" t="n"/>
      <c r="O179" s="71" t="n"/>
      <c r="P179" s="71" t="n"/>
      <c r="Q179" s="9" t="n"/>
      <c r="R179" s="9" t="n"/>
      <c r="S179" s="15">
        <f>IF(B179="","",YEAR(B179))</f>
        <v/>
      </c>
      <c r="T179" s="15">
        <f>IF(B179="","",MONTH(B179))</f>
        <v/>
      </c>
      <c r="U179" s="15">
        <f>IF(C179="","",YEAR(C179))</f>
        <v/>
      </c>
      <c r="V179" s="15">
        <f>IF(C179="","",MONTH(C179))</f>
        <v/>
      </c>
      <c r="W179" s="30">
        <f>IF(D179="","",IF(D179="Consignación",IF(O179="",0,ROUND(O179/(1+Configuracion!$B$11),0)),IF(N179="",0,ROUND(N179/(1+Configuracion!$B$11),0))))</f>
        <v/>
      </c>
      <c r="X179" s="30">
        <f>IF(W179="","",ROUND(W179*Configuracion!$B$11,0))</f>
        <v/>
      </c>
      <c r="Y179" s="30">
        <f>IF(OR(D179="",Q179&lt;&gt;"Vendido"),0,IF(D179="Consignación",0,IF(K179="",0,K179)))</f>
        <v/>
      </c>
      <c r="Z179" s="30">
        <f>IF(Q179&lt;&gt;"Vendido","",W179-Y179-IF(P179="",0,P179))</f>
        <v/>
      </c>
    </row>
    <row r="180">
      <c r="A180" s="15">
        <f>IF(D180="","",ROW()-5)</f>
        <v/>
      </c>
      <c r="B180" s="70" t="n"/>
      <c r="C180" s="70" t="n"/>
      <c r="D180" s="9" t="n"/>
      <c r="E180" s="9" t="n"/>
      <c r="F180" s="9" t="n"/>
      <c r="G180" s="11" t="n"/>
      <c r="H180" s="9" t="n"/>
      <c r="I180" s="9" t="n"/>
      <c r="J180" s="9" t="n"/>
      <c r="K180" s="71" t="n"/>
      <c r="L180" s="30">
        <f>IF(K180="","",IF(J180="Sí",ROUND(K180*Configuracion!$B$11,0),0))</f>
        <v/>
      </c>
      <c r="M180" s="30">
        <f>IF(K180="","",K180+L180)</f>
        <v/>
      </c>
      <c r="N180" s="71" t="n"/>
      <c r="O180" s="71" t="n"/>
      <c r="P180" s="71" t="n"/>
      <c r="Q180" s="9" t="n"/>
      <c r="R180" s="9" t="n"/>
      <c r="S180" s="15">
        <f>IF(B180="","",YEAR(B180))</f>
        <v/>
      </c>
      <c r="T180" s="15">
        <f>IF(B180="","",MONTH(B180))</f>
        <v/>
      </c>
      <c r="U180" s="15">
        <f>IF(C180="","",YEAR(C180))</f>
        <v/>
      </c>
      <c r="V180" s="15">
        <f>IF(C180="","",MONTH(C180))</f>
        <v/>
      </c>
      <c r="W180" s="30">
        <f>IF(D180="","",IF(D180="Consignación",IF(O180="",0,ROUND(O180/(1+Configuracion!$B$11),0)),IF(N180="",0,ROUND(N180/(1+Configuracion!$B$11),0))))</f>
        <v/>
      </c>
      <c r="X180" s="30">
        <f>IF(W180="","",ROUND(W180*Configuracion!$B$11,0))</f>
        <v/>
      </c>
      <c r="Y180" s="30">
        <f>IF(OR(D180="",Q180&lt;&gt;"Vendido"),0,IF(D180="Consignación",0,IF(K180="",0,K180)))</f>
        <v/>
      </c>
      <c r="Z180" s="30">
        <f>IF(Q180&lt;&gt;"Vendido","",W180-Y180-IF(P180="",0,P180))</f>
        <v/>
      </c>
    </row>
    <row r="181">
      <c r="A181" s="15">
        <f>IF(D181="","",ROW()-5)</f>
        <v/>
      </c>
      <c r="B181" s="70" t="n"/>
      <c r="C181" s="70" t="n"/>
      <c r="D181" s="9" t="n"/>
      <c r="E181" s="9" t="n"/>
      <c r="F181" s="9" t="n"/>
      <c r="G181" s="11" t="n"/>
      <c r="H181" s="9" t="n"/>
      <c r="I181" s="9" t="n"/>
      <c r="J181" s="9" t="n"/>
      <c r="K181" s="71" t="n"/>
      <c r="L181" s="30">
        <f>IF(K181="","",IF(J181="Sí",ROUND(K181*Configuracion!$B$11,0),0))</f>
        <v/>
      </c>
      <c r="M181" s="30">
        <f>IF(K181="","",K181+L181)</f>
        <v/>
      </c>
      <c r="N181" s="71" t="n"/>
      <c r="O181" s="71" t="n"/>
      <c r="P181" s="71" t="n"/>
      <c r="Q181" s="9" t="n"/>
      <c r="R181" s="9" t="n"/>
      <c r="S181" s="15">
        <f>IF(B181="","",YEAR(B181))</f>
        <v/>
      </c>
      <c r="T181" s="15">
        <f>IF(B181="","",MONTH(B181))</f>
        <v/>
      </c>
      <c r="U181" s="15">
        <f>IF(C181="","",YEAR(C181))</f>
        <v/>
      </c>
      <c r="V181" s="15">
        <f>IF(C181="","",MONTH(C181))</f>
        <v/>
      </c>
      <c r="W181" s="30">
        <f>IF(D181="","",IF(D181="Consignación",IF(O181="",0,ROUND(O181/(1+Configuracion!$B$11),0)),IF(N181="",0,ROUND(N181/(1+Configuracion!$B$11),0))))</f>
        <v/>
      </c>
      <c r="X181" s="30">
        <f>IF(W181="","",ROUND(W181*Configuracion!$B$11,0))</f>
        <v/>
      </c>
      <c r="Y181" s="30">
        <f>IF(OR(D181="",Q181&lt;&gt;"Vendido"),0,IF(D181="Consignación",0,IF(K181="",0,K181)))</f>
        <v/>
      </c>
      <c r="Z181" s="30">
        <f>IF(Q181&lt;&gt;"Vendido","",W181-Y181-IF(P181="",0,P181))</f>
        <v/>
      </c>
    </row>
    <row r="182">
      <c r="A182" s="15">
        <f>IF(D182="","",ROW()-5)</f>
        <v/>
      </c>
      <c r="B182" s="70" t="n"/>
      <c r="C182" s="70" t="n"/>
      <c r="D182" s="9" t="n"/>
      <c r="E182" s="9" t="n"/>
      <c r="F182" s="9" t="n"/>
      <c r="G182" s="11" t="n"/>
      <c r="H182" s="9" t="n"/>
      <c r="I182" s="9" t="n"/>
      <c r="J182" s="9" t="n"/>
      <c r="K182" s="71" t="n"/>
      <c r="L182" s="30">
        <f>IF(K182="","",IF(J182="Sí",ROUND(K182*Configuracion!$B$11,0),0))</f>
        <v/>
      </c>
      <c r="M182" s="30">
        <f>IF(K182="","",K182+L182)</f>
        <v/>
      </c>
      <c r="N182" s="71" t="n"/>
      <c r="O182" s="71" t="n"/>
      <c r="P182" s="71" t="n"/>
      <c r="Q182" s="9" t="n"/>
      <c r="R182" s="9" t="n"/>
      <c r="S182" s="15">
        <f>IF(B182="","",YEAR(B182))</f>
        <v/>
      </c>
      <c r="T182" s="15">
        <f>IF(B182="","",MONTH(B182))</f>
        <v/>
      </c>
      <c r="U182" s="15">
        <f>IF(C182="","",YEAR(C182))</f>
        <v/>
      </c>
      <c r="V182" s="15">
        <f>IF(C182="","",MONTH(C182))</f>
        <v/>
      </c>
      <c r="W182" s="30">
        <f>IF(D182="","",IF(D182="Consignación",IF(O182="",0,ROUND(O182/(1+Configuracion!$B$11),0)),IF(N182="",0,ROUND(N182/(1+Configuracion!$B$11),0))))</f>
        <v/>
      </c>
      <c r="X182" s="30">
        <f>IF(W182="","",ROUND(W182*Configuracion!$B$11,0))</f>
        <v/>
      </c>
      <c r="Y182" s="30">
        <f>IF(OR(D182="",Q182&lt;&gt;"Vendido"),0,IF(D182="Consignación",0,IF(K182="",0,K182)))</f>
        <v/>
      </c>
      <c r="Z182" s="30">
        <f>IF(Q182&lt;&gt;"Vendido","",W182-Y182-IF(P182="",0,P182))</f>
        <v/>
      </c>
    </row>
    <row r="183">
      <c r="A183" s="15">
        <f>IF(D183="","",ROW()-5)</f>
        <v/>
      </c>
      <c r="B183" s="70" t="n"/>
      <c r="C183" s="70" t="n"/>
      <c r="D183" s="9" t="n"/>
      <c r="E183" s="9" t="n"/>
      <c r="F183" s="9" t="n"/>
      <c r="G183" s="11" t="n"/>
      <c r="H183" s="9" t="n"/>
      <c r="I183" s="9" t="n"/>
      <c r="J183" s="9" t="n"/>
      <c r="K183" s="71" t="n"/>
      <c r="L183" s="30">
        <f>IF(K183="","",IF(J183="Sí",ROUND(K183*Configuracion!$B$11,0),0))</f>
        <v/>
      </c>
      <c r="M183" s="30">
        <f>IF(K183="","",K183+L183)</f>
        <v/>
      </c>
      <c r="N183" s="71" t="n"/>
      <c r="O183" s="71" t="n"/>
      <c r="P183" s="71" t="n"/>
      <c r="Q183" s="9" t="n"/>
      <c r="R183" s="9" t="n"/>
      <c r="S183" s="15">
        <f>IF(B183="","",YEAR(B183))</f>
        <v/>
      </c>
      <c r="T183" s="15">
        <f>IF(B183="","",MONTH(B183))</f>
        <v/>
      </c>
      <c r="U183" s="15">
        <f>IF(C183="","",YEAR(C183))</f>
        <v/>
      </c>
      <c r="V183" s="15">
        <f>IF(C183="","",MONTH(C183))</f>
        <v/>
      </c>
      <c r="W183" s="30">
        <f>IF(D183="","",IF(D183="Consignación",IF(O183="",0,ROUND(O183/(1+Configuracion!$B$11),0)),IF(N183="",0,ROUND(N183/(1+Configuracion!$B$11),0))))</f>
        <v/>
      </c>
      <c r="X183" s="30">
        <f>IF(W183="","",ROUND(W183*Configuracion!$B$11,0))</f>
        <v/>
      </c>
      <c r="Y183" s="30">
        <f>IF(OR(D183="",Q183&lt;&gt;"Vendido"),0,IF(D183="Consignación",0,IF(K183="",0,K183)))</f>
        <v/>
      </c>
      <c r="Z183" s="30">
        <f>IF(Q183&lt;&gt;"Vendido","",W183-Y183-IF(P183="",0,P183))</f>
        <v/>
      </c>
    </row>
    <row r="184">
      <c r="A184" s="15">
        <f>IF(D184="","",ROW()-5)</f>
        <v/>
      </c>
      <c r="B184" s="70" t="n"/>
      <c r="C184" s="70" t="n"/>
      <c r="D184" s="9" t="n"/>
      <c r="E184" s="9" t="n"/>
      <c r="F184" s="9" t="n"/>
      <c r="G184" s="11" t="n"/>
      <c r="H184" s="9" t="n"/>
      <c r="I184" s="9" t="n"/>
      <c r="J184" s="9" t="n"/>
      <c r="K184" s="71" t="n"/>
      <c r="L184" s="30">
        <f>IF(K184="","",IF(J184="Sí",ROUND(K184*Configuracion!$B$11,0),0))</f>
        <v/>
      </c>
      <c r="M184" s="30">
        <f>IF(K184="","",K184+L184)</f>
        <v/>
      </c>
      <c r="N184" s="71" t="n"/>
      <c r="O184" s="71" t="n"/>
      <c r="P184" s="71" t="n"/>
      <c r="Q184" s="9" t="n"/>
      <c r="R184" s="9" t="n"/>
      <c r="S184" s="15">
        <f>IF(B184="","",YEAR(B184))</f>
        <v/>
      </c>
      <c r="T184" s="15">
        <f>IF(B184="","",MONTH(B184))</f>
        <v/>
      </c>
      <c r="U184" s="15">
        <f>IF(C184="","",YEAR(C184))</f>
        <v/>
      </c>
      <c r="V184" s="15">
        <f>IF(C184="","",MONTH(C184))</f>
        <v/>
      </c>
      <c r="W184" s="30">
        <f>IF(D184="","",IF(D184="Consignación",IF(O184="",0,ROUND(O184/(1+Configuracion!$B$11),0)),IF(N184="",0,ROUND(N184/(1+Configuracion!$B$11),0))))</f>
        <v/>
      </c>
      <c r="X184" s="30">
        <f>IF(W184="","",ROUND(W184*Configuracion!$B$11,0))</f>
        <v/>
      </c>
      <c r="Y184" s="30">
        <f>IF(OR(D184="",Q184&lt;&gt;"Vendido"),0,IF(D184="Consignación",0,IF(K184="",0,K184)))</f>
        <v/>
      </c>
      <c r="Z184" s="30">
        <f>IF(Q184&lt;&gt;"Vendido","",W184-Y184-IF(P184="",0,P184))</f>
        <v/>
      </c>
    </row>
    <row r="185">
      <c r="A185" s="15">
        <f>IF(D185="","",ROW()-5)</f>
        <v/>
      </c>
      <c r="B185" s="70" t="n"/>
      <c r="C185" s="70" t="n"/>
      <c r="D185" s="9" t="n"/>
      <c r="E185" s="9" t="n"/>
      <c r="F185" s="9" t="n"/>
      <c r="G185" s="11" t="n"/>
      <c r="H185" s="9" t="n"/>
      <c r="I185" s="9" t="n"/>
      <c r="J185" s="9" t="n"/>
      <c r="K185" s="71" t="n"/>
      <c r="L185" s="30">
        <f>IF(K185="","",IF(J185="Sí",ROUND(K185*Configuracion!$B$11,0),0))</f>
        <v/>
      </c>
      <c r="M185" s="30">
        <f>IF(K185="","",K185+L185)</f>
        <v/>
      </c>
      <c r="N185" s="71" t="n"/>
      <c r="O185" s="71" t="n"/>
      <c r="P185" s="71" t="n"/>
      <c r="Q185" s="9" t="n"/>
      <c r="R185" s="9" t="n"/>
      <c r="S185" s="15">
        <f>IF(B185="","",YEAR(B185))</f>
        <v/>
      </c>
      <c r="T185" s="15">
        <f>IF(B185="","",MONTH(B185))</f>
        <v/>
      </c>
      <c r="U185" s="15">
        <f>IF(C185="","",YEAR(C185))</f>
        <v/>
      </c>
      <c r="V185" s="15">
        <f>IF(C185="","",MONTH(C185))</f>
        <v/>
      </c>
      <c r="W185" s="30">
        <f>IF(D185="","",IF(D185="Consignación",IF(O185="",0,ROUND(O185/(1+Configuracion!$B$11),0)),IF(N185="",0,ROUND(N185/(1+Configuracion!$B$11),0))))</f>
        <v/>
      </c>
      <c r="X185" s="30">
        <f>IF(W185="","",ROUND(W185*Configuracion!$B$11,0))</f>
        <v/>
      </c>
      <c r="Y185" s="30">
        <f>IF(OR(D185="",Q185&lt;&gt;"Vendido"),0,IF(D185="Consignación",0,IF(K185="",0,K185)))</f>
        <v/>
      </c>
      <c r="Z185" s="30">
        <f>IF(Q185&lt;&gt;"Vendido","",W185-Y185-IF(P185="",0,P185))</f>
        <v/>
      </c>
    </row>
    <row r="186">
      <c r="A186" s="15">
        <f>IF(D186="","",ROW()-5)</f>
        <v/>
      </c>
      <c r="B186" s="70" t="n"/>
      <c r="C186" s="70" t="n"/>
      <c r="D186" s="9" t="n"/>
      <c r="E186" s="9" t="n"/>
      <c r="F186" s="9" t="n"/>
      <c r="G186" s="11" t="n"/>
      <c r="H186" s="9" t="n"/>
      <c r="I186" s="9" t="n"/>
      <c r="J186" s="9" t="n"/>
      <c r="K186" s="71" t="n"/>
      <c r="L186" s="30">
        <f>IF(K186="","",IF(J186="Sí",ROUND(K186*Configuracion!$B$11,0),0))</f>
        <v/>
      </c>
      <c r="M186" s="30">
        <f>IF(K186="","",K186+L186)</f>
        <v/>
      </c>
      <c r="N186" s="71" t="n"/>
      <c r="O186" s="71" t="n"/>
      <c r="P186" s="71" t="n"/>
      <c r="Q186" s="9" t="n"/>
      <c r="R186" s="9" t="n"/>
      <c r="S186" s="15">
        <f>IF(B186="","",YEAR(B186))</f>
        <v/>
      </c>
      <c r="T186" s="15">
        <f>IF(B186="","",MONTH(B186))</f>
        <v/>
      </c>
      <c r="U186" s="15">
        <f>IF(C186="","",YEAR(C186))</f>
        <v/>
      </c>
      <c r="V186" s="15">
        <f>IF(C186="","",MONTH(C186))</f>
        <v/>
      </c>
      <c r="W186" s="30">
        <f>IF(D186="","",IF(D186="Consignación",IF(O186="",0,ROUND(O186/(1+Configuracion!$B$11),0)),IF(N186="",0,ROUND(N186/(1+Configuracion!$B$11),0))))</f>
        <v/>
      </c>
      <c r="X186" s="30">
        <f>IF(W186="","",ROUND(W186*Configuracion!$B$11,0))</f>
        <v/>
      </c>
      <c r="Y186" s="30">
        <f>IF(OR(D186="",Q186&lt;&gt;"Vendido"),0,IF(D186="Consignación",0,IF(K186="",0,K186)))</f>
        <v/>
      </c>
      <c r="Z186" s="30">
        <f>IF(Q186&lt;&gt;"Vendido","",W186-Y186-IF(P186="",0,P186))</f>
        <v/>
      </c>
    </row>
    <row r="187">
      <c r="A187" s="15">
        <f>IF(D187="","",ROW()-5)</f>
        <v/>
      </c>
      <c r="B187" s="70" t="n"/>
      <c r="C187" s="70" t="n"/>
      <c r="D187" s="9" t="n"/>
      <c r="E187" s="9" t="n"/>
      <c r="F187" s="9" t="n"/>
      <c r="G187" s="11" t="n"/>
      <c r="H187" s="9" t="n"/>
      <c r="I187" s="9" t="n"/>
      <c r="J187" s="9" t="n"/>
      <c r="K187" s="71" t="n"/>
      <c r="L187" s="30">
        <f>IF(K187="","",IF(J187="Sí",ROUND(K187*Configuracion!$B$11,0),0))</f>
        <v/>
      </c>
      <c r="M187" s="30">
        <f>IF(K187="","",K187+L187)</f>
        <v/>
      </c>
      <c r="N187" s="71" t="n"/>
      <c r="O187" s="71" t="n"/>
      <c r="P187" s="71" t="n"/>
      <c r="Q187" s="9" t="n"/>
      <c r="R187" s="9" t="n"/>
      <c r="S187" s="15">
        <f>IF(B187="","",YEAR(B187))</f>
        <v/>
      </c>
      <c r="T187" s="15">
        <f>IF(B187="","",MONTH(B187))</f>
        <v/>
      </c>
      <c r="U187" s="15">
        <f>IF(C187="","",YEAR(C187))</f>
        <v/>
      </c>
      <c r="V187" s="15">
        <f>IF(C187="","",MONTH(C187))</f>
        <v/>
      </c>
      <c r="W187" s="30">
        <f>IF(D187="","",IF(D187="Consignación",IF(O187="",0,ROUND(O187/(1+Configuracion!$B$11),0)),IF(N187="",0,ROUND(N187/(1+Configuracion!$B$11),0))))</f>
        <v/>
      </c>
      <c r="X187" s="30">
        <f>IF(W187="","",ROUND(W187*Configuracion!$B$11,0))</f>
        <v/>
      </c>
      <c r="Y187" s="30">
        <f>IF(OR(D187="",Q187&lt;&gt;"Vendido"),0,IF(D187="Consignación",0,IF(K187="",0,K187)))</f>
        <v/>
      </c>
      <c r="Z187" s="30">
        <f>IF(Q187&lt;&gt;"Vendido","",W187-Y187-IF(P187="",0,P187))</f>
        <v/>
      </c>
    </row>
    <row r="188">
      <c r="A188" s="15">
        <f>IF(D188="","",ROW()-5)</f>
        <v/>
      </c>
      <c r="B188" s="70" t="n"/>
      <c r="C188" s="70" t="n"/>
      <c r="D188" s="9" t="n"/>
      <c r="E188" s="9" t="n"/>
      <c r="F188" s="9" t="n"/>
      <c r="G188" s="11" t="n"/>
      <c r="H188" s="9" t="n"/>
      <c r="I188" s="9" t="n"/>
      <c r="J188" s="9" t="n"/>
      <c r="K188" s="71" t="n"/>
      <c r="L188" s="30">
        <f>IF(K188="","",IF(J188="Sí",ROUND(K188*Configuracion!$B$11,0),0))</f>
        <v/>
      </c>
      <c r="M188" s="30">
        <f>IF(K188="","",K188+L188)</f>
        <v/>
      </c>
      <c r="N188" s="71" t="n"/>
      <c r="O188" s="71" t="n"/>
      <c r="P188" s="71" t="n"/>
      <c r="Q188" s="9" t="n"/>
      <c r="R188" s="9" t="n"/>
      <c r="S188" s="15">
        <f>IF(B188="","",YEAR(B188))</f>
        <v/>
      </c>
      <c r="T188" s="15">
        <f>IF(B188="","",MONTH(B188))</f>
        <v/>
      </c>
      <c r="U188" s="15">
        <f>IF(C188="","",YEAR(C188))</f>
        <v/>
      </c>
      <c r="V188" s="15">
        <f>IF(C188="","",MONTH(C188))</f>
        <v/>
      </c>
      <c r="W188" s="30">
        <f>IF(D188="","",IF(D188="Consignación",IF(O188="",0,ROUND(O188/(1+Configuracion!$B$11),0)),IF(N188="",0,ROUND(N188/(1+Configuracion!$B$11),0))))</f>
        <v/>
      </c>
      <c r="X188" s="30">
        <f>IF(W188="","",ROUND(W188*Configuracion!$B$11,0))</f>
        <v/>
      </c>
      <c r="Y188" s="30">
        <f>IF(OR(D188="",Q188&lt;&gt;"Vendido"),0,IF(D188="Consignación",0,IF(K188="",0,K188)))</f>
        <v/>
      </c>
      <c r="Z188" s="30">
        <f>IF(Q188&lt;&gt;"Vendido","",W188-Y188-IF(P188="",0,P188))</f>
        <v/>
      </c>
    </row>
    <row r="189">
      <c r="A189" s="15">
        <f>IF(D189="","",ROW()-5)</f>
        <v/>
      </c>
      <c r="B189" s="70" t="n"/>
      <c r="C189" s="70" t="n"/>
      <c r="D189" s="9" t="n"/>
      <c r="E189" s="9" t="n"/>
      <c r="F189" s="9" t="n"/>
      <c r="G189" s="11" t="n"/>
      <c r="H189" s="9" t="n"/>
      <c r="I189" s="9" t="n"/>
      <c r="J189" s="9" t="n"/>
      <c r="K189" s="71" t="n"/>
      <c r="L189" s="30">
        <f>IF(K189="","",IF(J189="Sí",ROUND(K189*Configuracion!$B$11,0),0))</f>
        <v/>
      </c>
      <c r="M189" s="30">
        <f>IF(K189="","",K189+L189)</f>
        <v/>
      </c>
      <c r="N189" s="71" t="n"/>
      <c r="O189" s="71" t="n"/>
      <c r="P189" s="71" t="n"/>
      <c r="Q189" s="9" t="n"/>
      <c r="R189" s="9" t="n"/>
      <c r="S189" s="15">
        <f>IF(B189="","",YEAR(B189))</f>
        <v/>
      </c>
      <c r="T189" s="15">
        <f>IF(B189="","",MONTH(B189))</f>
        <v/>
      </c>
      <c r="U189" s="15">
        <f>IF(C189="","",YEAR(C189))</f>
        <v/>
      </c>
      <c r="V189" s="15">
        <f>IF(C189="","",MONTH(C189))</f>
        <v/>
      </c>
      <c r="W189" s="30">
        <f>IF(D189="","",IF(D189="Consignación",IF(O189="",0,ROUND(O189/(1+Configuracion!$B$11),0)),IF(N189="",0,ROUND(N189/(1+Configuracion!$B$11),0))))</f>
        <v/>
      </c>
      <c r="X189" s="30">
        <f>IF(W189="","",ROUND(W189*Configuracion!$B$11,0))</f>
        <v/>
      </c>
      <c r="Y189" s="30">
        <f>IF(OR(D189="",Q189&lt;&gt;"Vendido"),0,IF(D189="Consignación",0,IF(K189="",0,K189)))</f>
        <v/>
      </c>
      <c r="Z189" s="30">
        <f>IF(Q189&lt;&gt;"Vendido","",W189-Y189-IF(P189="",0,P189))</f>
        <v/>
      </c>
    </row>
    <row r="190">
      <c r="A190" s="15">
        <f>IF(D190="","",ROW()-5)</f>
        <v/>
      </c>
      <c r="B190" s="70" t="n"/>
      <c r="C190" s="70" t="n"/>
      <c r="D190" s="9" t="n"/>
      <c r="E190" s="9" t="n"/>
      <c r="F190" s="9" t="n"/>
      <c r="G190" s="11" t="n"/>
      <c r="H190" s="9" t="n"/>
      <c r="I190" s="9" t="n"/>
      <c r="J190" s="9" t="n"/>
      <c r="K190" s="71" t="n"/>
      <c r="L190" s="30">
        <f>IF(K190="","",IF(J190="Sí",ROUND(K190*Configuracion!$B$11,0),0))</f>
        <v/>
      </c>
      <c r="M190" s="30">
        <f>IF(K190="","",K190+L190)</f>
        <v/>
      </c>
      <c r="N190" s="71" t="n"/>
      <c r="O190" s="71" t="n"/>
      <c r="P190" s="71" t="n"/>
      <c r="Q190" s="9" t="n"/>
      <c r="R190" s="9" t="n"/>
      <c r="S190" s="15">
        <f>IF(B190="","",YEAR(B190))</f>
        <v/>
      </c>
      <c r="T190" s="15">
        <f>IF(B190="","",MONTH(B190))</f>
        <v/>
      </c>
      <c r="U190" s="15">
        <f>IF(C190="","",YEAR(C190))</f>
        <v/>
      </c>
      <c r="V190" s="15">
        <f>IF(C190="","",MONTH(C190))</f>
        <v/>
      </c>
      <c r="W190" s="30">
        <f>IF(D190="","",IF(D190="Consignación",IF(O190="",0,ROUND(O190/(1+Configuracion!$B$11),0)),IF(N190="",0,ROUND(N190/(1+Configuracion!$B$11),0))))</f>
        <v/>
      </c>
      <c r="X190" s="30">
        <f>IF(W190="","",ROUND(W190*Configuracion!$B$11,0))</f>
        <v/>
      </c>
      <c r="Y190" s="30">
        <f>IF(OR(D190="",Q190&lt;&gt;"Vendido"),0,IF(D190="Consignación",0,IF(K190="",0,K190)))</f>
        <v/>
      </c>
      <c r="Z190" s="30">
        <f>IF(Q190&lt;&gt;"Vendido","",W190-Y190-IF(P190="",0,P190))</f>
        <v/>
      </c>
    </row>
    <row r="191">
      <c r="A191" s="15">
        <f>IF(D191="","",ROW()-5)</f>
        <v/>
      </c>
      <c r="B191" s="70" t="n"/>
      <c r="C191" s="70" t="n"/>
      <c r="D191" s="9" t="n"/>
      <c r="E191" s="9" t="n"/>
      <c r="F191" s="9" t="n"/>
      <c r="G191" s="11" t="n"/>
      <c r="H191" s="9" t="n"/>
      <c r="I191" s="9" t="n"/>
      <c r="J191" s="9" t="n"/>
      <c r="K191" s="71" t="n"/>
      <c r="L191" s="30">
        <f>IF(K191="","",IF(J191="Sí",ROUND(K191*Configuracion!$B$11,0),0))</f>
        <v/>
      </c>
      <c r="M191" s="30">
        <f>IF(K191="","",K191+L191)</f>
        <v/>
      </c>
      <c r="N191" s="71" t="n"/>
      <c r="O191" s="71" t="n"/>
      <c r="P191" s="71" t="n"/>
      <c r="Q191" s="9" t="n"/>
      <c r="R191" s="9" t="n"/>
      <c r="S191" s="15">
        <f>IF(B191="","",YEAR(B191))</f>
        <v/>
      </c>
      <c r="T191" s="15">
        <f>IF(B191="","",MONTH(B191))</f>
        <v/>
      </c>
      <c r="U191" s="15">
        <f>IF(C191="","",YEAR(C191))</f>
        <v/>
      </c>
      <c r="V191" s="15">
        <f>IF(C191="","",MONTH(C191))</f>
        <v/>
      </c>
      <c r="W191" s="30">
        <f>IF(D191="","",IF(D191="Consignación",IF(O191="",0,ROUND(O191/(1+Configuracion!$B$11),0)),IF(N191="",0,ROUND(N191/(1+Configuracion!$B$11),0))))</f>
        <v/>
      </c>
      <c r="X191" s="30">
        <f>IF(W191="","",ROUND(W191*Configuracion!$B$11,0))</f>
        <v/>
      </c>
      <c r="Y191" s="30">
        <f>IF(OR(D191="",Q191&lt;&gt;"Vendido"),0,IF(D191="Consignación",0,IF(K191="",0,K191)))</f>
        <v/>
      </c>
      <c r="Z191" s="30">
        <f>IF(Q191&lt;&gt;"Vendido","",W191-Y191-IF(P191="",0,P191))</f>
        <v/>
      </c>
    </row>
    <row r="192">
      <c r="A192" s="15">
        <f>IF(D192="","",ROW()-5)</f>
        <v/>
      </c>
      <c r="B192" s="70" t="n"/>
      <c r="C192" s="70" t="n"/>
      <c r="D192" s="9" t="n"/>
      <c r="E192" s="9" t="n"/>
      <c r="F192" s="9" t="n"/>
      <c r="G192" s="11" t="n"/>
      <c r="H192" s="9" t="n"/>
      <c r="I192" s="9" t="n"/>
      <c r="J192" s="9" t="n"/>
      <c r="K192" s="71" t="n"/>
      <c r="L192" s="30">
        <f>IF(K192="","",IF(J192="Sí",ROUND(K192*Configuracion!$B$11,0),0))</f>
        <v/>
      </c>
      <c r="M192" s="30">
        <f>IF(K192="","",K192+L192)</f>
        <v/>
      </c>
      <c r="N192" s="71" t="n"/>
      <c r="O192" s="71" t="n"/>
      <c r="P192" s="71" t="n"/>
      <c r="Q192" s="9" t="n"/>
      <c r="R192" s="9" t="n"/>
      <c r="S192" s="15">
        <f>IF(B192="","",YEAR(B192))</f>
        <v/>
      </c>
      <c r="T192" s="15">
        <f>IF(B192="","",MONTH(B192))</f>
        <v/>
      </c>
      <c r="U192" s="15">
        <f>IF(C192="","",YEAR(C192))</f>
        <v/>
      </c>
      <c r="V192" s="15">
        <f>IF(C192="","",MONTH(C192))</f>
        <v/>
      </c>
      <c r="W192" s="30">
        <f>IF(D192="","",IF(D192="Consignación",IF(O192="",0,ROUND(O192/(1+Configuracion!$B$11),0)),IF(N192="",0,ROUND(N192/(1+Configuracion!$B$11),0))))</f>
        <v/>
      </c>
      <c r="X192" s="30">
        <f>IF(W192="","",ROUND(W192*Configuracion!$B$11,0))</f>
        <v/>
      </c>
      <c r="Y192" s="30">
        <f>IF(OR(D192="",Q192&lt;&gt;"Vendido"),0,IF(D192="Consignación",0,IF(K192="",0,K192)))</f>
        <v/>
      </c>
      <c r="Z192" s="30">
        <f>IF(Q192&lt;&gt;"Vendido","",W192-Y192-IF(P192="",0,P192))</f>
        <v/>
      </c>
    </row>
    <row r="193">
      <c r="A193" s="15">
        <f>IF(D193="","",ROW()-5)</f>
        <v/>
      </c>
      <c r="B193" s="70" t="n"/>
      <c r="C193" s="70" t="n"/>
      <c r="D193" s="9" t="n"/>
      <c r="E193" s="9" t="n"/>
      <c r="F193" s="9" t="n"/>
      <c r="G193" s="11" t="n"/>
      <c r="H193" s="9" t="n"/>
      <c r="I193" s="9" t="n"/>
      <c r="J193" s="9" t="n"/>
      <c r="K193" s="71" t="n"/>
      <c r="L193" s="30">
        <f>IF(K193="","",IF(J193="Sí",ROUND(K193*Configuracion!$B$11,0),0))</f>
        <v/>
      </c>
      <c r="M193" s="30">
        <f>IF(K193="","",K193+L193)</f>
        <v/>
      </c>
      <c r="N193" s="71" t="n"/>
      <c r="O193" s="71" t="n"/>
      <c r="P193" s="71" t="n"/>
      <c r="Q193" s="9" t="n"/>
      <c r="R193" s="9" t="n"/>
      <c r="S193" s="15">
        <f>IF(B193="","",YEAR(B193))</f>
        <v/>
      </c>
      <c r="T193" s="15">
        <f>IF(B193="","",MONTH(B193))</f>
        <v/>
      </c>
      <c r="U193" s="15">
        <f>IF(C193="","",YEAR(C193))</f>
        <v/>
      </c>
      <c r="V193" s="15">
        <f>IF(C193="","",MONTH(C193))</f>
        <v/>
      </c>
      <c r="W193" s="30">
        <f>IF(D193="","",IF(D193="Consignación",IF(O193="",0,ROUND(O193/(1+Configuracion!$B$11),0)),IF(N193="",0,ROUND(N193/(1+Configuracion!$B$11),0))))</f>
        <v/>
      </c>
      <c r="X193" s="30">
        <f>IF(W193="","",ROUND(W193*Configuracion!$B$11,0))</f>
        <v/>
      </c>
      <c r="Y193" s="30">
        <f>IF(OR(D193="",Q193&lt;&gt;"Vendido"),0,IF(D193="Consignación",0,IF(K193="",0,K193)))</f>
        <v/>
      </c>
      <c r="Z193" s="30">
        <f>IF(Q193&lt;&gt;"Vendido","",W193-Y193-IF(P193="",0,P193))</f>
        <v/>
      </c>
    </row>
    <row r="194">
      <c r="A194" s="15">
        <f>IF(D194="","",ROW()-5)</f>
        <v/>
      </c>
      <c r="B194" s="70" t="n"/>
      <c r="C194" s="70" t="n"/>
      <c r="D194" s="9" t="n"/>
      <c r="E194" s="9" t="n"/>
      <c r="F194" s="9" t="n"/>
      <c r="G194" s="11" t="n"/>
      <c r="H194" s="9" t="n"/>
      <c r="I194" s="9" t="n"/>
      <c r="J194" s="9" t="n"/>
      <c r="K194" s="71" t="n"/>
      <c r="L194" s="30">
        <f>IF(K194="","",IF(J194="Sí",ROUND(K194*Configuracion!$B$11,0),0))</f>
        <v/>
      </c>
      <c r="M194" s="30">
        <f>IF(K194="","",K194+L194)</f>
        <v/>
      </c>
      <c r="N194" s="71" t="n"/>
      <c r="O194" s="71" t="n"/>
      <c r="P194" s="71" t="n"/>
      <c r="Q194" s="9" t="n"/>
      <c r="R194" s="9" t="n"/>
      <c r="S194" s="15">
        <f>IF(B194="","",YEAR(B194))</f>
        <v/>
      </c>
      <c r="T194" s="15">
        <f>IF(B194="","",MONTH(B194))</f>
        <v/>
      </c>
      <c r="U194" s="15">
        <f>IF(C194="","",YEAR(C194))</f>
        <v/>
      </c>
      <c r="V194" s="15">
        <f>IF(C194="","",MONTH(C194))</f>
        <v/>
      </c>
      <c r="W194" s="30">
        <f>IF(D194="","",IF(D194="Consignación",IF(O194="",0,ROUND(O194/(1+Configuracion!$B$11),0)),IF(N194="",0,ROUND(N194/(1+Configuracion!$B$11),0))))</f>
        <v/>
      </c>
      <c r="X194" s="30">
        <f>IF(W194="","",ROUND(W194*Configuracion!$B$11,0))</f>
        <v/>
      </c>
      <c r="Y194" s="30">
        <f>IF(OR(D194="",Q194&lt;&gt;"Vendido"),0,IF(D194="Consignación",0,IF(K194="",0,K194)))</f>
        <v/>
      </c>
      <c r="Z194" s="30">
        <f>IF(Q194&lt;&gt;"Vendido","",W194-Y194-IF(P194="",0,P194))</f>
        <v/>
      </c>
    </row>
    <row r="195">
      <c r="A195" s="15">
        <f>IF(D195="","",ROW()-5)</f>
        <v/>
      </c>
      <c r="B195" s="70" t="n"/>
      <c r="C195" s="70" t="n"/>
      <c r="D195" s="9" t="n"/>
      <c r="E195" s="9" t="n"/>
      <c r="F195" s="9" t="n"/>
      <c r="G195" s="11" t="n"/>
      <c r="H195" s="9" t="n"/>
      <c r="I195" s="9" t="n"/>
      <c r="J195" s="9" t="n"/>
      <c r="K195" s="71" t="n"/>
      <c r="L195" s="30">
        <f>IF(K195="","",IF(J195="Sí",ROUND(K195*Configuracion!$B$11,0),0))</f>
        <v/>
      </c>
      <c r="M195" s="30">
        <f>IF(K195="","",K195+L195)</f>
        <v/>
      </c>
      <c r="N195" s="71" t="n"/>
      <c r="O195" s="71" t="n"/>
      <c r="P195" s="71" t="n"/>
      <c r="Q195" s="9" t="n"/>
      <c r="R195" s="9" t="n"/>
      <c r="S195" s="15">
        <f>IF(B195="","",YEAR(B195))</f>
        <v/>
      </c>
      <c r="T195" s="15">
        <f>IF(B195="","",MONTH(B195))</f>
        <v/>
      </c>
      <c r="U195" s="15">
        <f>IF(C195="","",YEAR(C195))</f>
        <v/>
      </c>
      <c r="V195" s="15">
        <f>IF(C195="","",MONTH(C195))</f>
        <v/>
      </c>
      <c r="W195" s="30">
        <f>IF(D195="","",IF(D195="Consignación",IF(O195="",0,ROUND(O195/(1+Configuracion!$B$11),0)),IF(N195="",0,ROUND(N195/(1+Configuracion!$B$11),0))))</f>
        <v/>
      </c>
      <c r="X195" s="30">
        <f>IF(W195="","",ROUND(W195*Configuracion!$B$11,0))</f>
        <v/>
      </c>
      <c r="Y195" s="30">
        <f>IF(OR(D195="",Q195&lt;&gt;"Vendido"),0,IF(D195="Consignación",0,IF(K195="",0,K195)))</f>
        <v/>
      </c>
      <c r="Z195" s="30">
        <f>IF(Q195&lt;&gt;"Vendido","",W195-Y195-IF(P195="",0,P195))</f>
        <v/>
      </c>
    </row>
    <row r="196">
      <c r="A196" s="15">
        <f>IF(D196="","",ROW()-5)</f>
        <v/>
      </c>
      <c r="B196" s="70" t="n"/>
      <c r="C196" s="70" t="n"/>
      <c r="D196" s="9" t="n"/>
      <c r="E196" s="9" t="n"/>
      <c r="F196" s="9" t="n"/>
      <c r="G196" s="11" t="n"/>
      <c r="H196" s="9" t="n"/>
      <c r="I196" s="9" t="n"/>
      <c r="J196" s="9" t="n"/>
      <c r="K196" s="71" t="n"/>
      <c r="L196" s="30">
        <f>IF(K196="","",IF(J196="Sí",ROUND(K196*Configuracion!$B$11,0),0))</f>
        <v/>
      </c>
      <c r="M196" s="30">
        <f>IF(K196="","",K196+L196)</f>
        <v/>
      </c>
      <c r="N196" s="71" t="n"/>
      <c r="O196" s="71" t="n"/>
      <c r="P196" s="71" t="n"/>
      <c r="Q196" s="9" t="n"/>
      <c r="R196" s="9" t="n"/>
      <c r="S196" s="15">
        <f>IF(B196="","",YEAR(B196))</f>
        <v/>
      </c>
      <c r="T196" s="15">
        <f>IF(B196="","",MONTH(B196))</f>
        <v/>
      </c>
      <c r="U196" s="15">
        <f>IF(C196="","",YEAR(C196))</f>
        <v/>
      </c>
      <c r="V196" s="15">
        <f>IF(C196="","",MONTH(C196))</f>
        <v/>
      </c>
      <c r="W196" s="30">
        <f>IF(D196="","",IF(D196="Consignación",IF(O196="",0,ROUND(O196/(1+Configuracion!$B$11),0)),IF(N196="",0,ROUND(N196/(1+Configuracion!$B$11),0))))</f>
        <v/>
      </c>
      <c r="X196" s="30">
        <f>IF(W196="","",ROUND(W196*Configuracion!$B$11,0))</f>
        <v/>
      </c>
      <c r="Y196" s="30">
        <f>IF(OR(D196="",Q196&lt;&gt;"Vendido"),0,IF(D196="Consignación",0,IF(K196="",0,K196)))</f>
        <v/>
      </c>
      <c r="Z196" s="30">
        <f>IF(Q196&lt;&gt;"Vendido","",W196-Y196-IF(P196="",0,P196))</f>
        <v/>
      </c>
    </row>
    <row r="197">
      <c r="A197" s="15">
        <f>IF(D197="","",ROW()-5)</f>
        <v/>
      </c>
      <c r="B197" s="70" t="n"/>
      <c r="C197" s="70" t="n"/>
      <c r="D197" s="9" t="n"/>
      <c r="E197" s="9" t="n"/>
      <c r="F197" s="9" t="n"/>
      <c r="G197" s="11" t="n"/>
      <c r="H197" s="9" t="n"/>
      <c r="I197" s="9" t="n"/>
      <c r="J197" s="9" t="n"/>
      <c r="K197" s="71" t="n"/>
      <c r="L197" s="30">
        <f>IF(K197="","",IF(J197="Sí",ROUND(K197*Configuracion!$B$11,0),0))</f>
        <v/>
      </c>
      <c r="M197" s="30">
        <f>IF(K197="","",K197+L197)</f>
        <v/>
      </c>
      <c r="N197" s="71" t="n"/>
      <c r="O197" s="71" t="n"/>
      <c r="P197" s="71" t="n"/>
      <c r="Q197" s="9" t="n"/>
      <c r="R197" s="9" t="n"/>
      <c r="S197" s="15">
        <f>IF(B197="","",YEAR(B197))</f>
        <v/>
      </c>
      <c r="T197" s="15">
        <f>IF(B197="","",MONTH(B197))</f>
        <v/>
      </c>
      <c r="U197" s="15">
        <f>IF(C197="","",YEAR(C197))</f>
        <v/>
      </c>
      <c r="V197" s="15">
        <f>IF(C197="","",MONTH(C197))</f>
        <v/>
      </c>
      <c r="W197" s="30">
        <f>IF(D197="","",IF(D197="Consignación",IF(O197="",0,ROUND(O197/(1+Configuracion!$B$11),0)),IF(N197="",0,ROUND(N197/(1+Configuracion!$B$11),0))))</f>
        <v/>
      </c>
      <c r="X197" s="30">
        <f>IF(W197="","",ROUND(W197*Configuracion!$B$11,0))</f>
        <v/>
      </c>
      <c r="Y197" s="30">
        <f>IF(OR(D197="",Q197&lt;&gt;"Vendido"),0,IF(D197="Consignación",0,IF(K197="",0,K197)))</f>
        <v/>
      </c>
      <c r="Z197" s="30">
        <f>IF(Q197&lt;&gt;"Vendido","",W197-Y197-IF(P197="",0,P197))</f>
        <v/>
      </c>
    </row>
    <row r="198">
      <c r="A198" s="15">
        <f>IF(D198="","",ROW()-5)</f>
        <v/>
      </c>
      <c r="B198" s="70" t="n"/>
      <c r="C198" s="70" t="n"/>
      <c r="D198" s="9" t="n"/>
      <c r="E198" s="9" t="n"/>
      <c r="F198" s="9" t="n"/>
      <c r="G198" s="11" t="n"/>
      <c r="H198" s="9" t="n"/>
      <c r="I198" s="9" t="n"/>
      <c r="J198" s="9" t="n"/>
      <c r="K198" s="71" t="n"/>
      <c r="L198" s="30">
        <f>IF(K198="","",IF(J198="Sí",ROUND(K198*Configuracion!$B$11,0),0))</f>
        <v/>
      </c>
      <c r="M198" s="30">
        <f>IF(K198="","",K198+L198)</f>
        <v/>
      </c>
      <c r="N198" s="71" t="n"/>
      <c r="O198" s="71" t="n"/>
      <c r="P198" s="71" t="n"/>
      <c r="Q198" s="9" t="n"/>
      <c r="R198" s="9" t="n"/>
      <c r="S198" s="15">
        <f>IF(B198="","",YEAR(B198))</f>
        <v/>
      </c>
      <c r="T198" s="15">
        <f>IF(B198="","",MONTH(B198))</f>
        <v/>
      </c>
      <c r="U198" s="15">
        <f>IF(C198="","",YEAR(C198))</f>
        <v/>
      </c>
      <c r="V198" s="15">
        <f>IF(C198="","",MONTH(C198))</f>
        <v/>
      </c>
      <c r="W198" s="30">
        <f>IF(D198="","",IF(D198="Consignación",IF(O198="",0,ROUND(O198/(1+Configuracion!$B$11),0)),IF(N198="",0,ROUND(N198/(1+Configuracion!$B$11),0))))</f>
        <v/>
      </c>
      <c r="X198" s="30">
        <f>IF(W198="","",ROUND(W198*Configuracion!$B$11,0))</f>
        <v/>
      </c>
      <c r="Y198" s="30">
        <f>IF(OR(D198="",Q198&lt;&gt;"Vendido"),0,IF(D198="Consignación",0,IF(K198="",0,K198)))</f>
        <v/>
      </c>
      <c r="Z198" s="30">
        <f>IF(Q198&lt;&gt;"Vendido","",W198-Y198-IF(P198="",0,P198))</f>
        <v/>
      </c>
    </row>
    <row r="199">
      <c r="A199" s="15">
        <f>IF(D199="","",ROW()-5)</f>
        <v/>
      </c>
      <c r="B199" s="70" t="n"/>
      <c r="C199" s="70" t="n"/>
      <c r="D199" s="9" t="n"/>
      <c r="E199" s="9" t="n"/>
      <c r="F199" s="9" t="n"/>
      <c r="G199" s="11" t="n"/>
      <c r="H199" s="9" t="n"/>
      <c r="I199" s="9" t="n"/>
      <c r="J199" s="9" t="n"/>
      <c r="K199" s="71" t="n"/>
      <c r="L199" s="30">
        <f>IF(K199="","",IF(J199="Sí",ROUND(K199*Configuracion!$B$11,0),0))</f>
        <v/>
      </c>
      <c r="M199" s="30">
        <f>IF(K199="","",K199+L199)</f>
        <v/>
      </c>
      <c r="N199" s="71" t="n"/>
      <c r="O199" s="71" t="n"/>
      <c r="P199" s="71" t="n"/>
      <c r="Q199" s="9" t="n"/>
      <c r="R199" s="9" t="n"/>
      <c r="S199" s="15">
        <f>IF(B199="","",YEAR(B199))</f>
        <v/>
      </c>
      <c r="T199" s="15">
        <f>IF(B199="","",MONTH(B199))</f>
        <v/>
      </c>
      <c r="U199" s="15">
        <f>IF(C199="","",YEAR(C199))</f>
        <v/>
      </c>
      <c r="V199" s="15">
        <f>IF(C199="","",MONTH(C199))</f>
        <v/>
      </c>
      <c r="W199" s="30">
        <f>IF(D199="","",IF(D199="Consignación",IF(O199="",0,ROUND(O199/(1+Configuracion!$B$11),0)),IF(N199="",0,ROUND(N199/(1+Configuracion!$B$11),0))))</f>
        <v/>
      </c>
      <c r="X199" s="30">
        <f>IF(W199="","",ROUND(W199*Configuracion!$B$11,0))</f>
        <v/>
      </c>
      <c r="Y199" s="30">
        <f>IF(OR(D199="",Q199&lt;&gt;"Vendido"),0,IF(D199="Consignación",0,IF(K199="",0,K199)))</f>
        <v/>
      </c>
      <c r="Z199" s="30">
        <f>IF(Q199&lt;&gt;"Vendido","",W199-Y199-IF(P199="",0,P199))</f>
        <v/>
      </c>
    </row>
    <row r="200">
      <c r="A200" s="15">
        <f>IF(D200="","",ROW()-5)</f>
        <v/>
      </c>
      <c r="B200" s="70" t="n"/>
      <c r="C200" s="70" t="n"/>
      <c r="D200" s="9" t="n"/>
      <c r="E200" s="9" t="n"/>
      <c r="F200" s="9" t="n"/>
      <c r="G200" s="11" t="n"/>
      <c r="H200" s="9" t="n"/>
      <c r="I200" s="9" t="n"/>
      <c r="J200" s="9" t="n"/>
      <c r="K200" s="71" t="n"/>
      <c r="L200" s="30">
        <f>IF(K200="","",IF(J200="Sí",ROUND(K200*Configuracion!$B$11,0),0))</f>
        <v/>
      </c>
      <c r="M200" s="30">
        <f>IF(K200="","",K200+L200)</f>
        <v/>
      </c>
      <c r="N200" s="71" t="n"/>
      <c r="O200" s="71" t="n"/>
      <c r="P200" s="71" t="n"/>
      <c r="Q200" s="9" t="n"/>
      <c r="R200" s="9" t="n"/>
      <c r="S200" s="15">
        <f>IF(B200="","",YEAR(B200))</f>
        <v/>
      </c>
      <c r="T200" s="15">
        <f>IF(B200="","",MONTH(B200))</f>
        <v/>
      </c>
      <c r="U200" s="15">
        <f>IF(C200="","",YEAR(C200))</f>
        <v/>
      </c>
      <c r="V200" s="15">
        <f>IF(C200="","",MONTH(C200))</f>
        <v/>
      </c>
      <c r="W200" s="30">
        <f>IF(D200="","",IF(D200="Consignación",IF(O200="",0,ROUND(O200/(1+Configuracion!$B$11),0)),IF(N200="",0,ROUND(N200/(1+Configuracion!$B$11),0))))</f>
        <v/>
      </c>
      <c r="X200" s="30">
        <f>IF(W200="","",ROUND(W200*Configuracion!$B$11,0))</f>
        <v/>
      </c>
      <c r="Y200" s="30">
        <f>IF(OR(D200="",Q200&lt;&gt;"Vendido"),0,IF(D200="Consignación",0,IF(K200="",0,K200)))</f>
        <v/>
      </c>
      <c r="Z200" s="30">
        <f>IF(Q200&lt;&gt;"Vendido","",W200-Y200-IF(P200="",0,P200))</f>
        <v/>
      </c>
    </row>
    <row r="201">
      <c r="A201" s="15">
        <f>IF(D201="","",ROW()-5)</f>
        <v/>
      </c>
      <c r="B201" s="70" t="n"/>
      <c r="C201" s="70" t="n"/>
      <c r="D201" s="9" t="n"/>
      <c r="E201" s="9" t="n"/>
      <c r="F201" s="9" t="n"/>
      <c r="G201" s="11" t="n"/>
      <c r="H201" s="9" t="n"/>
      <c r="I201" s="9" t="n"/>
      <c r="J201" s="9" t="n"/>
      <c r="K201" s="71" t="n"/>
      <c r="L201" s="30">
        <f>IF(K201="","",IF(J201="Sí",ROUND(K201*Configuracion!$B$11,0),0))</f>
        <v/>
      </c>
      <c r="M201" s="30">
        <f>IF(K201="","",K201+L201)</f>
        <v/>
      </c>
      <c r="N201" s="71" t="n"/>
      <c r="O201" s="71" t="n"/>
      <c r="P201" s="71" t="n"/>
      <c r="Q201" s="9" t="n"/>
      <c r="R201" s="9" t="n"/>
      <c r="S201" s="15">
        <f>IF(B201="","",YEAR(B201))</f>
        <v/>
      </c>
      <c r="T201" s="15">
        <f>IF(B201="","",MONTH(B201))</f>
        <v/>
      </c>
      <c r="U201" s="15">
        <f>IF(C201="","",YEAR(C201))</f>
        <v/>
      </c>
      <c r="V201" s="15">
        <f>IF(C201="","",MONTH(C201))</f>
        <v/>
      </c>
      <c r="W201" s="30">
        <f>IF(D201="","",IF(D201="Consignación",IF(O201="",0,ROUND(O201/(1+Configuracion!$B$11),0)),IF(N201="",0,ROUND(N201/(1+Configuracion!$B$11),0))))</f>
        <v/>
      </c>
      <c r="X201" s="30">
        <f>IF(W201="","",ROUND(W201*Configuracion!$B$11,0))</f>
        <v/>
      </c>
      <c r="Y201" s="30">
        <f>IF(OR(D201="",Q201&lt;&gt;"Vendido"),0,IF(D201="Consignación",0,IF(K201="",0,K201)))</f>
        <v/>
      </c>
      <c r="Z201" s="30">
        <f>IF(Q201&lt;&gt;"Vendido","",W201-Y201-IF(P201="",0,P201))</f>
        <v/>
      </c>
    </row>
    <row r="202">
      <c r="A202" s="15">
        <f>IF(D202="","",ROW()-5)</f>
        <v/>
      </c>
      <c r="B202" s="70" t="n"/>
      <c r="C202" s="70" t="n"/>
      <c r="D202" s="9" t="n"/>
      <c r="E202" s="9" t="n"/>
      <c r="F202" s="9" t="n"/>
      <c r="G202" s="11" t="n"/>
      <c r="H202" s="9" t="n"/>
      <c r="I202" s="9" t="n"/>
      <c r="J202" s="9" t="n"/>
      <c r="K202" s="71" t="n"/>
      <c r="L202" s="30">
        <f>IF(K202="","",IF(J202="Sí",ROUND(K202*Configuracion!$B$11,0),0))</f>
        <v/>
      </c>
      <c r="M202" s="30">
        <f>IF(K202="","",K202+L202)</f>
        <v/>
      </c>
      <c r="N202" s="71" t="n"/>
      <c r="O202" s="71" t="n"/>
      <c r="P202" s="71" t="n"/>
      <c r="Q202" s="9" t="n"/>
      <c r="R202" s="9" t="n"/>
      <c r="S202" s="15">
        <f>IF(B202="","",YEAR(B202))</f>
        <v/>
      </c>
      <c r="T202" s="15">
        <f>IF(B202="","",MONTH(B202))</f>
        <v/>
      </c>
      <c r="U202" s="15">
        <f>IF(C202="","",YEAR(C202))</f>
        <v/>
      </c>
      <c r="V202" s="15">
        <f>IF(C202="","",MONTH(C202))</f>
        <v/>
      </c>
      <c r="W202" s="30">
        <f>IF(D202="","",IF(D202="Consignación",IF(O202="",0,ROUND(O202/(1+Configuracion!$B$11),0)),IF(N202="",0,ROUND(N202/(1+Configuracion!$B$11),0))))</f>
        <v/>
      </c>
      <c r="X202" s="30">
        <f>IF(W202="","",ROUND(W202*Configuracion!$B$11,0))</f>
        <v/>
      </c>
      <c r="Y202" s="30">
        <f>IF(OR(D202="",Q202&lt;&gt;"Vendido"),0,IF(D202="Consignación",0,IF(K202="",0,K202)))</f>
        <v/>
      </c>
      <c r="Z202" s="30">
        <f>IF(Q202&lt;&gt;"Vendido","",W202-Y202-IF(P202="",0,P202))</f>
        <v/>
      </c>
    </row>
    <row r="203">
      <c r="A203" s="15">
        <f>IF(D203="","",ROW()-5)</f>
        <v/>
      </c>
      <c r="B203" s="70" t="n"/>
      <c r="C203" s="70" t="n"/>
      <c r="D203" s="9" t="n"/>
      <c r="E203" s="9" t="n"/>
      <c r="F203" s="9" t="n"/>
      <c r="G203" s="11" t="n"/>
      <c r="H203" s="9" t="n"/>
      <c r="I203" s="9" t="n"/>
      <c r="J203" s="9" t="n"/>
      <c r="K203" s="71" t="n"/>
      <c r="L203" s="30">
        <f>IF(K203="","",IF(J203="Sí",ROUND(K203*Configuracion!$B$11,0),0))</f>
        <v/>
      </c>
      <c r="M203" s="30">
        <f>IF(K203="","",K203+L203)</f>
        <v/>
      </c>
      <c r="N203" s="71" t="n"/>
      <c r="O203" s="71" t="n"/>
      <c r="P203" s="71" t="n"/>
      <c r="Q203" s="9" t="n"/>
      <c r="R203" s="9" t="n"/>
      <c r="S203" s="15">
        <f>IF(B203="","",YEAR(B203))</f>
        <v/>
      </c>
      <c r="T203" s="15">
        <f>IF(B203="","",MONTH(B203))</f>
        <v/>
      </c>
      <c r="U203" s="15">
        <f>IF(C203="","",YEAR(C203))</f>
        <v/>
      </c>
      <c r="V203" s="15">
        <f>IF(C203="","",MONTH(C203))</f>
        <v/>
      </c>
      <c r="W203" s="30">
        <f>IF(D203="","",IF(D203="Consignación",IF(O203="",0,ROUND(O203/(1+Configuracion!$B$11),0)),IF(N203="",0,ROUND(N203/(1+Configuracion!$B$11),0))))</f>
        <v/>
      </c>
      <c r="X203" s="30">
        <f>IF(W203="","",ROUND(W203*Configuracion!$B$11,0))</f>
        <v/>
      </c>
      <c r="Y203" s="30">
        <f>IF(OR(D203="",Q203&lt;&gt;"Vendido"),0,IF(D203="Consignación",0,IF(K203="",0,K203)))</f>
        <v/>
      </c>
      <c r="Z203" s="30">
        <f>IF(Q203&lt;&gt;"Vendido","",W203-Y203-IF(P203="",0,P203))</f>
        <v/>
      </c>
    </row>
    <row r="204">
      <c r="A204" s="15">
        <f>IF(D204="","",ROW()-5)</f>
        <v/>
      </c>
      <c r="B204" s="70" t="n"/>
      <c r="C204" s="70" t="n"/>
      <c r="D204" s="9" t="n"/>
      <c r="E204" s="9" t="n"/>
      <c r="F204" s="9" t="n"/>
      <c r="G204" s="11" t="n"/>
      <c r="H204" s="9" t="n"/>
      <c r="I204" s="9" t="n"/>
      <c r="J204" s="9" t="n"/>
      <c r="K204" s="71" t="n"/>
      <c r="L204" s="30">
        <f>IF(K204="","",IF(J204="Sí",ROUND(K204*Configuracion!$B$11,0),0))</f>
        <v/>
      </c>
      <c r="M204" s="30">
        <f>IF(K204="","",K204+L204)</f>
        <v/>
      </c>
      <c r="N204" s="71" t="n"/>
      <c r="O204" s="71" t="n"/>
      <c r="P204" s="71" t="n"/>
      <c r="Q204" s="9" t="n"/>
      <c r="R204" s="9" t="n"/>
      <c r="S204" s="15">
        <f>IF(B204="","",YEAR(B204))</f>
        <v/>
      </c>
      <c r="T204" s="15">
        <f>IF(B204="","",MONTH(B204))</f>
        <v/>
      </c>
      <c r="U204" s="15">
        <f>IF(C204="","",YEAR(C204))</f>
        <v/>
      </c>
      <c r="V204" s="15">
        <f>IF(C204="","",MONTH(C204))</f>
        <v/>
      </c>
      <c r="W204" s="30">
        <f>IF(D204="","",IF(D204="Consignación",IF(O204="",0,ROUND(O204/(1+Configuracion!$B$11),0)),IF(N204="",0,ROUND(N204/(1+Configuracion!$B$11),0))))</f>
        <v/>
      </c>
      <c r="X204" s="30">
        <f>IF(W204="","",ROUND(W204*Configuracion!$B$11,0))</f>
        <v/>
      </c>
      <c r="Y204" s="30">
        <f>IF(OR(D204="",Q204&lt;&gt;"Vendido"),0,IF(D204="Consignación",0,IF(K204="",0,K204)))</f>
        <v/>
      </c>
      <c r="Z204" s="30">
        <f>IF(Q204&lt;&gt;"Vendido","",W204-Y204-IF(P204="",0,P204))</f>
        <v/>
      </c>
    </row>
    <row r="205">
      <c r="A205" s="15">
        <f>IF(D205="","",ROW()-5)</f>
        <v/>
      </c>
      <c r="B205" s="70" t="n"/>
      <c r="C205" s="70" t="n"/>
      <c r="D205" s="9" t="n"/>
      <c r="E205" s="9" t="n"/>
      <c r="F205" s="9" t="n"/>
      <c r="G205" s="11" t="n"/>
      <c r="H205" s="9" t="n"/>
      <c r="I205" s="9" t="n"/>
      <c r="J205" s="9" t="n"/>
      <c r="K205" s="71" t="n"/>
      <c r="L205" s="30">
        <f>IF(K205="","",IF(J205="Sí",ROUND(K205*Configuracion!$B$11,0),0))</f>
        <v/>
      </c>
      <c r="M205" s="30">
        <f>IF(K205="","",K205+L205)</f>
        <v/>
      </c>
      <c r="N205" s="71" t="n"/>
      <c r="O205" s="71" t="n"/>
      <c r="P205" s="71" t="n"/>
      <c r="Q205" s="9" t="n"/>
      <c r="R205" s="9" t="n"/>
      <c r="S205" s="15">
        <f>IF(B205="","",YEAR(B205))</f>
        <v/>
      </c>
      <c r="T205" s="15">
        <f>IF(B205="","",MONTH(B205))</f>
        <v/>
      </c>
      <c r="U205" s="15">
        <f>IF(C205="","",YEAR(C205))</f>
        <v/>
      </c>
      <c r="V205" s="15">
        <f>IF(C205="","",MONTH(C205))</f>
        <v/>
      </c>
      <c r="W205" s="30">
        <f>IF(D205="","",IF(D205="Consignación",IF(O205="",0,ROUND(O205/(1+Configuracion!$B$11),0)),IF(N205="",0,ROUND(N205/(1+Configuracion!$B$11),0))))</f>
        <v/>
      </c>
      <c r="X205" s="30">
        <f>IF(W205="","",ROUND(W205*Configuracion!$B$11,0))</f>
        <v/>
      </c>
      <c r="Y205" s="30">
        <f>IF(OR(D205="",Q205&lt;&gt;"Vendido"),0,IF(D205="Consignación",0,IF(K205="",0,K205)))</f>
        <v/>
      </c>
      <c r="Z205" s="30">
        <f>IF(Q205&lt;&gt;"Vendido","",W205-Y205-IF(P205="",0,P205))</f>
        <v/>
      </c>
    </row>
  </sheetData>
  <autoFilter ref="A5:Z205"/>
  <mergeCells count="3">
    <mergeCell ref="A1:Z1"/>
    <mergeCell ref="A3:Z3"/>
    <mergeCell ref="A2:Z2"/>
  </mergeCells>
  <conditionalFormatting sqref="Z6:Z205">
    <cfRule type="cellIs" priority="1" operator="lessThan" dxfId="0">
      <formula>0</formula>
    </cfRule>
    <cfRule type="cellIs" priority="2" operator="greaterThan" dxfId="1">
      <formula>0</formula>
    </cfRule>
  </conditionalFormatting>
  <dataValidations count="3">
    <dataValidation sqref="D6:D205" showDropDown="0" showInputMessage="1" showErrorMessage="1" allowBlank="1" errorTitle="Valor no válido" error="Use un valor de la lista." promptTitle="Lista" prompt="Elija un valor" type="list">
      <formula1>"Nuevo,Usado,Consignación"</formula1>
    </dataValidation>
    <dataValidation sqref="J6:J205" showDropDown="0" showInputMessage="1" showErrorMessage="1" allowBlank="1" errorTitle="Valor no válido" error="Use un valor de la lista." promptTitle="Lista" prompt="Elija un valor" type="list">
      <formula1>"Sí,No"</formula1>
    </dataValidation>
    <dataValidation sqref="Q6:Q205" showDropDown="0" showInputMessage="1" showErrorMessage="1" allowBlank="1" errorTitle="Valor no válido" error="Use un valor de la lista." promptTitle="Lista" prompt="Elija un valor" type="list">
      <formula1>"Stock,Vendido,Reservado,En consignación,Devuelto"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>&amp;LControl financiero automotora</oddHeader>
    <oddFooter>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38A169"/>
    <outlinePr summaryBelow="1" summaryRight="1"/>
    <pageSetUpPr fitToPage="1"/>
  </sheetPr>
  <dimension ref="A1:N205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22" customWidth="1" min="4" max="4"/>
    <col width="28" customWidth="1" min="5" max="5"/>
    <col width="14" customWidth="1" min="6" max="6"/>
    <col width="12" customWidth="1" min="7" max="7"/>
    <col width="14" customWidth="1" min="8" max="8"/>
    <col width="13" customWidth="1" min="9" max="9"/>
    <col width="16" customWidth="1" min="10" max="10"/>
    <col width="13" customWidth="1" min="11" max="11"/>
    <col width="13" customWidth="1" min="12" max="12"/>
    <col width="10" customWidth="1" min="13" max="13"/>
    <col width="8" customWidth="1" min="14" max="14"/>
  </cols>
  <sheetData>
    <row r="1" ht="28" customHeight="1">
      <c r="A1" s="1" t="inlineStr">
        <is>
          <t xml:space="preserve">  Taller y repuestos</t>
        </is>
      </c>
    </row>
    <row r="2" ht="20" customHeight="1">
      <c r="A2" s="3" t="inlineStr">
        <is>
          <t xml:space="preserve">  Mano de obra, OT y mostrador. Neto = sin IVA. El margen es venta neta − costo neto.</t>
        </is>
      </c>
    </row>
    <row r="3">
      <c r="A3" s="6" t="inlineStr">
        <is>
          <t>Si el costo viene con factura, marca Costo afecto IVA = Sí para que sume al crédito fiscal.</t>
        </is>
      </c>
    </row>
    <row r="5" ht="32" customHeight="1">
      <c r="A5" s="26" t="inlineStr">
        <is>
          <t>Fecha</t>
        </is>
      </c>
      <c r="B5" s="26" t="inlineStr">
        <is>
          <t>Tipo</t>
        </is>
      </c>
      <c r="C5" s="26" t="inlineStr">
        <is>
          <t>Documento / OT</t>
        </is>
      </c>
      <c r="D5" s="26" t="inlineStr">
        <is>
          <t>Cliente</t>
        </is>
      </c>
      <c r="E5" s="26" t="inlineStr">
        <is>
          <t>Descripción</t>
        </is>
      </c>
      <c r="F5" s="26" t="inlineStr">
        <is>
          <t>Venta neta</t>
        </is>
      </c>
      <c r="G5" s="26" t="inlineStr">
        <is>
          <t>IVA venta</t>
        </is>
      </c>
      <c r="H5" s="26" t="inlineStr">
        <is>
          <t>Total venta</t>
        </is>
      </c>
      <c r="I5" s="26" t="inlineStr">
        <is>
          <t>Costo neto</t>
        </is>
      </c>
      <c r="J5" s="26" t="inlineStr">
        <is>
          <t>Costo afecto IVA</t>
        </is>
      </c>
      <c r="K5" s="26" t="inlineStr">
        <is>
          <t>IVA crédito</t>
        </is>
      </c>
      <c r="L5" s="26" t="inlineStr">
        <is>
          <t>Margen</t>
        </is>
      </c>
      <c r="M5" s="69" t="inlineStr">
        <is>
          <t>Año</t>
        </is>
      </c>
      <c r="N5" s="69" t="inlineStr">
        <is>
          <t>Mes</t>
        </is>
      </c>
    </row>
    <row r="6">
      <c r="A6" s="70" t="n">
        <v>46242</v>
      </c>
      <c r="B6" s="9" t="inlineStr">
        <is>
          <t>Taller</t>
        </is>
      </c>
      <c r="C6" s="9" t="inlineStr">
        <is>
          <t>OT-0145</t>
        </is>
      </c>
      <c r="D6" s="9" t="inlineStr">
        <is>
          <t>Cliente taller</t>
        </is>
      </c>
      <c r="E6" s="9" t="inlineStr">
        <is>
          <t>Service 10.000 km</t>
        </is>
      </c>
      <c r="F6" s="71" t="n">
        <v>350000</v>
      </c>
      <c r="G6" s="30">
        <f>IF(F6="","",ROUND(F6*Configuracion!$B$11,0))</f>
        <v/>
      </c>
      <c r="H6" s="30">
        <f>IF(F6="","",F6+G6)</f>
        <v/>
      </c>
      <c r="I6" s="71" t="n">
        <v>80000</v>
      </c>
      <c r="J6" s="9" t="inlineStr">
        <is>
          <t>Sí</t>
        </is>
      </c>
      <c r="K6" s="30">
        <f>IF(I6="","",IF(J6="Sí",ROUND(I6*Configuracion!$B$11,0),0))</f>
        <v/>
      </c>
      <c r="L6" s="30">
        <f>IF(F6="","",F6-IF(I6="",0,I6))</f>
        <v/>
      </c>
      <c r="M6" s="15">
        <f>IF(A6="","",YEAR(A6))</f>
        <v/>
      </c>
      <c r="N6" s="15">
        <f>IF(A6="","",MONTH(A6))</f>
        <v/>
      </c>
    </row>
    <row r="7">
      <c r="A7" s="70" t="n">
        <v>46249</v>
      </c>
      <c r="B7" s="9" t="inlineStr">
        <is>
          <t>Repuestos</t>
        </is>
      </c>
      <c r="C7" s="9" t="inlineStr">
        <is>
          <t>FAC-889</t>
        </is>
      </c>
      <c r="D7" s="9" t="inlineStr">
        <is>
          <t>Mostrador</t>
        </is>
      </c>
      <c r="E7" s="9" t="inlineStr">
        <is>
          <t>Filtro + pastillas</t>
        </is>
      </c>
      <c r="F7" s="71" t="n">
        <v>180000</v>
      </c>
      <c r="G7" s="30">
        <f>IF(F7="","",ROUND(F7*Configuracion!$B$11,0))</f>
        <v/>
      </c>
      <c r="H7" s="30">
        <f>IF(F7="","",F7+G7)</f>
        <v/>
      </c>
      <c r="I7" s="71" t="n">
        <v>95000</v>
      </c>
      <c r="J7" s="9" t="inlineStr">
        <is>
          <t>Sí</t>
        </is>
      </c>
      <c r="K7" s="30">
        <f>IF(I7="","",IF(J7="Sí",ROUND(I7*Configuracion!$B$11,0),0))</f>
        <v/>
      </c>
      <c r="L7" s="30">
        <f>IF(F7="","",F7-IF(I7="",0,I7))</f>
        <v/>
      </c>
      <c r="M7" s="15">
        <f>IF(A7="","",YEAR(A7))</f>
        <v/>
      </c>
      <c r="N7" s="15">
        <f>IF(A7="","",MONTH(A7))</f>
        <v/>
      </c>
    </row>
    <row r="8">
      <c r="A8" s="70" t="n">
        <v>46255</v>
      </c>
      <c r="B8" s="9" t="inlineStr">
        <is>
          <t>Taller</t>
        </is>
      </c>
      <c r="C8" s="9" t="inlineStr">
        <is>
          <t>OT-0152</t>
        </is>
      </c>
      <c r="D8" s="9" t="inlineStr">
        <is>
          <t>Preparación unidad</t>
        </is>
      </c>
      <c r="E8" s="9" t="inlineStr">
        <is>
          <t>Pintura paragolpes</t>
        </is>
      </c>
      <c r="F8" s="71" t="n">
        <v>220000</v>
      </c>
      <c r="G8" s="30">
        <f>IF(F8="","",ROUND(F8*Configuracion!$B$11,0))</f>
        <v/>
      </c>
      <c r="H8" s="30">
        <f>IF(F8="","",F8+G8)</f>
        <v/>
      </c>
      <c r="I8" s="71" t="n">
        <v>110000</v>
      </c>
      <c r="J8" s="9" t="inlineStr">
        <is>
          <t>Sí</t>
        </is>
      </c>
      <c r="K8" s="30">
        <f>IF(I8="","",IF(J8="Sí",ROUND(I8*Configuracion!$B$11,0),0))</f>
        <v/>
      </c>
      <c r="L8" s="30">
        <f>IF(F8="","",F8-IF(I8="",0,I8))</f>
        <v/>
      </c>
      <c r="M8" s="15">
        <f>IF(A8="","",YEAR(A8))</f>
        <v/>
      </c>
      <c r="N8" s="15">
        <f>IF(A8="","",MONTH(A8))</f>
        <v/>
      </c>
    </row>
    <row r="9">
      <c r="A9" s="70" t="n"/>
      <c r="B9" s="9" t="n"/>
      <c r="C9" s="9" t="n"/>
      <c r="D9" s="9" t="n"/>
      <c r="E9" s="9" t="n"/>
      <c r="F9" s="71" t="n"/>
      <c r="G9" s="30">
        <f>IF(F9="","",ROUND(F9*Configuracion!$B$11,0))</f>
        <v/>
      </c>
      <c r="H9" s="30">
        <f>IF(F9="","",F9+G9)</f>
        <v/>
      </c>
      <c r="I9" s="71" t="n"/>
      <c r="J9" s="9" t="n"/>
      <c r="K9" s="30">
        <f>IF(I9="","",IF(J9="Sí",ROUND(I9*Configuracion!$B$11,0),0))</f>
        <v/>
      </c>
      <c r="L9" s="30">
        <f>IF(F9="","",F9-IF(I9="",0,I9))</f>
        <v/>
      </c>
      <c r="M9" s="15">
        <f>IF(A9="","",YEAR(A9))</f>
        <v/>
      </c>
      <c r="N9" s="15">
        <f>IF(A9="","",MONTH(A9))</f>
        <v/>
      </c>
    </row>
    <row r="10">
      <c r="A10" s="70" t="n"/>
      <c r="B10" s="9" t="n"/>
      <c r="C10" s="9" t="n"/>
      <c r="D10" s="9" t="n"/>
      <c r="E10" s="9" t="n"/>
      <c r="F10" s="71" t="n"/>
      <c r="G10" s="30">
        <f>IF(F10="","",ROUND(F10*Configuracion!$B$11,0))</f>
        <v/>
      </c>
      <c r="H10" s="30">
        <f>IF(F10="","",F10+G10)</f>
        <v/>
      </c>
      <c r="I10" s="71" t="n"/>
      <c r="J10" s="9" t="n"/>
      <c r="K10" s="30">
        <f>IF(I10="","",IF(J10="Sí",ROUND(I10*Configuracion!$B$11,0),0))</f>
        <v/>
      </c>
      <c r="L10" s="30">
        <f>IF(F10="","",F10-IF(I10="",0,I10))</f>
        <v/>
      </c>
      <c r="M10" s="15">
        <f>IF(A10="","",YEAR(A10))</f>
        <v/>
      </c>
      <c r="N10" s="15">
        <f>IF(A10="","",MONTH(A10))</f>
        <v/>
      </c>
    </row>
    <row r="11">
      <c r="A11" s="70" t="n"/>
      <c r="B11" s="9" t="n"/>
      <c r="C11" s="9" t="n"/>
      <c r="D11" s="9" t="n"/>
      <c r="E11" s="9" t="n"/>
      <c r="F11" s="71" t="n"/>
      <c r="G11" s="30">
        <f>IF(F11="","",ROUND(F11*Configuracion!$B$11,0))</f>
        <v/>
      </c>
      <c r="H11" s="30">
        <f>IF(F11="","",F11+G11)</f>
        <v/>
      </c>
      <c r="I11" s="71" t="n"/>
      <c r="J11" s="9" t="n"/>
      <c r="K11" s="30">
        <f>IF(I11="","",IF(J11="Sí",ROUND(I11*Configuracion!$B$11,0),0))</f>
        <v/>
      </c>
      <c r="L11" s="30">
        <f>IF(F11="","",F11-IF(I11="",0,I11))</f>
        <v/>
      </c>
      <c r="M11" s="15">
        <f>IF(A11="","",YEAR(A11))</f>
        <v/>
      </c>
      <c r="N11" s="15">
        <f>IF(A11="","",MONTH(A11))</f>
        <v/>
      </c>
    </row>
    <row r="12">
      <c r="A12" s="70" t="n"/>
      <c r="B12" s="9" t="n"/>
      <c r="C12" s="9" t="n"/>
      <c r="D12" s="9" t="n"/>
      <c r="E12" s="9" t="n"/>
      <c r="F12" s="71" t="n"/>
      <c r="G12" s="30">
        <f>IF(F12="","",ROUND(F12*Configuracion!$B$11,0))</f>
        <v/>
      </c>
      <c r="H12" s="30">
        <f>IF(F12="","",F12+G12)</f>
        <v/>
      </c>
      <c r="I12" s="71" t="n"/>
      <c r="J12" s="9" t="n"/>
      <c r="K12" s="30">
        <f>IF(I12="","",IF(J12="Sí",ROUND(I12*Configuracion!$B$11,0),0))</f>
        <v/>
      </c>
      <c r="L12" s="30">
        <f>IF(F12="","",F12-IF(I12="",0,I12))</f>
        <v/>
      </c>
      <c r="M12" s="15">
        <f>IF(A12="","",YEAR(A12))</f>
        <v/>
      </c>
      <c r="N12" s="15">
        <f>IF(A12="","",MONTH(A12))</f>
        <v/>
      </c>
    </row>
    <row r="13">
      <c r="A13" s="70" t="n"/>
      <c r="B13" s="9" t="n"/>
      <c r="C13" s="9" t="n"/>
      <c r="D13" s="9" t="n"/>
      <c r="E13" s="9" t="n"/>
      <c r="F13" s="71" t="n"/>
      <c r="G13" s="30">
        <f>IF(F13="","",ROUND(F13*Configuracion!$B$11,0))</f>
        <v/>
      </c>
      <c r="H13" s="30">
        <f>IF(F13="","",F13+G13)</f>
        <v/>
      </c>
      <c r="I13" s="71" t="n"/>
      <c r="J13" s="9" t="n"/>
      <c r="K13" s="30">
        <f>IF(I13="","",IF(J13="Sí",ROUND(I13*Configuracion!$B$11,0),0))</f>
        <v/>
      </c>
      <c r="L13" s="30">
        <f>IF(F13="","",F13-IF(I13="",0,I13))</f>
        <v/>
      </c>
      <c r="M13" s="15">
        <f>IF(A13="","",YEAR(A13))</f>
        <v/>
      </c>
      <c r="N13" s="15">
        <f>IF(A13="","",MONTH(A13))</f>
        <v/>
      </c>
    </row>
    <row r="14">
      <c r="A14" s="70" t="n"/>
      <c r="B14" s="9" t="n"/>
      <c r="C14" s="9" t="n"/>
      <c r="D14" s="9" t="n"/>
      <c r="E14" s="9" t="n"/>
      <c r="F14" s="71" t="n"/>
      <c r="G14" s="30">
        <f>IF(F14="","",ROUND(F14*Configuracion!$B$11,0))</f>
        <v/>
      </c>
      <c r="H14" s="30">
        <f>IF(F14="","",F14+G14)</f>
        <v/>
      </c>
      <c r="I14" s="71" t="n"/>
      <c r="J14" s="9" t="n"/>
      <c r="K14" s="30">
        <f>IF(I14="","",IF(J14="Sí",ROUND(I14*Configuracion!$B$11,0),0))</f>
        <v/>
      </c>
      <c r="L14" s="30">
        <f>IF(F14="","",F14-IF(I14="",0,I14))</f>
        <v/>
      </c>
      <c r="M14" s="15">
        <f>IF(A14="","",YEAR(A14))</f>
        <v/>
      </c>
      <c r="N14" s="15">
        <f>IF(A14="","",MONTH(A14))</f>
        <v/>
      </c>
    </row>
    <row r="15">
      <c r="A15" s="70" t="n"/>
      <c r="B15" s="9" t="n"/>
      <c r="C15" s="9" t="n"/>
      <c r="D15" s="9" t="n"/>
      <c r="E15" s="9" t="n"/>
      <c r="F15" s="71" t="n"/>
      <c r="G15" s="30">
        <f>IF(F15="","",ROUND(F15*Configuracion!$B$11,0))</f>
        <v/>
      </c>
      <c r="H15" s="30">
        <f>IF(F15="","",F15+G15)</f>
        <v/>
      </c>
      <c r="I15" s="71" t="n"/>
      <c r="J15" s="9" t="n"/>
      <c r="K15" s="30">
        <f>IF(I15="","",IF(J15="Sí",ROUND(I15*Configuracion!$B$11,0),0))</f>
        <v/>
      </c>
      <c r="L15" s="30">
        <f>IF(F15="","",F15-IF(I15="",0,I15))</f>
        <v/>
      </c>
      <c r="M15" s="15">
        <f>IF(A15="","",YEAR(A15))</f>
        <v/>
      </c>
      <c r="N15" s="15">
        <f>IF(A15="","",MONTH(A15))</f>
        <v/>
      </c>
    </row>
    <row r="16">
      <c r="A16" s="70" t="n"/>
      <c r="B16" s="9" t="n"/>
      <c r="C16" s="9" t="n"/>
      <c r="D16" s="9" t="n"/>
      <c r="E16" s="9" t="n"/>
      <c r="F16" s="71" t="n"/>
      <c r="G16" s="30">
        <f>IF(F16="","",ROUND(F16*Configuracion!$B$11,0))</f>
        <v/>
      </c>
      <c r="H16" s="30">
        <f>IF(F16="","",F16+G16)</f>
        <v/>
      </c>
      <c r="I16" s="71" t="n"/>
      <c r="J16" s="9" t="n"/>
      <c r="K16" s="30">
        <f>IF(I16="","",IF(J16="Sí",ROUND(I16*Configuracion!$B$11,0),0))</f>
        <v/>
      </c>
      <c r="L16" s="30">
        <f>IF(F16="","",F16-IF(I16="",0,I16))</f>
        <v/>
      </c>
      <c r="M16" s="15">
        <f>IF(A16="","",YEAR(A16))</f>
        <v/>
      </c>
      <c r="N16" s="15">
        <f>IF(A16="","",MONTH(A16))</f>
        <v/>
      </c>
    </row>
    <row r="17">
      <c r="A17" s="70" t="n"/>
      <c r="B17" s="9" t="n"/>
      <c r="C17" s="9" t="n"/>
      <c r="D17" s="9" t="n"/>
      <c r="E17" s="9" t="n"/>
      <c r="F17" s="71" t="n"/>
      <c r="G17" s="30">
        <f>IF(F17="","",ROUND(F17*Configuracion!$B$11,0))</f>
        <v/>
      </c>
      <c r="H17" s="30">
        <f>IF(F17="","",F17+G17)</f>
        <v/>
      </c>
      <c r="I17" s="71" t="n"/>
      <c r="J17" s="9" t="n"/>
      <c r="K17" s="30">
        <f>IF(I17="","",IF(J17="Sí",ROUND(I17*Configuracion!$B$11,0),0))</f>
        <v/>
      </c>
      <c r="L17" s="30">
        <f>IF(F17="","",F17-IF(I17="",0,I17))</f>
        <v/>
      </c>
      <c r="M17" s="15">
        <f>IF(A17="","",YEAR(A17))</f>
        <v/>
      </c>
      <c r="N17" s="15">
        <f>IF(A17="","",MONTH(A17))</f>
        <v/>
      </c>
    </row>
    <row r="18">
      <c r="A18" s="70" t="n"/>
      <c r="B18" s="9" t="n"/>
      <c r="C18" s="9" t="n"/>
      <c r="D18" s="9" t="n"/>
      <c r="E18" s="9" t="n"/>
      <c r="F18" s="71" t="n"/>
      <c r="G18" s="30">
        <f>IF(F18="","",ROUND(F18*Configuracion!$B$11,0))</f>
        <v/>
      </c>
      <c r="H18" s="30">
        <f>IF(F18="","",F18+G18)</f>
        <v/>
      </c>
      <c r="I18" s="71" t="n"/>
      <c r="J18" s="9" t="n"/>
      <c r="K18" s="30">
        <f>IF(I18="","",IF(J18="Sí",ROUND(I18*Configuracion!$B$11,0),0))</f>
        <v/>
      </c>
      <c r="L18" s="30">
        <f>IF(F18="","",F18-IF(I18="",0,I18))</f>
        <v/>
      </c>
      <c r="M18" s="15">
        <f>IF(A18="","",YEAR(A18))</f>
        <v/>
      </c>
      <c r="N18" s="15">
        <f>IF(A18="","",MONTH(A18))</f>
        <v/>
      </c>
    </row>
    <row r="19">
      <c r="A19" s="70" t="n"/>
      <c r="B19" s="9" t="n"/>
      <c r="C19" s="9" t="n"/>
      <c r="D19" s="9" t="n"/>
      <c r="E19" s="9" t="n"/>
      <c r="F19" s="71" t="n"/>
      <c r="G19" s="30">
        <f>IF(F19="","",ROUND(F19*Configuracion!$B$11,0))</f>
        <v/>
      </c>
      <c r="H19" s="30">
        <f>IF(F19="","",F19+G19)</f>
        <v/>
      </c>
      <c r="I19" s="71" t="n"/>
      <c r="J19" s="9" t="n"/>
      <c r="K19" s="30">
        <f>IF(I19="","",IF(J19="Sí",ROUND(I19*Configuracion!$B$11,0),0))</f>
        <v/>
      </c>
      <c r="L19" s="30">
        <f>IF(F19="","",F19-IF(I19="",0,I19))</f>
        <v/>
      </c>
      <c r="M19" s="15">
        <f>IF(A19="","",YEAR(A19))</f>
        <v/>
      </c>
      <c r="N19" s="15">
        <f>IF(A19="","",MONTH(A19))</f>
        <v/>
      </c>
    </row>
    <row r="20">
      <c r="A20" s="70" t="n"/>
      <c r="B20" s="9" t="n"/>
      <c r="C20" s="9" t="n"/>
      <c r="D20" s="9" t="n"/>
      <c r="E20" s="9" t="n"/>
      <c r="F20" s="71" t="n"/>
      <c r="G20" s="30">
        <f>IF(F20="","",ROUND(F20*Configuracion!$B$11,0))</f>
        <v/>
      </c>
      <c r="H20" s="30">
        <f>IF(F20="","",F20+G20)</f>
        <v/>
      </c>
      <c r="I20" s="71" t="n"/>
      <c r="J20" s="9" t="n"/>
      <c r="K20" s="30">
        <f>IF(I20="","",IF(J20="Sí",ROUND(I20*Configuracion!$B$11,0),0))</f>
        <v/>
      </c>
      <c r="L20" s="30">
        <f>IF(F20="","",F20-IF(I20="",0,I20))</f>
        <v/>
      </c>
      <c r="M20" s="15">
        <f>IF(A20="","",YEAR(A20))</f>
        <v/>
      </c>
      <c r="N20" s="15">
        <f>IF(A20="","",MONTH(A20))</f>
        <v/>
      </c>
    </row>
    <row r="21">
      <c r="A21" s="70" t="n"/>
      <c r="B21" s="9" t="n"/>
      <c r="C21" s="9" t="n"/>
      <c r="D21" s="9" t="n"/>
      <c r="E21" s="9" t="n"/>
      <c r="F21" s="71" t="n"/>
      <c r="G21" s="30">
        <f>IF(F21="","",ROUND(F21*Configuracion!$B$11,0))</f>
        <v/>
      </c>
      <c r="H21" s="30">
        <f>IF(F21="","",F21+G21)</f>
        <v/>
      </c>
      <c r="I21" s="71" t="n"/>
      <c r="J21" s="9" t="n"/>
      <c r="K21" s="30">
        <f>IF(I21="","",IF(J21="Sí",ROUND(I21*Configuracion!$B$11,0),0))</f>
        <v/>
      </c>
      <c r="L21" s="30">
        <f>IF(F21="","",F21-IF(I21="",0,I21))</f>
        <v/>
      </c>
      <c r="M21" s="15">
        <f>IF(A21="","",YEAR(A21))</f>
        <v/>
      </c>
      <c r="N21" s="15">
        <f>IF(A21="","",MONTH(A21))</f>
        <v/>
      </c>
    </row>
    <row r="22">
      <c r="A22" s="70" t="n"/>
      <c r="B22" s="9" t="n"/>
      <c r="C22" s="9" t="n"/>
      <c r="D22" s="9" t="n"/>
      <c r="E22" s="9" t="n"/>
      <c r="F22" s="71" t="n"/>
      <c r="G22" s="30">
        <f>IF(F22="","",ROUND(F22*Configuracion!$B$11,0))</f>
        <v/>
      </c>
      <c r="H22" s="30">
        <f>IF(F22="","",F22+G22)</f>
        <v/>
      </c>
      <c r="I22" s="71" t="n"/>
      <c r="J22" s="9" t="n"/>
      <c r="K22" s="30">
        <f>IF(I22="","",IF(J22="Sí",ROUND(I22*Configuracion!$B$11,0),0))</f>
        <v/>
      </c>
      <c r="L22" s="30">
        <f>IF(F22="","",F22-IF(I22="",0,I22))</f>
        <v/>
      </c>
      <c r="M22" s="15">
        <f>IF(A22="","",YEAR(A22))</f>
        <v/>
      </c>
      <c r="N22" s="15">
        <f>IF(A22="","",MONTH(A22))</f>
        <v/>
      </c>
    </row>
    <row r="23">
      <c r="A23" s="70" t="n"/>
      <c r="B23" s="9" t="n"/>
      <c r="C23" s="9" t="n"/>
      <c r="D23" s="9" t="n"/>
      <c r="E23" s="9" t="n"/>
      <c r="F23" s="71" t="n"/>
      <c r="G23" s="30">
        <f>IF(F23="","",ROUND(F23*Configuracion!$B$11,0))</f>
        <v/>
      </c>
      <c r="H23" s="30">
        <f>IF(F23="","",F23+G23)</f>
        <v/>
      </c>
      <c r="I23" s="71" t="n"/>
      <c r="J23" s="9" t="n"/>
      <c r="K23" s="30">
        <f>IF(I23="","",IF(J23="Sí",ROUND(I23*Configuracion!$B$11,0),0))</f>
        <v/>
      </c>
      <c r="L23" s="30">
        <f>IF(F23="","",F23-IF(I23="",0,I23))</f>
        <v/>
      </c>
      <c r="M23" s="15">
        <f>IF(A23="","",YEAR(A23))</f>
        <v/>
      </c>
      <c r="N23" s="15">
        <f>IF(A23="","",MONTH(A23))</f>
        <v/>
      </c>
    </row>
    <row r="24">
      <c r="A24" s="70" t="n"/>
      <c r="B24" s="9" t="n"/>
      <c r="C24" s="9" t="n"/>
      <c r="D24" s="9" t="n"/>
      <c r="E24" s="9" t="n"/>
      <c r="F24" s="71" t="n"/>
      <c r="G24" s="30">
        <f>IF(F24="","",ROUND(F24*Configuracion!$B$11,0))</f>
        <v/>
      </c>
      <c r="H24" s="30">
        <f>IF(F24="","",F24+G24)</f>
        <v/>
      </c>
      <c r="I24" s="71" t="n"/>
      <c r="J24" s="9" t="n"/>
      <c r="K24" s="30">
        <f>IF(I24="","",IF(J24="Sí",ROUND(I24*Configuracion!$B$11,0),0))</f>
        <v/>
      </c>
      <c r="L24" s="30">
        <f>IF(F24="","",F24-IF(I24="",0,I24))</f>
        <v/>
      </c>
      <c r="M24" s="15">
        <f>IF(A24="","",YEAR(A24))</f>
        <v/>
      </c>
      <c r="N24" s="15">
        <f>IF(A24="","",MONTH(A24))</f>
        <v/>
      </c>
    </row>
    <row r="25">
      <c r="A25" s="70" t="n"/>
      <c r="B25" s="9" t="n"/>
      <c r="C25" s="9" t="n"/>
      <c r="D25" s="9" t="n"/>
      <c r="E25" s="9" t="n"/>
      <c r="F25" s="71" t="n"/>
      <c r="G25" s="30">
        <f>IF(F25="","",ROUND(F25*Configuracion!$B$11,0))</f>
        <v/>
      </c>
      <c r="H25" s="30">
        <f>IF(F25="","",F25+G25)</f>
        <v/>
      </c>
      <c r="I25" s="71" t="n"/>
      <c r="J25" s="9" t="n"/>
      <c r="K25" s="30">
        <f>IF(I25="","",IF(J25="Sí",ROUND(I25*Configuracion!$B$11,0),0))</f>
        <v/>
      </c>
      <c r="L25" s="30">
        <f>IF(F25="","",F25-IF(I25="",0,I25))</f>
        <v/>
      </c>
      <c r="M25" s="15">
        <f>IF(A25="","",YEAR(A25))</f>
        <v/>
      </c>
      <c r="N25" s="15">
        <f>IF(A25="","",MONTH(A25))</f>
        <v/>
      </c>
    </row>
    <row r="26">
      <c r="A26" s="70" t="n"/>
      <c r="B26" s="9" t="n"/>
      <c r="C26" s="9" t="n"/>
      <c r="D26" s="9" t="n"/>
      <c r="E26" s="9" t="n"/>
      <c r="F26" s="71" t="n"/>
      <c r="G26" s="30">
        <f>IF(F26="","",ROUND(F26*Configuracion!$B$11,0))</f>
        <v/>
      </c>
      <c r="H26" s="30">
        <f>IF(F26="","",F26+G26)</f>
        <v/>
      </c>
      <c r="I26" s="71" t="n"/>
      <c r="J26" s="9" t="n"/>
      <c r="K26" s="30">
        <f>IF(I26="","",IF(J26="Sí",ROUND(I26*Configuracion!$B$11,0),0))</f>
        <v/>
      </c>
      <c r="L26" s="30">
        <f>IF(F26="","",F26-IF(I26="",0,I26))</f>
        <v/>
      </c>
      <c r="M26" s="15">
        <f>IF(A26="","",YEAR(A26))</f>
        <v/>
      </c>
      <c r="N26" s="15">
        <f>IF(A26="","",MONTH(A26))</f>
        <v/>
      </c>
    </row>
    <row r="27">
      <c r="A27" s="70" t="n"/>
      <c r="B27" s="9" t="n"/>
      <c r="C27" s="9" t="n"/>
      <c r="D27" s="9" t="n"/>
      <c r="E27" s="9" t="n"/>
      <c r="F27" s="71" t="n"/>
      <c r="G27" s="30">
        <f>IF(F27="","",ROUND(F27*Configuracion!$B$11,0))</f>
        <v/>
      </c>
      <c r="H27" s="30">
        <f>IF(F27="","",F27+G27)</f>
        <v/>
      </c>
      <c r="I27" s="71" t="n"/>
      <c r="J27" s="9" t="n"/>
      <c r="K27" s="30">
        <f>IF(I27="","",IF(J27="Sí",ROUND(I27*Configuracion!$B$11,0),0))</f>
        <v/>
      </c>
      <c r="L27" s="30">
        <f>IF(F27="","",F27-IF(I27="",0,I27))</f>
        <v/>
      </c>
      <c r="M27" s="15">
        <f>IF(A27="","",YEAR(A27))</f>
        <v/>
      </c>
      <c r="N27" s="15">
        <f>IF(A27="","",MONTH(A27))</f>
        <v/>
      </c>
    </row>
    <row r="28">
      <c r="A28" s="70" t="n"/>
      <c r="B28" s="9" t="n"/>
      <c r="C28" s="9" t="n"/>
      <c r="D28" s="9" t="n"/>
      <c r="E28" s="9" t="n"/>
      <c r="F28" s="71" t="n"/>
      <c r="G28" s="30">
        <f>IF(F28="","",ROUND(F28*Configuracion!$B$11,0))</f>
        <v/>
      </c>
      <c r="H28" s="30">
        <f>IF(F28="","",F28+G28)</f>
        <v/>
      </c>
      <c r="I28" s="71" t="n"/>
      <c r="J28" s="9" t="n"/>
      <c r="K28" s="30">
        <f>IF(I28="","",IF(J28="Sí",ROUND(I28*Configuracion!$B$11,0),0))</f>
        <v/>
      </c>
      <c r="L28" s="30">
        <f>IF(F28="","",F28-IF(I28="",0,I28))</f>
        <v/>
      </c>
      <c r="M28" s="15">
        <f>IF(A28="","",YEAR(A28))</f>
        <v/>
      </c>
      <c r="N28" s="15">
        <f>IF(A28="","",MONTH(A28))</f>
        <v/>
      </c>
    </row>
    <row r="29">
      <c r="A29" s="70" t="n"/>
      <c r="B29" s="9" t="n"/>
      <c r="C29" s="9" t="n"/>
      <c r="D29" s="9" t="n"/>
      <c r="E29" s="9" t="n"/>
      <c r="F29" s="71" t="n"/>
      <c r="G29" s="30">
        <f>IF(F29="","",ROUND(F29*Configuracion!$B$11,0))</f>
        <v/>
      </c>
      <c r="H29" s="30">
        <f>IF(F29="","",F29+G29)</f>
        <v/>
      </c>
      <c r="I29" s="71" t="n"/>
      <c r="J29" s="9" t="n"/>
      <c r="K29" s="30">
        <f>IF(I29="","",IF(J29="Sí",ROUND(I29*Configuracion!$B$11,0),0))</f>
        <v/>
      </c>
      <c r="L29" s="30">
        <f>IF(F29="","",F29-IF(I29="",0,I29))</f>
        <v/>
      </c>
      <c r="M29" s="15">
        <f>IF(A29="","",YEAR(A29))</f>
        <v/>
      </c>
      <c r="N29" s="15">
        <f>IF(A29="","",MONTH(A29))</f>
        <v/>
      </c>
    </row>
    <row r="30">
      <c r="A30" s="70" t="n"/>
      <c r="B30" s="9" t="n"/>
      <c r="C30" s="9" t="n"/>
      <c r="D30" s="9" t="n"/>
      <c r="E30" s="9" t="n"/>
      <c r="F30" s="71" t="n"/>
      <c r="G30" s="30">
        <f>IF(F30="","",ROUND(F30*Configuracion!$B$11,0))</f>
        <v/>
      </c>
      <c r="H30" s="30">
        <f>IF(F30="","",F30+G30)</f>
        <v/>
      </c>
      <c r="I30" s="71" t="n"/>
      <c r="J30" s="9" t="n"/>
      <c r="K30" s="30">
        <f>IF(I30="","",IF(J30="Sí",ROUND(I30*Configuracion!$B$11,0),0))</f>
        <v/>
      </c>
      <c r="L30" s="30">
        <f>IF(F30="","",F30-IF(I30="",0,I30))</f>
        <v/>
      </c>
      <c r="M30" s="15">
        <f>IF(A30="","",YEAR(A30))</f>
        <v/>
      </c>
      <c r="N30" s="15">
        <f>IF(A30="","",MONTH(A30))</f>
        <v/>
      </c>
    </row>
    <row r="31">
      <c r="A31" s="70" t="n"/>
      <c r="B31" s="9" t="n"/>
      <c r="C31" s="9" t="n"/>
      <c r="D31" s="9" t="n"/>
      <c r="E31" s="9" t="n"/>
      <c r="F31" s="71" t="n"/>
      <c r="G31" s="30">
        <f>IF(F31="","",ROUND(F31*Configuracion!$B$11,0))</f>
        <v/>
      </c>
      <c r="H31" s="30">
        <f>IF(F31="","",F31+G31)</f>
        <v/>
      </c>
      <c r="I31" s="71" t="n"/>
      <c r="J31" s="9" t="n"/>
      <c r="K31" s="30">
        <f>IF(I31="","",IF(J31="Sí",ROUND(I31*Configuracion!$B$11,0),0))</f>
        <v/>
      </c>
      <c r="L31" s="30">
        <f>IF(F31="","",F31-IF(I31="",0,I31))</f>
        <v/>
      </c>
      <c r="M31" s="15">
        <f>IF(A31="","",YEAR(A31))</f>
        <v/>
      </c>
      <c r="N31" s="15">
        <f>IF(A31="","",MONTH(A31))</f>
        <v/>
      </c>
    </row>
    <row r="32">
      <c r="A32" s="70" t="n"/>
      <c r="B32" s="9" t="n"/>
      <c r="C32" s="9" t="n"/>
      <c r="D32" s="9" t="n"/>
      <c r="E32" s="9" t="n"/>
      <c r="F32" s="71" t="n"/>
      <c r="G32" s="30">
        <f>IF(F32="","",ROUND(F32*Configuracion!$B$11,0))</f>
        <v/>
      </c>
      <c r="H32" s="30">
        <f>IF(F32="","",F32+G32)</f>
        <v/>
      </c>
      <c r="I32" s="71" t="n"/>
      <c r="J32" s="9" t="n"/>
      <c r="K32" s="30">
        <f>IF(I32="","",IF(J32="Sí",ROUND(I32*Configuracion!$B$11,0),0))</f>
        <v/>
      </c>
      <c r="L32" s="30">
        <f>IF(F32="","",F32-IF(I32="",0,I32))</f>
        <v/>
      </c>
      <c r="M32" s="15">
        <f>IF(A32="","",YEAR(A32))</f>
        <v/>
      </c>
      <c r="N32" s="15">
        <f>IF(A32="","",MONTH(A32))</f>
        <v/>
      </c>
    </row>
    <row r="33">
      <c r="A33" s="70" t="n"/>
      <c r="B33" s="9" t="n"/>
      <c r="C33" s="9" t="n"/>
      <c r="D33" s="9" t="n"/>
      <c r="E33" s="9" t="n"/>
      <c r="F33" s="71" t="n"/>
      <c r="G33" s="30">
        <f>IF(F33="","",ROUND(F33*Configuracion!$B$11,0))</f>
        <v/>
      </c>
      <c r="H33" s="30">
        <f>IF(F33="","",F33+G33)</f>
        <v/>
      </c>
      <c r="I33" s="71" t="n"/>
      <c r="J33" s="9" t="n"/>
      <c r="K33" s="30">
        <f>IF(I33="","",IF(J33="Sí",ROUND(I33*Configuracion!$B$11,0),0))</f>
        <v/>
      </c>
      <c r="L33" s="30">
        <f>IF(F33="","",F33-IF(I33="",0,I33))</f>
        <v/>
      </c>
      <c r="M33" s="15">
        <f>IF(A33="","",YEAR(A33))</f>
        <v/>
      </c>
      <c r="N33" s="15">
        <f>IF(A33="","",MONTH(A33))</f>
        <v/>
      </c>
    </row>
    <row r="34">
      <c r="A34" s="70" t="n"/>
      <c r="B34" s="9" t="n"/>
      <c r="C34" s="9" t="n"/>
      <c r="D34" s="9" t="n"/>
      <c r="E34" s="9" t="n"/>
      <c r="F34" s="71" t="n"/>
      <c r="G34" s="30">
        <f>IF(F34="","",ROUND(F34*Configuracion!$B$11,0))</f>
        <v/>
      </c>
      <c r="H34" s="30">
        <f>IF(F34="","",F34+G34)</f>
        <v/>
      </c>
      <c r="I34" s="71" t="n"/>
      <c r="J34" s="9" t="n"/>
      <c r="K34" s="30">
        <f>IF(I34="","",IF(J34="Sí",ROUND(I34*Configuracion!$B$11,0),0))</f>
        <v/>
      </c>
      <c r="L34" s="30">
        <f>IF(F34="","",F34-IF(I34="",0,I34))</f>
        <v/>
      </c>
      <c r="M34" s="15">
        <f>IF(A34="","",YEAR(A34))</f>
        <v/>
      </c>
      <c r="N34" s="15">
        <f>IF(A34="","",MONTH(A34))</f>
        <v/>
      </c>
    </row>
    <row r="35">
      <c r="A35" s="70" t="n"/>
      <c r="B35" s="9" t="n"/>
      <c r="C35" s="9" t="n"/>
      <c r="D35" s="9" t="n"/>
      <c r="E35" s="9" t="n"/>
      <c r="F35" s="71" t="n"/>
      <c r="G35" s="30">
        <f>IF(F35="","",ROUND(F35*Configuracion!$B$11,0))</f>
        <v/>
      </c>
      <c r="H35" s="30">
        <f>IF(F35="","",F35+G35)</f>
        <v/>
      </c>
      <c r="I35" s="71" t="n"/>
      <c r="J35" s="9" t="n"/>
      <c r="K35" s="30">
        <f>IF(I35="","",IF(J35="Sí",ROUND(I35*Configuracion!$B$11,0),0))</f>
        <v/>
      </c>
      <c r="L35" s="30">
        <f>IF(F35="","",F35-IF(I35="",0,I35))</f>
        <v/>
      </c>
      <c r="M35" s="15">
        <f>IF(A35="","",YEAR(A35))</f>
        <v/>
      </c>
      <c r="N35" s="15">
        <f>IF(A35="","",MONTH(A35))</f>
        <v/>
      </c>
    </row>
    <row r="36">
      <c r="A36" s="70" t="n"/>
      <c r="B36" s="9" t="n"/>
      <c r="C36" s="9" t="n"/>
      <c r="D36" s="9" t="n"/>
      <c r="E36" s="9" t="n"/>
      <c r="F36" s="71" t="n"/>
      <c r="G36" s="30">
        <f>IF(F36="","",ROUND(F36*Configuracion!$B$11,0))</f>
        <v/>
      </c>
      <c r="H36" s="30">
        <f>IF(F36="","",F36+G36)</f>
        <v/>
      </c>
      <c r="I36" s="71" t="n"/>
      <c r="J36" s="9" t="n"/>
      <c r="K36" s="30">
        <f>IF(I36="","",IF(J36="Sí",ROUND(I36*Configuracion!$B$11,0),0))</f>
        <v/>
      </c>
      <c r="L36" s="30">
        <f>IF(F36="","",F36-IF(I36="",0,I36))</f>
        <v/>
      </c>
      <c r="M36" s="15">
        <f>IF(A36="","",YEAR(A36))</f>
        <v/>
      </c>
      <c r="N36" s="15">
        <f>IF(A36="","",MONTH(A36))</f>
        <v/>
      </c>
    </row>
    <row r="37">
      <c r="A37" s="70" t="n"/>
      <c r="B37" s="9" t="n"/>
      <c r="C37" s="9" t="n"/>
      <c r="D37" s="9" t="n"/>
      <c r="E37" s="9" t="n"/>
      <c r="F37" s="71" t="n"/>
      <c r="G37" s="30">
        <f>IF(F37="","",ROUND(F37*Configuracion!$B$11,0))</f>
        <v/>
      </c>
      <c r="H37" s="30">
        <f>IF(F37="","",F37+G37)</f>
        <v/>
      </c>
      <c r="I37" s="71" t="n"/>
      <c r="J37" s="9" t="n"/>
      <c r="K37" s="30">
        <f>IF(I37="","",IF(J37="Sí",ROUND(I37*Configuracion!$B$11,0),0))</f>
        <v/>
      </c>
      <c r="L37" s="30">
        <f>IF(F37="","",F37-IF(I37="",0,I37))</f>
        <v/>
      </c>
      <c r="M37" s="15">
        <f>IF(A37="","",YEAR(A37))</f>
        <v/>
      </c>
      <c r="N37" s="15">
        <f>IF(A37="","",MONTH(A37))</f>
        <v/>
      </c>
    </row>
    <row r="38">
      <c r="A38" s="70" t="n"/>
      <c r="B38" s="9" t="n"/>
      <c r="C38" s="9" t="n"/>
      <c r="D38" s="9" t="n"/>
      <c r="E38" s="9" t="n"/>
      <c r="F38" s="71" t="n"/>
      <c r="G38" s="30">
        <f>IF(F38="","",ROUND(F38*Configuracion!$B$11,0))</f>
        <v/>
      </c>
      <c r="H38" s="30">
        <f>IF(F38="","",F38+G38)</f>
        <v/>
      </c>
      <c r="I38" s="71" t="n"/>
      <c r="J38" s="9" t="n"/>
      <c r="K38" s="30">
        <f>IF(I38="","",IF(J38="Sí",ROUND(I38*Configuracion!$B$11,0),0))</f>
        <v/>
      </c>
      <c r="L38" s="30">
        <f>IF(F38="","",F38-IF(I38="",0,I38))</f>
        <v/>
      </c>
      <c r="M38" s="15">
        <f>IF(A38="","",YEAR(A38))</f>
        <v/>
      </c>
      <c r="N38" s="15">
        <f>IF(A38="","",MONTH(A38))</f>
        <v/>
      </c>
    </row>
    <row r="39">
      <c r="A39" s="70" t="n"/>
      <c r="B39" s="9" t="n"/>
      <c r="C39" s="9" t="n"/>
      <c r="D39" s="9" t="n"/>
      <c r="E39" s="9" t="n"/>
      <c r="F39" s="71" t="n"/>
      <c r="G39" s="30">
        <f>IF(F39="","",ROUND(F39*Configuracion!$B$11,0))</f>
        <v/>
      </c>
      <c r="H39" s="30">
        <f>IF(F39="","",F39+G39)</f>
        <v/>
      </c>
      <c r="I39" s="71" t="n"/>
      <c r="J39" s="9" t="n"/>
      <c r="K39" s="30">
        <f>IF(I39="","",IF(J39="Sí",ROUND(I39*Configuracion!$B$11,0),0))</f>
        <v/>
      </c>
      <c r="L39" s="30">
        <f>IF(F39="","",F39-IF(I39="",0,I39))</f>
        <v/>
      </c>
      <c r="M39" s="15">
        <f>IF(A39="","",YEAR(A39))</f>
        <v/>
      </c>
      <c r="N39" s="15">
        <f>IF(A39="","",MONTH(A39))</f>
        <v/>
      </c>
    </row>
    <row r="40">
      <c r="A40" s="70" t="n"/>
      <c r="B40" s="9" t="n"/>
      <c r="C40" s="9" t="n"/>
      <c r="D40" s="9" t="n"/>
      <c r="E40" s="9" t="n"/>
      <c r="F40" s="71" t="n"/>
      <c r="G40" s="30">
        <f>IF(F40="","",ROUND(F40*Configuracion!$B$11,0))</f>
        <v/>
      </c>
      <c r="H40" s="30">
        <f>IF(F40="","",F40+G40)</f>
        <v/>
      </c>
      <c r="I40" s="71" t="n"/>
      <c r="J40" s="9" t="n"/>
      <c r="K40" s="30">
        <f>IF(I40="","",IF(J40="Sí",ROUND(I40*Configuracion!$B$11,0),0))</f>
        <v/>
      </c>
      <c r="L40" s="30">
        <f>IF(F40="","",F40-IF(I40="",0,I40))</f>
        <v/>
      </c>
      <c r="M40" s="15">
        <f>IF(A40="","",YEAR(A40))</f>
        <v/>
      </c>
      <c r="N40" s="15">
        <f>IF(A40="","",MONTH(A40))</f>
        <v/>
      </c>
    </row>
    <row r="41">
      <c r="A41" s="70" t="n"/>
      <c r="B41" s="9" t="n"/>
      <c r="C41" s="9" t="n"/>
      <c r="D41" s="9" t="n"/>
      <c r="E41" s="9" t="n"/>
      <c r="F41" s="71" t="n"/>
      <c r="G41" s="30">
        <f>IF(F41="","",ROUND(F41*Configuracion!$B$11,0))</f>
        <v/>
      </c>
      <c r="H41" s="30">
        <f>IF(F41="","",F41+G41)</f>
        <v/>
      </c>
      <c r="I41" s="71" t="n"/>
      <c r="J41" s="9" t="n"/>
      <c r="K41" s="30">
        <f>IF(I41="","",IF(J41="Sí",ROUND(I41*Configuracion!$B$11,0),0))</f>
        <v/>
      </c>
      <c r="L41" s="30">
        <f>IF(F41="","",F41-IF(I41="",0,I41))</f>
        <v/>
      </c>
      <c r="M41" s="15">
        <f>IF(A41="","",YEAR(A41))</f>
        <v/>
      </c>
      <c r="N41" s="15">
        <f>IF(A41="","",MONTH(A41))</f>
        <v/>
      </c>
    </row>
    <row r="42">
      <c r="A42" s="70" t="n"/>
      <c r="B42" s="9" t="n"/>
      <c r="C42" s="9" t="n"/>
      <c r="D42" s="9" t="n"/>
      <c r="E42" s="9" t="n"/>
      <c r="F42" s="71" t="n"/>
      <c r="G42" s="30">
        <f>IF(F42="","",ROUND(F42*Configuracion!$B$11,0))</f>
        <v/>
      </c>
      <c r="H42" s="30">
        <f>IF(F42="","",F42+G42)</f>
        <v/>
      </c>
      <c r="I42" s="71" t="n"/>
      <c r="J42" s="9" t="n"/>
      <c r="K42" s="30">
        <f>IF(I42="","",IF(J42="Sí",ROUND(I42*Configuracion!$B$11,0),0))</f>
        <v/>
      </c>
      <c r="L42" s="30">
        <f>IF(F42="","",F42-IF(I42="",0,I42))</f>
        <v/>
      </c>
      <c r="M42" s="15">
        <f>IF(A42="","",YEAR(A42))</f>
        <v/>
      </c>
      <c r="N42" s="15">
        <f>IF(A42="","",MONTH(A42))</f>
        <v/>
      </c>
    </row>
    <row r="43">
      <c r="A43" s="70" t="n"/>
      <c r="B43" s="9" t="n"/>
      <c r="C43" s="9" t="n"/>
      <c r="D43" s="9" t="n"/>
      <c r="E43" s="9" t="n"/>
      <c r="F43" s="71" t="n"/>
      <c r="G43" s="30">
        <f>IF(F43="","",ROUND(F43*Configuracion!$B$11,0))</f>
        <v/>
      </c>
      <c r="H43" s="30">
        <f>IF(F43="","",F43+G43)</f>
        <v/>
      </c>
      <c r="I43" s="71" t="n"/>
      <c r="J43" s="9" t="n"/>
      <c r="K43" s="30">
        <f>IF(I43="","",IF(J43="Sí",ROUND(I43*Configuracion!$B$11,0),0))</f>
        <v/>
      </c>
      <c r="L43" s="30">
        <f>IF(F43="","",F43-IF(I43="",0,I43))</f>
        <v/>
      </c>
      <c r="M43" s="15">
        <f>IF(A43="","",YEAR(A43))</f>
        <v/>
      </c>
      <c r="N43" s="15">
        <f>IF(A43="","",MONTH(A43))</f>
        <v/>
      </c>
    </row>
    <row r="44">
      <c r="A44" s="70" t="n"/>
      <c r="B44" s="9" t="n"/>
      <c r="C44" s="9" t="n"/>
      <c r="D44" s="9" t="n"/>
      <c r="E44" s="9" t="n"/>
      <c r="F44" s="71" t="n"/>
      <c r="G44" s="30">
        <f>IF(F44="","",ROUND(F44*Configuracion!$B$11,0))</f>
        <v/>
      </c>
      <c r="H44" s="30">
        <f>IF(F44="","",F44+G44)</f>
        <v/>
      </c>
      <c r="I44" s="71" t="n"/>
      <c r="J44" s="9" t="n"/>
      <c r="K44" s="30">
        <f>IF(I44="","",IF(J44="Sí",ROUND(I44*Configuracion!$B$11,0),0))</f>
        <v/>
      </c>
      <c r="L44" s="30">
        <f>IF(F44="","",F44-IF(I44="",0,I44))</f>
        <v/>
      </c>
      <c r="M44" s="15">
        <f>IF(A44="","",YEAR(A44))</f>
        <v/>
      </c>
      <c r="N44" s="15">
        <f>IF(A44="","",MONTH(A44))</f>
        <v/>
      </c>
    </row>
    <row r="45">
      <c r="A45" s="70" t="n"/>
      <c r="B45" s="9" t="n"/>
      <c r="C45" s="9" t="n"/>
      <c r="D45" s="9" t="n"/>
      <c r="E45" s="9" t="n"/>
      <c r="F45" s="71" t="n"/>
      <c r="G45" s="30">
        <f>IF(F45="","",ROUND(F45*Configuracion!$B$11,0))</f>
        <v/>
      </c>
      <c r="H45" s="30">
        <f>IF(F45="","",F45+G45)</f>
        <v/>
      </c>
      <c r="I45" s="71" t="n"/>
      <c r="J45" s="9" t="n"/>
      <c r="K45" s="30">
        <f>IF(I45="","",IF(J45="Sí",ROUND(I45*Configuracion!$B$11,0),0))</f>
        <v/>
      </c>
      <c r="L45" s="30">
        <f>IF(F45="","",F45-IF(I45="",0,I45))</f>
        <v/>
      </c>
      <c r="M45" s="15">
        <f>IF(A45="","",YEAR(A45))</f>
        <v/>
      </c>
      <c r="N45" s="15">
        <f>IF(A45="","",MONTH(A45))</f>
        <v/>
      </c>
    </row>
    <row r="46">
      <c r="A46" s="70" t="n"/>
      <c r="B46" s="9" t="n"/>
      <c r="C46" s="9" t="n"/>
      <c r="D46" s="9" t="n"/>
      <c r="E46" s="9" t="n"/>
      <c r="F46" s="71" t="n"/>
      <c r="G46" s="30">
        <f>IF(F46="","",ROUND(F46*Configuracion!$B$11,0))</f>
        <v/>
      </c>
      <c r="H46" s="30">
        <f>IF(F46="","",F46+G46)</f>
        <v/>
      </c>
      <c r="I46" s="71" t="n"/>
      <c r="J46" s="9" t="n"/>
      <c r="K46" s="30">
        <f>IF(I46="","",IF(J46="Sí",ROUND(I46*Configuracion!$B$11,0),0))</f>
        <v/>
      </c>
      <c r="L46" s="30">
        <f>IF(F46="","",F46-IF(I46="",0,I46))</f>
        <v/>
      </c>
      <c r="M46" s="15">
        <f>IF(A46="","",YEAR(A46))</f>
        <v/>
      </c>
      <c r="N46" s="15">
        <f>IF(A46="","",MONTH(A46))</f>
        <v/>
      </c>
    </row>
    <row r="47">
      <c r="A47" s="70" t="n"/>
      <c r="B47" s="9" t="n"/>
      <c r="C47" s="9" t="n"/>
      <c r="D47" s="9" t="n"/>
      <c r="E47" s="9" t="n"/>
      <c r="F47" s="71" t="n"/>
      <c r="G47" s="30">
        <f>IF(F47="","",ROUND(F47*Configuracion!$B$11,0))</f>
        <v/>
      </c>
      <c r="H47" s="30">
        <f>IF(F47="","",F47+G47)</f>
        <v/>
      </c>
      <c r="I47" s="71" t="n"/>
      <c r="J47" s="9" t="n"/>
      <c r="K47" s="30">
        <f>IF(I47="","",IF(J47="Sí",ROUND(I47*Configuracion!$B$11,0),0))</f>
        <v/>
      </c>
      <c r="L47" s="30">
        <f>IF(F47="","",F47-IF(I47="",0,I47))</f>
        <v/>
      </c>
      <c r="M47" s="15">
        <f>IF(A47="","",YEAR(A47))</f>
        <v/>
      </c>
      <c r="N47" s="15">
        <f>IF(A47="","",MONTH(A47))</f>
        <v/>
      </c>
    </row>
    <row r="48">
      <c r="A48" s="70" t="n"/>
      <c r="B48" s="9" t="n"/>
      <c r="C48" s="9" t="n"/>
      <c r="D48" s="9" t="n"/>
      <c r="E48" s="9" t="n"/>
      <c r="F48" s="71" t="n"/>
      <c r="G48" s="30">
        <f>IF(F48="","",ROUND(F48*Configuracion!$B$11,0))</f>
        <v/>
      </c>
      <c r="H48" s="30">
        <f>IF(F48="","",F48+G48)</f>
        <v/>
      </c>
      <c r="I48" s="71" t="n"/>
      <c r="J48" s="9" t="n"/>
      <c r="K48" s="30">
        <f>IF(I48="","",IF(J48="Sí",ROUND(I48*Configuracion!$B$11,0),0))</f>
        <v/>
      </c>
      <c r="L48" s="30">
        <f>IF(F48="","",F48-IF(I48="",0,I48))</f>
        <v/>
      </c>
      <c r="M48" s="15">
        <f>IF(A48="","",YEAR(A48))</f>
        <v/>
      </c>
      <c r="N48" s="15">
        <f>IF(A48="","",MONTH(A48))</f>
        <v/>
      </c>
    </row>
    <row r="49">
      <c r="A49" s="70" t="n"/>
      <c r="B49" s="9" t="n"/>
      <c r="C49" s="9" t="n"/>
      <c r="D49" s="9" t="n"/>
      <c r="E49" s="9" t="n"/>
      <c r="F49" s="71" t="n"/>
      <c r="G49" s="30">
        <f>IF(F49="","",ROUND(F49*Configuracion!$B$11,0))</f>
        <v/>
      </c>
      <c r="H49" s="30">
        <f>IF(F49="","",F49+G49)</f>
        <v/>
      </c>
      <c r="I49" s="71" t="n"/>
      <c r="J49" s="9" t="n"/>
      <c r="K49" s="30">
        <f>IF(I49="","",IF(J49="Sí",ROUND(I49*Configuracion!$B$11,0),0))</f>
        <v/>
      </c>
      <c r="L49" s="30">
        <f>IF(F49="","",F49-IF(I49="",0,I49))</f>
        <v/>
      </c>
      <c r="M49" s="15">
        <f>IF(A49="","",YEAR(A49))</f>
        <v/>
      </c>
      <c r="N49" s="15">
        <f>IF(A49="","",MONTH(A49))</f>
        <v/>
      </c>
    </row>
    <row r="50">
      <c r="A50" s="70" t="n"/>
      <c r="B50" s="9" t="n"/>
      <c r="C50" s="9" t="n"/>
      <c r="D50" s="9" t="n"/>
      <c r="E50" s="9" t="n"/>
      <c r="F50" s="71" t="n"/>
      <c r="G50" s="30">
        <f>IF(F50="","",ROUND(F50*Configuracion!$B$11,0))</f>
        <v/>
      </c>
      <c r="H50" s="30">
        <f>IF(F50="","",F50+G50)</f>
        <v/>
      </c>
      <c r="I50" s="71" t="n"/>
      <c r="J50" s="9" t="n"/>
      <c r="K50" s="30">
        <f>IF(I50="","",IF(J50="Sí",ROUND(I50*Configuracion!$B$11,0),0))</f>
        <v/>
      </c>
      <c r="L50" s="30">
        <f>IF(F50="","",F50-IF(I50="",0,I50))</f>
        <v/>
      </c>
      <c r="M50" s="15">
        <f>IF(A50="","",YEAR(A50))</f>
        <v/>
      </c>
      <c r="N50" s="15">
        <f>IF(A50="","",MONTH(A50))</f>
        <v/>
      </c>
    </row>
    <row r="51">
      <c r="A51" s="70" t="n"/>
      <c r="B51" s="9" t="n"/>
      <c r="C51" s="9" t="n"/>
      <c r="D51" s="9" t="n"/>
      <c r="E51" s="9" t="n"/>
      <c r="F51" s="71" t="n"/>
      <c r="G51" s="30">
        <f>IF(F51="","",ROUND(F51*Configuracion!$B$11,0))</f>
        <v/>
      </c>
      <c r="H51" s="30">
        <f>IF(F51="","",F51+G51)</f>
        <v/>
      </c>
      <c r="I51" s="71" t="n"/>
      <c r="J51" s="9" t="n"/>
      <c r="K51" s="30">
        <f>IF(I51="","",IF(J51="Sí",ROUND(I51*Configuracion!$B$11,0),0))</f>
        <v/>
      </c>
      <c r="L51" s="30">
        <f>IF(F51="","",F51-IF(I51="",0,I51))</f>
        <v/>
      </c>
      <c r="M51" s="15">
        <f>IF(A51="","",YEAR(A51))</f>
        <v/>
      </c>
      <c r="N51" s="15">
        <f>IF(A51="","",MONTH(A51))</f>
        <v/>
      </c>
    </row>
    <row r="52">
      <c r="A52" s="70" t="n"/>
      <c r="B52" s="9" t="n"/>
      <c r="C52" s="9" t="n"/>
      <c r="D52" s="9" t="n"/>
      <c r="E52" s="9" t="n"/>
      <c r="F52" s="71" t="n"/>
      <c r="G52" s="30">
        <f>IF(F52="","",ROUND(F52*Configuracion!$B$11,0))</f>
        <v/>
      </c>
      <c r="H52" s="30">
        <f>IF(F52="","",F52+G52)</f>
        <v/>
      </c>
      <c r="I52" s="71" t="n"/>
      <c r="J52" s="9" t="n"/>
      <c r="K52" s="30">
        <f>IF(I52="","",IF(J52="Sí",ROUND(I52*Configuracion!$B$11,0),0))</f>
        <v/>
      </c>
      <c r="L52" s="30">
        <f>IF(F52="","",F52-IF(I52="",0,I52))</f>
        <v/>
      </c>
      <c r="M52" s="15">
        <f>IF(A52="","",YEAR(A52))</f>
        <v/>
      </c>
      <c r="N52" s="15">
        <f>IF(A52="","",MONTH(A52))</f>
        <v/>
      </c>
    </row>
    <row r="53">
      <c r="A53" s="70" t="n"/>
      <c r="B53" s="9" t="n"/>
      <c r="C53" s="9" t="n"/>
      <c r="D53" s="9" t="n"/>
      <c r="E53" s="9" t="n"/>
      <c r="F53" s="71" t="n"/>
      <c r="G53" s="30">
        <f>IF(F53="","",ROUND(F53*Configuracion!$B$11,0))</f>
        <v/>
      </c>
      <c r="H53" s="30">
        <f>IF(F53="","",F53+G53)</f>
        <v/>
      </c>
      <c r="I53" s="71" t="n"/>
      <c r="J53" s="9" t="n"/>
      <c r="K53" s="30">
        <f>IF(I53="","",IF(J53="Sí",ROUND(I53*Configuracion!$B$11,0),0))</f>
        <v/>
      </c>
      <c r="L53" s="30">
        <f>IF(F53="","",F53-IF(I53="",0,I53))</f>
        <v/>
      </c>
      <c r="M53" s="15">
        <f>IF(A53="","",YEAR(A53))</f>
        <v/>
      </c>
      <c r="N53" s="15">
        <f>IF(A53="","",MONTH(A53))</f>
        <v/>
      </c>
    </row>
    <row r="54">
      <c r="A54" s="70" t="n"/>
      <c r="B54" s="9" t="n"/>
      <c r="C54" s="9" t="n"/>
      <c r="D54" s="9" t="n"/>
      <c r="E54" s="9" t="n"/>
      <c r="F54" s="71" t="n"/>
      <c r="G54" s="30">
        <f>IF(F54="","",ROUND(F54*Configuracion!$B$11,0))</f>
        <v/>
      </c>
      <c r="H54" s="30">
        <f>IF(F54="","",F54+G54)</f>
        <v/>
      </c>
      <c r="I54" s="71" t="n"/>
      <c r="J54" s="9" t="n"/>
      <c r="K54" s="30">
        <f>IF(I54="","",IF(J54="Sí",ROUND(I54*Configuracion!$B$11,0),0))</f>
        <v/>
      </c>
      <c r="L54" s="30">
        <f>IF(F54="","",F54-IF(I54="",0,I54))</f>
        <v/>
      </c>
      <c r="M54" s="15">
        <f>IF(A54="","",YEAR(A54))</f>
        <v/>
      </c>
      <c r="N54" s="15">
        <f>IF(A54="","",MONTH(A54))</f>
        <v/>
      </c>
    </row>
    <row r="55">
      <c r="A55" s="70" t="n"/>
      <c r="B55" s="9" t="n"/>
      <c r="C55" s="9" t="n"/>
      <c r="D55" s="9" t="n"/>
      <c r="E55" s="9" t="n"/>
      <c r="F55" s="71" t="n"/>
      <c r="G55" s="30">
        <f>IF(F55="","",ROUND(F55*Configuracion!$B$11,0))</f>
        <v/>
      </c>
      <c r="H55" s="30">
        <f>IF(F55="","",F55+G55)</f>
        <v/>
      </c>
      <c r="I55" s="71" t="n"/>
      <c r="J55" s="9" t="n"/>
      <c r="K55" s="30">
        <f>IF(I55="","",IF(J55="Sí",ROUND(I55*Configuracion!$B$11,0),0))</f>
        <v/>
      </c>
      <c r="L55" s="30">
        <f>IF(F55="","",F55-IF(I55="",0,I55))</f>
        <v/>
      </c>
      <c r="M55" s="15">
        <f>IF(A55="","",YEAR(A55))</f>
        <v/>
      </c>
      <c r="N55" s="15">
        <f>IF(A55="","",MONTH(A55))</f>
        <v/>
      </c>
    </row>
    <row r="56">
      <c r="A56" s="70" t="n"/>
      <c r="B56" s="9" t="n"/>
      <c r="C56" s="9" t="n"/>
      <c r="D56" s="9" t="n"/>
      <c r="E56" s="9" t="n"/>
      <c r="F56" s="71" t="n"/>
      <c r="G56" s="30">
        <f>IF(F56="","",ROUND(F56*Configuracion!$B$11,0))</f>
        <v/>
      </c>
      <c r="H56" s="30">
        <f>IF(F56="","",F56+G56)</f>
        <v/>
      </c>
      <c r="I56" s="71" t="n"/>
      <c r="J56" s="9" t="n"/>
      <c r="K56" s="30">
        <f>IF(I56="","",IF(J56="Sí",ROUND(I56*Configuracion!$B$11,0),0))</f>
        <v/>
      </c>
      <c r="L56" s="30">
        <f>IF(F56="","",F56-IF(I56="",0,I56))</f>
        <v/>
      </c>
      <c r="M56" s="15">
        <f>IF(A56="","",YEAR(A56))</f>
        <v/>
      </c>
      <c r="N56" s="15">
        <f>IF(A56="","",MONTH(A56))</f>
        <v/>
      </c>
    </row>
    <row r="57">
      <c r="A57" s="70" t="n"/>
      <c r="B57" s="9" t="n"/>
      <c r="C57" s="9" t="n"/>
      <c r="D57" s="9" t="n"/>
      <c r="E57" s="9" t="n"/>
      <c r="F57" s="71" t="n"/>
      <c r="G57" s="30">
        <f>IF(F57="","",ROUND(F57*Configuracion!$B$11,0))</f>
        <v/>
      </c>
      <c r="H57" s="30">
        <f>IF(F57="","",F57+G57)</f>
        <v/>
      </c>
      <c r="I57" s="71" t="n"/>
      <c r="J57" s="9" t="n"/>
      <c r="K57" s="30">
        <f>IF(I57="","",IF(J57="Sí",ROUND(I57*Configuracion!$B$11,0),0))</f>
        <v/>
      </c>
      <c r="L57" s="30">
        <f>IF(F57="","",F57-IF(I57="",0,I57))</f>
        <v/>
      </c>
      <c r="M57" s="15">
        <f>IF(A57="","",YEAR(A57))</f>
        <v/>
      </c>
      <c r="N57" s="15">
        <f>IF(A57="","",MONTH(A57))</f>
        <v/>
      </c>
    </row>
    <row r="58">
      <c r="A58" s="70" t="n"/>
      <c r="B58" s="9" t="n"/>
      <c r="C58" s="9" t="n"/>
      <c r="D58" s="9" t="n"/>
      <c r="E58" s="9" t="n"/>
      <c r="F58" s="71" t="n"/>
      <c r="G58" s="30">
        <f>IF(F58="","",ROUND(F58*Configuracion!$B$11,0))</f>
        <v/>
      </c>
      <c r="H58" s="30">
        <f>IF(F58="","",F58+G58)</f>
        <v/>
      </c>
      <c r="I58" s="71" t="n"/>
      <c r="J58" s="9" t="n"/>
      <c r="K58" s="30">
        <f>IF(I58="","",IF(J58="Sí",ROUND(I58*Configuracion!$B$11,0),0))</f>
        <v/>
      </c>
      <c r="L58" s="30">
        <f>IF(F58="","",F58-IF(I58="",0,I58))</f>
        <v/>
      </c>
      <c r="M58" s="15">
        <f>IF(A58="","",YEAR(A58))</f>
        <v/>
      </c>
      <c r="N58" s="15">
        <f>IF(A58="","",MONTH(A58))</f>
        <v/>
      </c>
    </row>
    <row r="59">
      <c r="A59" s="70" t="n"/>
      <c r="B59" s="9" t="n"/>
      <c r="C59" s="9" t="n"/>
      <c r="D59" s="9" t="n"/>
      <c r="E59" s="9" t="n"/>
      <c r="F59" s="71" t="n"/>
      <c r="G59" s="30">
        <f>IF(F59="","",ROUND(F59*Configuracion!$B$11,0))</f>
        <v/>
      </c>
      <c r="H59" s="30">
        <f>IF(F59="","",F59+G59)</f>
        <v/>
      </c>
      <c r="I59" s="71" t="n"/>
      <c r="J59" s="9" t="n"/>
      <c r="K59" s="30">
        <f>IF(I59="","",IF(J59="Sí",ROUND(I59*Configuracion!$B$11,0),0))</f>
        <v/>
      </c>
      <c r="L59" s="30">
        <f>IF(F59="","",F59-IF(I59="",0,I59))</f>
        <v/>
      </c>
      <c r="M59" s="15">
        <f>IF(A59="","",YEAR(A59))</f>
        <v/>
      </c>
      <c r="N59" s="15">
        <f>IF(A59="","",MONTH(A59))</f>
        <v/>
      </c>
    </row>
    <row r="60">
      <c r="A60" s="70" t="n"/>
      <c r="B60" s="9" t="n"/>
      <c r="C60" s="9" t="n"/>
      <c r="D60" s="9" t="n"/>
      <c r="E60" s="9" t="n"/>
      <c r="F60" s="71" t="n"/>
      <c r="G60" s="30">
        <f>IF(F60="","",ROUND(F60*Configuracion!$B$11,0))</f>
        <v/>
      </c>
      <c r="H60" s="30">
        <f>IF(F60="","",F60+G60)</f>
        <v/>
      </c>
      <c r="I60" s="71" t="n"/>
      <c r="J60" s="9" t="n"/>
      <c r="K60" s="30">
        <f>IF(I60="","",IF(J60="Sí",ROUND(I60*Configuracion!$B$11,0),0))</f>
        <v/>
      </c>
      <c r="L60" s="30">
        <f>IF(F60="","",F60-IF(I60="",0,I60))</f>
        <v/>
      </c>
      <c r="M60" s="15">
        <f>IF(A60="","",YEAR(A60))</f>
        <v/>
      </c>
      <c r="N60" s="15">
        <f>IF(A60="","",MONTH(A60))</f>
        <v/>
      </c>
    </row>
    <row r="61">
      <c r="A61" s="70" t="n"/>
      <c r="B61" s="9" t="n"/>
      <c r="C61" s="9" t="n"/>
      <c r="D61" s="9" t="n"/>
      <c r="E61" s="9" t="n"/>
      <c r="F61" s="71" t="n"/>
      <c r="G61" s="30">
        <f>IF(F61="","",ROUND(F61*Configuracion!$B$11,0))</f>
        <v/>
      </c>
      <c r="H61" s="30">
        <f>IF(F61="","",F61+G61)</f>
        <v/>
      </c>
      <c r="I61" s="71" t="n"/>
      <c r="J61" s="9" t="n"/>
      <c r="K61" s="30">
        <f>IF(I61="","",IF(J61="Sí",ROUND(I61*Configuracion!$B$11,0),0))</f>
        <v/>
      </c>
      <c r="L61" s="30">
        <f>IF(F61="","",F61-IF(I61="",0,I61))</f>
        <v/>
      </c>
      <c r="M61" s="15">
        <f>IF(A61="","",YEAR(A61))</f>
        <v/>
      </c>
      <c r="N61" s="15">
        <f>IF(A61="","",MONTH(A61))</f>
        <v/>
      </c>
    </row>
    <row r="62">
      <c r="A62" s="70" t="n"/>
      <c r="B62" s="9" t="n"/>
      <c r="C62" s="9" t="n"/>
      <c r="D62" s="9" t="n"/>
      <c r="E62" s="9" t="n"/>
      <c r="F62" s="71" t="n"/>
      <c r="G62" s="30">
        <f>IF(F62="","",ROUND(F62*Configuracion!$B$11,0))</f>
        <v/>
      </c>
      <c r="H62" s="30">
        <f>IF(F62="","",F62+G62)</f>
        <v/>
      </c>
      <c r="I62" s="71" t="n"/>
      <c r="J62" s="9" t="n"/>
      <c r="K62" s="30">
        <f>IF(I62="","",IF(J62="Sí",ROUND(I62*Configuracion!$B$11,0),0))</f>
        <v/>
      </c>
      <c r="L62" s="30">
        <f>IF(F62="","",F62-IF(I62="",0,I62))</f>
        <v/>
      </c>
      <c r="M62" s="15">
        <f>IF(A62="","",YEAR(A62))</f>
        <v/>
      </c>
      <c r="N62" s="15">
        <f>IF(A62="","",MONTH(A62))</f>
        <v/>
      </c>
    </row>
    <row r="63">
      <c r="A63" s="70" t="n"/>
      <c r="B63" s="9" t="n"/>
      <c r="C63" s="9" t="n"/>
      <c r="D63" s="9" t="n"/>
      <c r="E63" s="9" t="n"/>
      <c r="F63" s="71" t="n"/>
      <c r="G63" s="30">
        <f>IF(F63="","",ROUND(F63*Configuracion!$B$11,0))</f>
        <v/>
      </c>
      <c r="H63" s="30">
        <f>IF(F63="","",F63+G63)</f>
        <v/>
      </c>
      <c r="I63" s="71" t="n"/>
      <c r="J63" s="9" t="n"/>
      <c r="K63" s="30">
        <f>IF(I63="","",IF(J63="Sí",ROUND(I63*Configuracion!$B$11,0),0))</f>
        <v/>
      </c>
      <c r="L63" s="30">
        <f>IF(F63="","",F63-IF(I63="",0,I63))</f>
        <v/>
      </c>
      <c r="M63" s="15">
        <f>IF(A63="","",YEAR(A63))</f>
        <v/>
      </c>
      <c r="N63" s="15">
        <f>IF(A63="","",MONTH(A63))</f>
        <v/>
      </c>
    </row>
    <row r="64">
      <c r="A64" s="70" t="n"/>
      <c r="B64" s="9" t="n"/>
      <c r="C64" s="9" t="n"/>
      <c r="D64" s="9" t="n"/>
      <c r="E64" s="9" t="n"/>
      <c r="F64" s="71" t="n"/>
      <c r="G64" s="30">
        <f>IF(F64="","",ROUND(F64*Configuracion!$B$11,0))</f>
        <v/>
      </c>
      <c r="H64" s="30">
        <f>IF(F64="","",F64+G64)</f>
        <v/>
      </c>
      <c r="I64" s="71" t="n"/>
      <c r="J64" s="9" t="n"/>
      <c r="K64" s="30">
        <f>IF(I64="","",IF(J64="Sí",ROUND(I64*Configuracion!$B$11,0),0))</f>
        <v/>
      </c>
      <c r="L64" s="30">
        <f>IF(F64="","",F64-IF(I64="",0,I64))</f>
        <v/>
      </c>
      <c r="M64" s="15">
        <f>IF(A64="","",YEAR(A64))</f>
        <v/>
      </c>
      <c r="N64" s="15">
        <f>IF(A64="","",MONTH(A64))</f>
        <v/>
      </c>
    </row>
    <row r="65">
      <c r="A65" s="70" t="n"/>
      <c r="B65" s="9" t="n"/>
      <c r="C65" s="9" t="n"/>
      <c r="D65" s="9" t="n"/>
      <c r="E65" s="9" t="n"/>
      <c r="F65" s="71" t="n"/>
      <c r="G65" s="30">
        <f>IF(F65="","",ROUND(F65*Configuracion!$B$11,0))</f>
        <v/>
      </c>
      <c r="H65" s="30">
        <f>IF(F65="","",F65+G65)</f>
        <v/>
      </c>
      <c r="I65" s="71" t="n"/>
      <c r="J65" s="9" t="n"/>
      <c r="K65" s="30">
        <f>IF(I65="","",IF(J65="Sí",ROUND(I65*Configuracion!$B$11,0),0))</f>
        <v/>
      </c>
      <c r="L65" s="30">
        <f>IF(F65="","",F65-IF(I65="",0,I65))</f>
        <v/>
      </c>
      <c r="M65" s="15">
        <f>IF(A65="","",YEAR(A65))</f>
        <v/>
      </c>
      <c r="N65" s="15">
        <f>IF(A65="","",MONTH(A65))</f>
        <v/>
      </c>
    </row>
    <row r="66">
      <c r="A66" s="70" t="n"/>
      <c r="B66" s="9" t="n"/>
      <c r="C66" s="9" t="n"/>
      <c r="D66" s="9" t="n"/>
      <c r="E66" s="9" t="n"/>
      <c r="F66" s="71" t="n"/>
      <c r="G66" s="30">
        <f>IF(F66="","",ROUND(F66*Configuracion!$B$11,0))</f>
        <v/>
      </c>
      <c r="H66" s="30">
        <f>IF(F66="","",F66+G66)</f>
        <v/>
      </c>
      <c r="I66" s="71" t="n"/>
      <c r="J66" s="9" t="n"/>
      <c r="K66" s="30">
        <f>IF(I66="","",IF(J66="Sí",ROUND(I66*Configuracion!$B$11,0),0))</f>
        <v/>
      </c>
      <c r="L66" s="30">
        <f>IF(F66="","",F66-IF(I66="",0,I66))</f>
        <v/>
      </c>
      <c r="M66" s="15">
        <f>IF(A66="","",YEAR(A66))</f>
        <v/>
      </c>
      <c r="N66" s="15">
        <f>IF(A66="","",MONTH(A66))</f>
        <v/>
      </c>
    </row>
    <row r="67">
      <c r="A67" s="70" t="n"/>
      <c r="B67" s="9" t="n"/>
      <c r="C67" s="9" t="n"/>
      <c r="D67" s="9" t="n"/>
      <c r="E67" s="9" t="n"/>
      <c r="F67" s="71" t="n"/>
      <c r="G67" s="30">
        <f>IF(F67="","",ROUND(F67*Configuracion!$B$11,0))</f>
        <v/>
      </c>
      <c r="H67" s="30">
        <f>IF(F67="","",F67+G67)</f>
        <v/>
      </c>
      <c r="I67" s="71" t="n"/>
      <c r="J67" s="9" t="n"/>
      <c r="K67" s="30">
        <f>IF(I67="","",IF(J67="Sí",ROUND(I67*Configuracion!$B$11,0),0))</f>
        <v/>
      </c>
      <c r="L67" s="30">
        <f>IF(F67="","",F67-IF(I67="",0,I67))</f>
        <v/>
      </c>
      <c r="M67" s="15">
        <f>IF(A67="","",YEAR(A67))</f>
        <v/>
      </c>
      <c r="N67" s="15">
        <f>IF(A67="","",MONTH(A67))</f>
        <v/>
      </c>
    </row>
    <row r="68">
      <c r="A68" s="70" t="n"/>
      <c r="B68" s="9" t="n"/>
      <c r="C68" s="9" t="n"/>
      <c r="D68" s="9" t="n"/>
      <c r="E68" s="9" t="n"/>
      <c r="F68" s="71" t="n"/>
      <c r="G68" s="30">
        <f>IF(F68="","",ROUND(F68*Configuracion!$B$11,0))</f>
        <v/>
      </c>
      <c r="H68" s="30">
        <f>IF(F68="","",F68+G68)</f>
        <v/>
      </c>
      <c r="I68" s="71" t="n"/>
      <c r="J68" s="9" t="n"/>
      <c r="K68" s="30">
        <f>IF(I68="","",IF(J68="Sí",ROUND(I68*Configuracion!$B$11,0),0))</f>
        <v/>
      </c>
      <c r="L68" s="30">
        <f>IF(F68="","",F68-IF(I68="",0,I68))</f>
        <v/>
      </c>
      <c r="M68" s="15">
        <f>IF(A68="","",YEAR(A68))</f>
        <v/>
      </c>
      <c r="N68" s="15">
        <f>IF(A68="","",MONTH(A68))</f>
        <v/>
      </c>
    </row>
    <row r="69">
      <c r="A69" s="70" t="n"/>
      <c r="B69" s="9" t="n"/>
      <c r="C69" s="9" t="n"/>
      <c r="D69" s="9" t="n"/>
      <c r="E69" s="9" t="n"/>
      <c r="F69" s="71" t="n"/>
      <c r="G69" s="30">
        <f>IF(F69="","",ROUND(F69*Configuracion!$B$11,0))</f>
        <v/>
      </c>
      <c r="H69" s="30">
        <f>IF(F69="","",F69+G69)</f>
        <v/>
      </c>
      <c r="I69" s="71" t="n"/>
      <c r="J69" s="9" t="n"/>
      <c r="K69" s="30">
        <f>IF(I69="","",IF(J69="Sí",ROUND(I69*Configuracion!$B$11,0),0))</f>
        <v/>
      </c>
      <c r="L69" s="30">
        <f>IF(F69="","",F69-IF(I69="",0,I69))</f>
        <v/>
      </c>
      <c r="M69" s="15">
        <f>IF(A69="","",YEAR(A69))</f>
        <v/>
      </c>
      <c r="N69" s="15">
        <f>IF(A69="","",MONTH(A69))</f>
        <v/>
      </c>
    </row>
    <row r="70">
      <c r="A70" s="70" t="n"/>
      <c r="B70" s="9" t="n"/>
      <c r="C70" s="9" t="n"/>
      <c r="D70" s="9" t="n"/>
      <c r="E70" s="9" t="n"/>
      <c r="F70" s="71" t="n"/>
      <c r="G70" s="30">
        <f>IF(F70="","",ROUND(F70*Configuracion!$B$11,0))</f>
        <v/>
      </c>
      <c r="H70" s="30">
        <f>IF(F70="","",F70+G70)</f>
        <v/>
      </c>
      <c r="I70" s="71" t="n"/>
      <c r="J70" s="9" t="n"/>
      <c r="K70" s="30">
        <f>IF(I70="","",IF(J70="Sí",ROUND(I70*Configuracion!$B$11,0),0))</f>
        <v/>
      </c>
      <c r="L70" s="30">
        <f>IF(F70="","",F70-IF(I70="",0,I70))</f>
        <v/>
      </c>
      <c r="M70" s="15">
        <f>IF(A70="","",YEAR(A70))</f>
        <v/>
      </c>
      <c r="N70" s="15">
        <f>IF(A70="","",MONTH(A70))</f>
        <v/>
      </c>
    </row>
    <row r="71">
      <c r="A71" s="70" t="n"/>
      <c r="B71" s="9" t="n"/>
      <c r="C71" s="9" t="n"/>
      <c r="D71" s="9" t="n"/>
      <c r="E71" s="9" t="n"/>
      <c r="F71" s="71" t="n"/>
      <c r="G71" s="30">
        <f>IF(F71="","",ROUND(F71*Configuracion!$B$11,0))</f>
        <v/>
      </c>
      <c r="H71" s="30">
        <f>IF(F71="","",F71+G71)</f>
        <v/>
      </c>
      <c r="I71" s="71" t="n"/>
      <c r="J71" s="9" t="n"/>
      <c r="K71" s="30">
        <f>IF(I71="","",IF(J71="Sí",ROUND(I71*Configuracion!$B$11,0),0))</f>
        <v/>
      </c>
      <c r="L71" s="30">
        <f>IF(F71="","",F71-IF(I71="",0,I71))</f>
        <v/>
      </c>
      <c r="M71" s="15">
        <f>IF(A71="","",YEAR(A71))</f>
        <v/>
      </c>
      <c r="N71" s="15">
        <f>IF(A71="","",MONTH(A71))</f>
        <v/>
      </c>
    </row>
    <row r="72">
      <c r="A72" s="70" t="n"/>
      <c r="B72" s="9" t="n"/>
      <c r="C72" s="9" t="n"/>
      <c r="D72" s="9" t="n"/>
      <c r="E72" s="9" t="n"/>
      <c r="F72" s="71" t="n"/>
      <c r="G72" s="30">
        <f>IF(F72="","",ROUND(F72*Configuracion!$B$11,0))</f>
        <v/>
      </c>
      <c r="H72" s="30">
        <f>IF(F72="","",F72+G72)</f>
        <v/>
      </c>
      <c r="I72" s="71" t="n"/>
      <c r="J72" s="9" t="n"/>
      <c r="K72" s="30">
        <f>IF(I72="","",IF(J72="Sí",ROUND(I72*Configuracion!$B$11,0),0))</f>
        <v/>
      </c>
      <c r="L72" s="30">
        <f>IF(F72="","",F72-IF(I72="",0,I72))</f>
        <v/>
      </c>
      <c r="M72" s="15">
        <f>IF(A72="","",YEAR(A72))</f>
        <v/>
      </c>
      <c r="N72" s="15">
        <f>IF(A72="","",MONTH(A72))</f>
        <v/>
      </c>
    </row>
    <row r="73">
      <c r="A73" s="70" t="n"/>
      <c r="B73" s="9" t="n"/>
      <c r="C73" s="9" t="n"/>
      <c r="D73" s="9" t="n"/>
      <c r="E73" s="9" t="n"/>
      <c r="F73" s="71" t="n"/>
      <c r="G73" s="30">
        <f>IF(F73="","",ROUND(F73*Configuracion!$B$11,0))</f>
        <v/>
      </c>
      <c r="H73" s="30">
        <f>IF(F73="","",F73+G73)</f>
        <v/>
      </c>
      <c r="I73" s="71" t="n"/>
      <c r="J73" s="9" t="n"/>
      <c r="K73" s="30">
        <f>IF(I73="","",IF(J73="Sí",ROUND(I73*Configuracion!$B$11,0),0))</f>
        <v/>
      </c>
      <c r="L73" s="30">
        <f>IF(F73="","",F73-IF(I73="",0,I73))</f>
        <v/>
      </c>
      <c r="M73" s="15">
        <f>IF(A73="","",YEAR(A73))</f>
        <v/>
      </c>
      <c r="N73" s="15">
        <f>IF(A73="","",MONTH(A73))</f>
        <v/>
      </c>
    </row>
    <row r="74">
      <c r="A74" s="70" t="n"/>
      <c r="B74" s="9" t="n"/>
      <c r="C74" s="9" t="n"/>
      <c r="D74" s="9" t="n"/>
      <c r="E74" s="9" t="n"/>
      <c r="F74" s="71" t="n"/>
      <c r="G74" s="30">
        <f>IF(F74="","",ROUND(F74*Configuracion!$B$11,0))</f>
        <v/>
      </c>
      <c r="H74" s="30">
        <f>IF(F74="","",F74+G74)</f>
        <v/>
      </c>
      <c r="I74" s="71" t="n"/>
      <c r="J74" s="9" t="n"/>
      <c r="K74" s="30">
        <f>IF(I74="","",IF(J74="Sí",ROUND(I74*Configuracion!$B$11,0),0))</f>
        <v/>
      </c>
      <c r="L74" s="30">
        <f>IF(F74="","",F74-IF(I74="",0,I74))</f>
        <v/>
      </c>
      <c r="M74" s="15">
        <f>IF(A74="","",YEAR(A74))</f>
        <v/>
      </c>
      <c r="N74" s="15">
        <f>IF(A74="","",MONTH(A74))</f>
        <v/>
      </c>
    </row>
    <row r="75">
      <c r="A75" s="70" t="n"/>
      <c r="B75" s="9" t="n"/>
      <c r="C75" s="9" t="n"/>
      <c r="D75" s="9" t="n"/>
      <c r="E75" s="9" t="n"/>
      <c r="F75" s="71" t="n"/>
      <c r="G75" s="30">
        <f>IF(F75="","",ROUND(F75*Configuracion!$B$11,0))</f>
        <v/>
      </c>
      <c r="H75" s="30">
        <f>IF(F75="","",F75+G75)</f>
        <v/>
      </c>
      <c r="I75" s="71" t="n"/>
      <c r="J75" s="9" t="n"/>
      <c r="K75" s="30">
        <f>IF(I75="","",IF(J75="Sí",ROUND(I75*Configuracion!$B$11,0),0))</f>
        <v/>
      </c>
      <c r="L75" s="30">
        <f>IF(F75="","",F75-IF(I75="",0,I75))</f>
        <v/>
      </c>
      <c r="M75" s="15">
        <f>IF(A75="","",YEAR(A75))</f>
        <v/>
      </c>
      <c r="N75" s="15">
        <f>IF(A75="","",MONTH(A75))</f>
        <v/>
      </c>
    </row>
    <row r="76">
      <c r="A76" s="70" t="n"/>
      <c r="B76" s="9" t="n"/>
      <c r="C76" s="9" t="n"/>
      <c r="D76" s="9" t="n"/>
      <c r="E76" s="9" t="n"/>
      <c r="F76" s="71" t="n"/>
      <c r="G76" s="30">
        <f>IF(F76="","",ROUND(F76*Configuracion!$B$11,0))</f>
        <v/>
      </c>
      <c r="H76" s="30">
        <f>IF(F76="","",F76+G76)</f>
        <v/>
      </c>
      <c r="I76" s="71" t="n"/>
      <c r="J76" s="9" t="n"/>
      <c r="K76" s="30">
        <f>IF(I76="","",IF(J76="Sí",ROUND(I76*Configuracion!$B$11,0),0))</f>
        <v/>
      </c>
      <c r="L76" s="30">
        <f>IF(F76="","",F76-IF(I76="",0,I76))</f>
        <v/>
      </c>
      <c r="M76" s="15">
        <f>IF(A76="","",YEAR(A76))</f>
        <v/>
      </c>
      <c r="N76" s="15">
        <f>IF(A76="","",MONTH(A76))</f>
        <v/>
      </c>
    </row>
    <row r="77">
      <c r="A77" s="70" t="n"/>
      <c r="B77" s="9" t="n"/>
      <c r="C77" s="9" t="n"/>
      <c r="D77" s="9" t="n"/>
      <c r="E77" s="9" t="n"/>
      <c r="F77" s="71" t="n"/>
      <c r="G77" s="30">
        <f>IF(F77="","",ROUND(F77*Configuracion!$B$11,0))</f>
        <v/>
      </c>
      <c r="H77" s="30">
        <f>IF(F77="","",F77+G77)</f>
        <v/>
      </c>
      <c r="I77" s="71" t="n"/>
      <c r="J77" s="9" t="n"/>
      <c r="K77" s="30">
        <f>IF(I77="","",IF(J77="Sí",ROUND(I77*Configuracion!$B$11,0),0))</f>
        <v/>
      </c>
      <c r="L77" s="30">
        <f>IF(F77="","",F77-IF(I77="",0,I77))</f>
        <v/>
      </c>
      <c r="M77" s="15">
        <f>IF(A77="","",YEAR(A77))</f>
        <v/>
      </c>
      <c r="N77" s="15">
        <f>IF(A77="","",MONTH(A77))</f>
        <v/>
      </c>
    </row>
    <row r="78">
      <c r="A78" s="70" t="n"/>
      <c r="B78" s="9" t="n"/>
      <c r="C78" s="9" t="n"/>
      <c r="D78" s="9" t="n"/>
      <c r="E78" s="9" t="n"/>
      <c r="F78" s="71" t="n"/>
      <c r="G78" s="30">
        <f>IF(F78="","",ROUND(F78*Configuracion!$B$11,0))</f>
        <v/>
      </c>
      <c r="H78" s="30">
        <f>IF(F78="","",F78+G78)</f>
        <v/>
      </c>
      <c r="I78" s="71" t="n"/>
      <c r="J78" s="9" t="n"/>
      <c r="K78" s="30">
        <f>IF(I78="","",IF(J78="Sí",ROUND(I78*Configuracion!$B$11,0),0))</f>
        <v/>
      </c>
      <c r="L78" s="30">
        <f>IF(F78="","",F78-IF(I78="",0,I78))</f>
        <v/>
      </c>
      <c r="M78" s="15">
        <f>IF(A78="","",YEAR(A78))</f>
        <v/>
      </c>
      <c r="N78" s="15">
        <f>IF(A78="","",MONTH(A78))</f>
        <v/>
      </c>
    </row>
    <row r="79">
      <c r="A79" s="70" t="n"/>
      <c r="B79" s="9" t="n"/>
      <c r="C79" s="9" t="n"/>
      <c r="D79" s="9" t="n"/>
      <c r="E79" s="9" t="n"/>
      <c r="F79" s="71" t="n"/>
      <c r="G79" s="30">
        <f>IF(F79="","",ROUND(F79*Configuracion!$B$11,0))</f>
        <v/>
      </c>
      <c r="H79" s="30">
        <f>IF(F79="","",F79+G79)</f>
        <v/>
      </c>
      <c r="I79" s="71" t="n"/>
      <c r="J79" s="9" t="n"/>
      <c r="K79" s="30">
        <f>IF(I79="","",IF(J79="Sí",ROUND(I79*Configuracion!$B$11,0),0))</f>
        <v/>
      </c>
      <c r="L79" s="30">
        <f>IF(F79="","",F79-IF(I79="",0,I79))</f>
        <v/>
      </c>
      <c r="M79" s="15">
        <f>IF(A79="","",YEAR(A79))</f>
        <v/>
      </c>
      <c r="N79" s="15">
        <f>IF(A79="","",MONTH(A79))</f>
        <v/>
      </c>
    </row>
    <row r="80">
      <c r="A80" s="70" t="n"/>
      <c r="B80" s="9" t="n"/>
      <c r="C80" s="9" t="n"/>
      <c r="D80" s="9" t="n"/>
      <c r="E80" s="9" t="n"/>
      <c r="F80" s="71" t="n"/>
      <c r="G80" s="30">
        <f>IF(F80="","",ROUND(F80*Configuracion!$B$11,0))</f>
        <v/>
      </c>
      <c r="H80" s="30">
        <f>IF(F80="","",F80+G80)</f>
        <v/>
      </c>
      <c r="I80" s="71" t="n"/>
      <c r="J80" s="9" t="n"/>
      <c r="K80" s="30">
        <f>IF(I80="","",IF(J80="Sí",ROUND(I80*Configuracion!$B$11,0),0))</f>
        <v/>
      </c>
      <c r="L80" s="30">
        <f>IF(F80="","",F80-IF(I80="",0,I80))</f>
        <v/>
      </c>
      <c r="M80" s="15">
        <f>IF(A80="","",YEAR(A80))</f>
        <v/>
      </c>
      <c r="N80" s="15">
        <f>IF(A80="","",MONTH(A80))</f>
        <v/>
      </c>
    </row>
    <row r="81">
      <c r="A81" s="70" t="n"/>
      <c r="B81" s="9" t="n"/>
      <c r="C81" s="9" t="n"/>
      <c r="D81" s="9" t="n"/>
      <c r="E81" s="9" t="n"/>
      <c r="F81" s="71" t="n"/>
      <c r="G81" s="30">
        <f>IF(F81="","",ROUND(F81*Configuracion!$B$11,0))</f>
        <v/>
      </c>
      <c r="H81" s="30">
        <f>IF(F81="","",F81+G81)</f>
        <v/>
      </c>
      <c r="I81" s="71" t="n"/>
      <c r="J81" s="9" t="n"/>
      <c r="K81" s="30">
        <f>IF(I81="","",IF(J81="Sí",ROUND(I81*Configuracion!$B$11,0),0))</f>
        <v/>
      </c>
      <c r="L81" s="30">
        <f>IF(F81="","",F81-IF(I81="",0,I81))</f>
        <v/>
      </c>
      <c r="M81" s="15">
        <f>IF(A81="","",YEAR(A81))</f>
        <v/>
      </c>
      <c r="N81" s="15">
        <f>IF(A81="","",MONTH(A81))</f>
        <v/>
      </c>
    </row>
    <row r="82">
      <c r="A82" s="70" t="n"/>
      <c r="B82" s="9" t="n"/>
      <c r="C82" s="9" t="n"/>
      <c r="D82" s="9" t="n"/>
      <c r="E82" s="9" t="n"/>
      <c r="F82" s="71" t="n"/>
      <c r="G82" s="30">
        <f>IF(F82="","",ROUND(F82*Configuracion!$B$11,0))</f>
        <v/>
      </c>
      <c r="H82" s="30">
        <f>IF(F82="","",F82+G82)</f>
        <v/>
      </c>
      <c r="I82" s="71" t="n"/>
      <c r="J82" s="9" t="n"/>
      <c r="K82" s="30">
        <f>IF(I82="","",IF(J82="Sí",ROUND(I82*Configuracion!$B$11,0),0))</f>
        <v/>
      </c>
      <c r="L82" s="30">
        <f>IF(F82="","",F82-IF(I82="",0,I82))</f>
        <v/>
      </c>
      <c r="M82" s="15">
        <f>IF(A82="","",YEAR(A82))</f>
        <v/>
      </c>
      <c r="N82" s="15">
        <f>IF(A82="","",MONTH(A82))</f>
        <v/>
      </c>
    </row>
    <row r="83">
      <c r="A83" s="70" t="n"/>
      <c r="B83" s="9" t="n"/>
      <c r="C83" s="9" t="n"/>
      <c r="D83" s="9" t="n"/>
      <c r="E83" s="9" t="n"/>
      <c r="F83" s="71" t="n"/>
      <c r="G83" s="30">
        <f>IF(F83="","",ROUND(F83*Configuracion!$B$11,0))</f>
        <v/>
      </c>
      <c r="H83" s="30">
        <f>IF(F83="","",F83+G83)</f>
        <v/>
      </c>
      <c r="I83" s="71" t="n"/>
      <c r="J83" s="9" t="n"/>
      <c r="K83" s="30">
        <f>IF(I83="","",IF(J83="Sí",ROUND(I83*Configuracion!$B$11,0),0))</f>
        <v/>
      </c>
      <c r="L83" s="30">
        <f>IF(F83="","",F83-IF(I83="",0,I83))</f>
        <v/>
      </c>
      <c r="M83" s="15">
        <f>IF(A83="","",YEAR(A83))</f>
        <v/>
      </c>
      <c r="N83" s="15">
        <f>IF(A83="","",MONTH(A83))</f>
        <v/>
      </c>
    </row>
    <row r="84">
      <c r="A84" s="70" t="n"/>
      <c r="B84" s="9" t="n"/>
      <c r="C84" s="9" t="n"/>
      <c r="D84" s="9" t="n"/>
      <c r="E84" s="9" t="n"/>
      <c r="F84" s="71" t="n"/>
      <c r="G84" s="30">
        <f>IF(F84="","",ROUND(F84*Configuracion!$B$11,0))</f>
        <v/>
      </c>
      <c r="H84" s="30">
        <f>IF(F84="","",F84+G84)</f>
        <v/>
      </c>
      <c r="I84" s="71" t="n"/>
      <c r="J84" s="9" t="n"/>
      <c r="K84" s="30">
        <f>IF(I84="","",IF(J84="Sí",ROUND(I84*Configuracion!$B$11,0),0))</f>
        <v/>
      </c>
      <c r="L84" s="30">
        <f>IF(F84="","",F84-IF(I84="",0,I84))</f>
        <v/>
      </c>
      <c r="M84" s="15">
        <f>IF(A84="","",YEAR(A84))</f>
        <v/>
      </c>
      <c r="N84" s="15">
        <f>IF(A84="","",MONTH(A84))</f>
        <v/>
      </c>
    </row>
    <row r="85">
      <c r="A85" s="70" t="n"/>
      <c r="B85" s="9" t="n"/>
      <c r="C85" s="9" t="n"/>
      <c r="D85" s="9" t="n"/>
      <c r="E85" s="9" t="n"/>
      <c r="F85" s="71" t="n"/>
      <c r="G85" s="30">
        <f>IF(F85="","",ROUND(F85*Configuracion!$B$11,0))</f>
        <v/>
      </c>
      <c r="H85" s="30">
        <f>IF(F85="","",F85+G85)</f>
        <v/>
      </c>
      <c r="I85" s="71" t="n"/>
      <c r="J85" s="9" t="n"/>
      <c r="K85" s="30">
        <f>IF(I85="","",IF(J85="Sí",ROUND(I85*Configuracion!$B$11,0),0))</f>
        <v/>
      </c>
      <c r="L85" s="30">
        <f>IF(F85="","",F85-IF(I85="",0,I85))</f>
        <v/>
      </c>
      <c r="M85" s="15">
        <f>IF(A85="","",YEAR(A85))</f>
        <v/>
      </c>
      <c r="N85" s="15">
        <f>IF(A85="","",MONTH(A85))</f>
        <v/>
      </c>
    </row>
    <row r="86">
      <c r="A86" s="70" t="n"/>
      <c r="B86" s="9" t="n"/>
      <c r="C86" s="9" t="n"/>
      <c r="D86" s="9" t="n"/>
      <c r="E86" s="9" t="n"/>
      <c r="F86" s="71" t="n"/>
      <c r="G86" s="30">
        <f>IF(F86="","",ROUND(F86*Configuracion!$B$11,0))</f>
        <v/>
      </c>
      <c r="H86" s="30">
        <f>IF(F86="","",F86+G86)</f>
        <v/>
      </c>
      <c r="I86" s="71" t="n"/>
      <c r="J86" s="9" t="n"/>
      <c r="K86" s="30">
        <f>IF(I86="","",IF(J86="Sí",ROUND(I86*Configuracion!$B$11,0),0))</f>
        <v/>
      </c>
      <c r="L86" s="30">
        <f>IF(F86="","",F86-IF(I86="",0,I86))</f>
        <v/>
      </c>
      <c r="M86" s="15">
        <f>IF(A86="","",YEAR(A86))</f>
        <v/>
      </c>
      <c r="N86" s="15">
        <f>IF(A86="","",MONTH(A86))</f>
        <v/>
      </c>
    </row>
    <row r="87">
      <c r="A87" s="70" t="n"/>
      <c r="B87" s="9" t="n"/>
      <c r="C87" s="9" t="n"/>
      <c r="D87" s="9" t="n"/>
      <c r="E87" s="9" t="n"/>
      <c r="F87" s="71" t="n"/>
      <c r="G87" s="30">
        <f>IF(F87="","",ROUND(F87*Configuracion!$B$11,0))</f>
        <v/>
      </c>
      <c r="H87" s="30">
        <f>IF(F87="","",F87+G87)</f>
        <v/>
      </c>
      <c r="I87" s="71" t="n"/>
      <c r="J87" s="9" t="n"/>
      <c r="K87" s="30">
        <f>IF(I87="","",IF(J87="Sí",ROUND(I87*Configuracion!$B$11,0),0))</f>
        <v/>
      </c>
      <c r="L87" s="30">
        <f>IF(F87="","",F87-IF(I87="",0,I87))</f>
        <v/>
      </c>
      <c r="M87" s="15">
        <f>IF(A87="","",YEAR(A87))</f>
        <v/>
      </c>
      <c r="N87" s="15">
        <f>IF(A87="","",MONTH(A87))</f>
        <v/>
      </c>
    </row>
    <row r="88">
      <c r="A88" s="70" t="n"/>
      <c r="B88" s="9" t="n"/>
      <c r="C88" s="9" t="n"/>
      <c r="D88" s="9" t="n"/>
      <c r="E88" s="9" t="n"/>
      <c r="F88" s="71" t="n"/>
      <c r="G88" s="30">
        <f>IF(F88="","",ROUND(F88*Configuracion!$B$11,0))</f>
        <v/>
      </c>
      <c r="H88" s="30">
        <f>IF(F88="","",F88+G88)</f>
        <v/>
      </c>
      <c r="I88" s="71" t="n"/>
      <c r="J88" s="9" t="n"/>
      <c r="K88" s="30">
        <f>IF(I88="","",IF(J88="Sí",ROUND(I88*Configuracion!$B$11,0),0))</f>
        <v/>
      </c>
      <c r="L88" s="30">
        <f>IF(F88="","",F88-IF(I88="",0,I88))</f>
        <v/>
      </c>
      <c r="M88" s="15">
        <f>IF(A88="","",YEAR(A88))</f>
        <v/>
      </c>
      <c r="N88" s="15">
        <f>IF(A88="","",MONTH(A88))</f>
        <v/>
      </c>
    </row>
    <row r="89">
      <c r="A89" s="70" t="n"/>
      <c r="B89" s="9" t="n"/>
      <c r="C89" s="9" t="n"/>
      <c r="D89" s="9" t="n"/>
      <c r="E89" s="9" t="n"/>
      <c r="F89" s="71" t="n"/>
      <c r="G89" s="30">
        <f>IF(F89="","",ROUND(F89*Configuracion!$B$11,0))</f>
        <v/>
      </c>
      <c r="H89" s="30">
        <f>IF(F89="","",F89+G89)</f>
        <v/>
      </c>
      <c r="I89" s="71" t="n"/>
      <c r="J89" s="9" t="n"/>
      <c r="K89" s="30">
        <f>IF(I89="","",IF(J89="Sí",ROUND(I89*Configuracion!$B$11,0),0))</f>
        <v/>
      </c>
      <c r="L89" s="30">
        <f>IF(F89="","",F89-IF(I89="",0,I89))</f>
        <v/>
      </c>
      <c r="M89" s="15">
        <f>IF(A89="","",YEAR(A89))</f>
        <v/>
      </c>
      <c r="N89" s="15">
        <f>IF(A89="","",MONTH(A89))</f>
        <v/>
      </c>
    </row>
    <row r="90">
      <c r="A90" s="70" t="n"/>
      <c r="B90" s="9" t="n"/>
      <c r="C90" s="9" t="n"/>
      <c r="D90" s="9" t="n"/>
      <c r="E90" s="9" t="n"/>
      <c r="F90" s="71" t="n"/>
      <c r="G90" s="30">
        <f>IF(F90="","",ROUND(F90*Configuracion!$B$11,0))</f>
        <v/>
      </c>
      <c r="H90" s="30">
        <f>IF(F90="","",F90+G90)</f>
        <v/>
      </c>
      <c r="I90" s="71" t="n"/>
      <c r="J90" s="9" t="n"/>
      <c r="K90" s="30">
        <f>IF(I90="","",IF(J90="Sí",ROUND(I90*Configuracion!$B$11,0),0))</f>
        <v/>
      </c>
      <c r="L90" s="30">
        <f>IF(F90="","",F90-IF(I90="",0,I90))</f>
        <v/>
      </c>
      <c r="M90" s="15">
        <f>IF(A90="","",YEAR(A90))</f>
        <v/>
      </c>
      <c r="N90" s="15">
        <f>IF(A90="","",MONTH(A90))</f>
        <v/>
      </c>
    </row>
    <row r="91">
      <c r="A91" s="70" t="n"/>
      <c r="B91" s="9" t="n"/>
      <c r="C91" s="9" t="n"/>
      <c r="D91" s="9" t="n"/>
      <c r="E91" s="9" t="n"/>
      <c r="F91" s="71" t="n"/>
      <c r="G91" s="30">
        <f>IF(F91="","",ROUND(F91*Configuracion!$B$11,0))</f>
        <v/>
      </c>
      <c r="H91" s="30">
        <f>IF(F91="","",F91+G91)</f>
        <v/>
      </c>
      <c r="I91" s="71" t="n"/>
      <c r="J91" s="9" t="n"/>
      <c r="K91" s="30">
        <f>IF(I91="","",IF(J91="Sí",ROUND(I91*Configuracion!$B$11,0),0))</f>
        <v/>
      </c>
      <c r="L91" s="30">
        <f>IF(F91="","",F91-IF(I91="",0,I91))</f>
        <v/>
      </c>
      <c r="M91" s="15">
        <f>IF(A91="","",YEAR(A91))</f>
        <v/>
      </c>
      <c r="N91" s="15">
        <f>IF(A91="","",MONTH(A91))</f>
        <v/>
      </c>
    </row>
    <row r="92">
      <c r="A92" s="70" t="n"/>
      <c r="B92" s="9" t="n"/>
      <c r="C92" s="9" t="n"/>
      <c r="D92" s="9" t="n"/>
      <c r="E92" s="9" t="n"/>
      <c r="F92" s="71" t="n"/>
      <c r="G92" s="30">
        <f>IF(F92="","",ROUND(F92*Configuracion!$B$11,0))</f>
        <v/>
      </c>
      <c r="H92" s="30">
        <f>IF(F92="","",F92+G92)</f>
        <v/>
      </c>
      <c r="I92" s="71" t="n"/>
      <c r="J92" s="9" t="n"/>
      <c r="K92" s="30">
        <f>IF(I92="","",IF(J92="Sí",ROUND(I92*Configuracion!$B$11,0),0))</f>
        <v/>
      </c>
      <c r="L92" s="30">
        <f>IF(F92="","",F92-IF(I92="",0,I92))</f>
        <v/>
      </c>
      <c r="M92" s="15">
        <f>IF(A92="","",YEAR(A92))</f>
        <v/>
      </c>
      <c r="N92" s="15">
        <f>IF(A92="","",MONTH(A92))</f>
        <v/>
      </c>
    </row>
    <row r="93">
      <c r="A93" s="70" t="n"/>
      <c r="B93" s="9" t="n"/>
      <c r="C93" s="9" t="n"/>
      <c r="D93" s="9" t="n"/>
      <c r="E93" s="9" t="n"/>
      <c r="F93" s="71" t="n"/>
      <c r="G93" s="30">
        <f>IF(F93="","",ROUND(F93*Configuracion!$B$11,0))</f>
        <v/>
      </c>
      <c r="H93" s="30">
        <f>IF(F93="","",F93+G93)</f>
        <v/>
      </c>
      <c r="I93" s="71" t="n"/>
      <c r="J93" s="9" t="n"/>
      <c r="K93" s="30">
        <f>IF(I93="","",IF(J93="Sí",ROUND(I93*Configuracion!$B$11,0),0))</f>
        <v/>
      </c>
      <c r="L93" s="30">
        <f>IF(F93="","",F93-IF(I93="",0,I93))</f>
        <v/>
      </c>
      <c r="M93" s="15">
        <f>IF(A93="","",YEAR(A93))</f>
        <v/>
      </c>
      <c r="N93" s="15">
        <f>IF(A93="","",MONTH(A93))</f>
        <v/>
      </c>
    </row>
    <row r="94">
      <c r="A94" s="70" t="n"/>
      <c r="B94" s="9" t="n"/>
      <c r="C94" s="9" t="n"/>
      <c r="D94" s="9" t="n"/>
      <c r="E94" s="9" t="n"/>
      <c r="F94" s="71" t="n"/>
      <c r="G94" s="30">
        <f>IF(F94="","",ROUND(F94*Configuracion!$B$11,0))</f>
        <v/>
      </c>
      <c r="H94" s="30">
        <f>IF(F94="","",F94+G94)</f>
        <v/>
      </c>
      <c r="I94" s="71" t="n"/>
      <c r="J94" s="9" t="n"/>
      <c r="K94" s="30">
        <f>IF(I94="","",IF(J94="Sí",ROUND(I94*Configuracion!$B$11,0),0))</f>
        <v/>
      </c>
      <c r="L94" s="30">
        <f>IF(F94="","",F94-IF(I94="",0,I94))</f>
        <v/>
      </c>
      <c r="M94" s="15">
        <f>IF(A94="","",YEAR(A94))</f>
        <v/>
      </c>
      <c r="N94" s="15">
        <f>IF(A94="","",MONTH(A94))</f>
        <v/>
      </c>
    </row>
    <row r="95">
      <c r="A95" s="70" t="n"/>
      <c r="B95" s="9" t="n"/>
      <c r="C95" s="9" t="n"/>
      <c r="D95" s="9" t="n"/>
      <c r="E95" s="9" t="n"/>
      <c r="F95" s="71" t="n"/>
      <c r="G95" s="30">
        <f>IF(F95="","",ROUND(F95*Configuracion!$B$11,0))</f>
        <v/>
      </c>
      <c r="H95" s="30">
        <f>IF(F95="","",F95+G95)</f>
        <v/>
      </c>
      <c r="I95" s="71" t="n"/>
      <c r="J95" s="9" t="n"/>
      <c r="K95" s="30">
        <f>IF(I95="","",IF(J95="Sí",ROUND(I95*Configuracion!$B$11,0),0))</f>
        <v/>
      </c>
      <c r="L95" s="30">
        <f>IF(F95="","",F95-IF(I95="",0,I95))</f>
        <v/>
      </c>
      <c r="M95" s="15">
        <f>IF(A95="","",YEAR(A95))</f>
        <v/>
      </c>
      <c r="N95" s="15">
        <f>IF(A95="","",MONTH(A95))</f>
        <v/>
      </c>
    </row>
    <row r="96">
      <c r="A96" s="70" t="n"/>
      <c r="B96" s="9" t="n"/>
      <c r="C96" s="9" t="n"/>
      <c r="D96" s="9" t="n"/>
      <c r="E96" s="9" t="n"/>
      <c r="F96" s="71" t="n"/>
      <c r="G96" s="30">
        <f>IF(F96="","",ROUND(F96*Configuracion!$B$11,0))</f>
        <v/>
      </c>
      <c r="H96" s="30">
        <f>IF(F96="","",F96+G96)</f>
        <v/>
      </c>
      <c r="I96" s="71" t="n"/>
      <c r="J96" s="9" t="n"/>
      <c r="K96" s="30">
        <f>IF(I96="","",IF(J96="Sí",ROUND(I96*Configuracion!$B$11,0),0))</f>
        <v/>
      </c>
      <c r="L96" s="30">
        <f>IF(F96="","",F96-IF(I96="",0,I96))</f>
        <v/>
      </c>
      <c r="M96" s="15">
        <f>IF(A96="","",YEAR(A96))</f>
        <v/>
      </c>
      <c r="N96" s="15">
        <f>IF(A96="","",MONTH(A96))</f>
        <v/>
      </c>
    </row>
    <row r="97">
      <c r="A97" s="70" t="n"/>
      <c r="B97" s="9" t="n"/>
      <c r="C97" s="9" t="n"/>
      <c r="D97" s="9" t="n"/>
      <c r="E97" s="9" t="n"/>
      <c r="F97" s="71" t="n"/>
      <c r="G97" s="30">
        <f>IF(F97="","",ROUND(F97*Configuracion!$B$11,0))</f>
        <v/>
      </c>
      <c r="H97" s="30">
        <f>IF(F97="","",F97+G97)</f>
        <v/>
      </c>
      <c r="I97" s="71" t="n"/>
      <c r="J97" s="9" t="n"/>
      <c r="K97" s="30">
        <f>IF(I97="","",IF(J97="Sí",ROUND(I97*Configuracion!$B$11,0),0))</f>
        <v/>
      </c>
      <c r="L97" s="30">
        <f>IF(F97="","",F97-IF(I97="",0,I97))</f>
        <v/>
      </c>
      <c r="M97" s="15">
        <f>IF(A97="","",YEAR(A97))</f>
        <v/>
      </c>
      <c r="N97" s="15">
        <f>IF(A97="","",MONTH(A97))</f>
        <v/>
      </c>
    </row>
    <row r="98">
      <c r="A98" s="70" t="n"/>
      <c r="B98" s="9" t="n"/>
      <c r="C98" s="9" t="n"/>
      <c r="D98" s="9" t="n"/>
      <c r="E98" s="9" t="n"/>
      <c r="F98" s="71" t="n"/>
      <c r="G98" s="30">
        <f>IF(F98="","",ROUND(F98*Configuracion!$B$11,0))</f>
        <v/>
      </c>
      <c r="H98" s="30">
        <f>IF(F98="","",F98+G98)</f>
        <v/>
      </c>
      <c r="I98" s="71" t="n"/>
      <c r="J98" s="9" t="n"/>
      <c r="K98" s="30">
        <f>IF(I98="","",IF(J98="Sí",ROUND(I98*Configuracion!$B$11,0),0))</f>
        <v/>
      </c>
      <c r="L98" s="30">
        <f>IF(F98="","",F98-IF(I98="",0,I98))</f>
        <v/>
      </c>
      <c r="M98" s="15">
        <f>IF(A98="","",YEAR(A98))</f>
        <v/>
      </c>
      <c r="N98" s="15">
        <f>IF(A98="","",MONTH(A98))</f>
        <v/>
      </c>
    </row>
    <row r="99">
      <c r="A99" s="70" t="n"/>
      <c r="B99" s="9" t="n"/>
      <c r="C99" s="9" t="n"/>
      <c r="D99" s="9" t="n"/>
      <c r="E99" s="9" t="n"/>
      <c r="F99" s="71" t="n"/>
      <c r="G99" s="30">
        <f>IF(F99="","",ROUND(F99*Configuracion!$B$11,0))</f>
        <v/>
      </c>
      <c r="H99" s="30">
        <f>IF(F99="","",F99+G99)</f>
        <v/>
      </c>
      <c r="I99" s="71" t="n"/>
      <c r="J99" s="9" t="n"/>
      <c r="K99" s="30">
        <f>IF(I99="","",IF(J99="Sí",ROUND(I99*Configuracion!$B$11,0),0))</f>
        <v/>
      </c>
      <c r="L99" s="30">
        <f>IF(F99="","",F99-IF(I99="",0,I99))</f>
        <v/>
      </c>
      <c r="M99" s="15">
        <f>IF(A99="","",YEAR(A99))</f>
        <v/>
      </c>
      <c r="N99" s="15">
        <f>IF(A99="","",MONTH(A99))</f>
        <v/>
      </c>
    </row>
    <row r="100">
      <c r="A100" s="70" t="n"/>
      <c r="B100" s="9" t="n"/>
      <c r="C100" s="9" t="n"/>
      <c r="D100" s="9" t="n"/>
      <c r="E100" s="9" t="n"/>
      <c r="F100" s="71" t="n"/>
      <c r="G100" s="30">
        <f>IF(F100="","",ROUND(F100*Configuracion!$B$11,0))</f>
        <v/>
      </c>
      <c r="H100" s="30">
        <f>IF(F100="","",F100+G100)</f>
        <v/>
      </c>
      <c r="I100" s="71" t="n"/>
      <c r="J100" s="9" t="n"/>
      <c r="K100" s="30">
        <f>IF(I100="","",IF(J100="Sí",ROUND(I100*Configuracion!$B$11,0),0))</f>
        <v/>
      </c>
      <c r="L100" s="30">
        <f>IF(F100="","",F100-IF(I100="",0,I100))</f>
        <v/>
      </c>
      <c r="M100" s="15">
        <f>IF(A100="","",YEAR(A100))</f>
        <v/>
      </c>
      <c r="N100" s="15">
        <f>IF(A100="","",MONTH(A100))</f>
        <v/>
      </c>
    </row>
    <row r="101">
      <c r="A101" s="70" t="n"/>
      <c r="B101" s="9" t="n"/>
      <c r="C101" s="9" t="n"/>
      <c r="D101" s="9" t="n"/>
      <c r="E101" s="9" t="n"/>
      <c r="F101" s="71" t="n"/>
      <c r="G101" s="30">
        <f>IF(F101="","",ROUND(F101*Configuracion!$B$11,0))</f>
        <v/>
      </c>
      <c r="H101" s="30">
        <f>IF(F101="","",F101+G101)</f>
        <v/>
      </c>
      <c r="I101" s="71" t="n"/>
      <c r="J101" s="9" t="n"/>
      <c r="K101" s="30">
        <f>IF(I101="","",IF(J101="Sí",ROUND(I101*Configuracion!$B$11,0),0))</f>
        <v/>
      </c>
      <c r="L101" s="30">
        <f>IF(F101="","",F101-IF(I101="",0,I101))</f>
        <v/>
      </c>
      <c r="M101" s="15">
        <f>IF(A101="","",YEAR(A101))</f>
        <v/>
      </c>
      <c r="N101" s="15">
        <f>IF(A101="","",MONTH(A101))</f>
        <v/>
      </c>
    </row>
    <row r="102">
      <c r="A102" s="70" t="n"/>
      <c r="B102" s="9" t="n"/>
      <c r="C102" s="9" t="n"/>
      <c r="D102" s="9" t="n"/>
      <c r="E102" s="9" t="n"/>
      <c r="F102" s="71" t="n"/>
      <c r="G102" s="30">
        <f>IF(F102="","",ROUND(F102*Configuracion!$B$11,0))</f>
        <v/>
      </c>
      <c r="H102" s="30">
        <f>IF(F102="","",F102+G102)</f>
        <v/>
      </c>
      <c r="I102" s="71" t="n"/>
      <c r="J102" s="9" t="n"/>
      <c r="K102" s="30">
        <f>IF(I102="","",IF(J102="Sí",ROUND(I102*Configuracion!$B$11,0),0))</f>
        <v/>
      </c>
      <c r="L102" s="30">
        <f>IF(F102="","",F102-IF(I102="",0,I102))</f>
        <v/>
      </c>
      <c r="M102" s="15">
        <f>IF(A102="","",YEAR(A102))</f>
        <v/>
      </c>
      <c r="N102" s="15">
        <f>IF(A102="","",MONTH(A102))</f>
        <v/>
      </c>
    </row>
    <row r="103">
      <c r="A103" s="70" t="n"/>
      <c r="B103" s="9" t="n"/>
      <c r="C103" s="9" t="n"/>
      <c r="D103" s="9" t="n"/>
      <c r="E103" s="9" t="n"/>
      <c r="F103" s="71" t="n"/>
      <c r="G103" s="30">
        <f>IF(F103="","",ROUND(F103*Configuracion!$B$11,0))</f>
        <v/>
      </c>
      <c r="H103" s="30">
        <f>IF(F103="","",F103+G103)</f>
        <v/>
      </c>
      <c r="I103" s="71" t="n"/>
      <c r="J103" s="9" t="n"/>
      <c r="K103" s="30">
        <f>IF(I103="","",IF(J103="Sí",ROUND(I103*Configuracion!$B$11,0),0))</f>
        <v/>
      </c>
      <c r="L103" s="30">
        <f>IF(F103="","",F103-IF(I103="",0,I103))</f>
        <v/>
      </c>
      <c r="M103" s="15">
        <f>IF(A103="","",YEAR(A103))</f>
        <v/>
      </c>
      <c r="N103" s="15">
        <f>IF(A103="","",MONTH(A103))</f>
        <v/>
      </c>
    </row>
    <row r="104">
      <c r="A104" s="70" t="n"/>
      <c r="B104" s="9" t="n"/>
      <c r="C104" s="9" t="n"/>
      <c r="D104" s="9" t="n"/>
      <c r="E104" s="9" t="n"/>
      <c r="F104" s="71" t="n"/>
      <c r="G104" s="30">
        <f>IF(F104="","",ROUND(F104*Configuracion!$B$11,0))</f>
        <v/>
      </c>
      <c r="H104" s="30">
        <f>IF(F104="","",F104+G104)</f>
        <v/>
      </c>
      <c r="I104" s="71" t="n"/>
      <c r="J104" s="9" t="n"/>
      <c r="K104" s="30">
        <f>IF(I104="","",IF(J104="Sí",ROUND(I104*Configuracion!$B$11,0),0))</f>
        <v/>
      </c>
      <c r="L104" s="30">
        <f>IF(F104="","",F104-IF(I104="",0,I104))</f>
        <v/>
      </c>
      <c r="M104" s="15">
        <f>IF(A104="","",YEAR(A104))</f>
        <v/>
      </c>
      <c r="N104" s="15">
        <f>IF(A104="","",MONTH(A104))</f>
        <v/>
      </c>
    </row>
    <row r="105">
      <c r="A105" s="70" t="n"/>
      <c r="B105" s="9" t="n"/>
      <c r="C105" s="9" t="n"/>
      <c r="D105" s="9" t="n"/>
      <c r="E105" s="9" t="n"/>
      <c r="F105" s="71" t="n"/>
      <c r="G105" s="30">
        <f>IF(F105="","",ROUND(F105*Configuracion!$B$11,0))</f>
        <v/>
      </c>
      <c r="H105" s="30">
        <f>IF(F105="","",F105+G105)</f>
        <v/>
      </c>
      <c r="I105" s="71" t="n"/>
      <c r="J105" s="9" t="n"/>
      <c r="K105" s="30">
        <f>IF(I105="","",IF(J105="Sí",ROUND(I105*Configuracion!$B$11,0),0))</f>
        <v/>
      </c>
      <c r="L105" s="30">
        <f>IF(F105="","",F105-IF(I105="",0,I105))</f>
        <v/>
      </c>
      <c r="M105" s="15">
        <f>IF(A105="","",YEAR(A105))</f>
        <v/>
      </c>
      <c r="N105" s="15">
        <f>IF(A105="","",MONTH(A105))</f>
        <v/>
      </c>
    </row>
    <row r="106">
      <c r="A106" s="70" t="n"/>
      <c r="B106" s="9" t="n"/>
      <c r="C106" s="9" t="n"/>
      <c r="D106" s="9" t="n"/>
      <c r="E106" s="9" t="n"/>
      <c r="F106" s="71" t="n"/>
      <c r="G106" s="30">
        <f>IF(F106="","",ROUND(F106*Configuracion!$B$11,0))</f>
        <v/>
      </c>
      <c r="H106" s="30">
        <f>IF(F106="","",F106+G106)</f>
        <v/>
      </c>
      <c r="I106" s="71" t="n"/>
      <c r="J106" s="9" t="n"/>
      <c r="K106" s="30">
        <f>IF(I106="","",IF(J106="Sí",ROUND(I106*Configuracion!$B$11,0),0))</f>
        <v/>
      </c>
      <c r="L106" s="30">
        <f>IF(F106="","",F106-IF(I106="",0,I106))</f>
        <v/>
      </c>
      <c r="M106" s="15">
        <f>IF(A106="","",YEAR(A106))</f>
        <v/>
      </c>
      <c r="N106" s="15">
        <f>IF(A106="","",MONTH(A106))</f>
        <v/>
      </c>
    </row>
    <row r="107">
      <c r="A107" s="70" t="n"/>
      <c r="B107" s="9" t="n"/>
      <c r="C107" s="9" t="n"/>
      <c r="D107" s="9" t="n"/>
      <c r="E107" s="9" t="n"/>
      <c r="F107" s="71" t="n"/>
      <c r="G107" s="30">
        <f>IF(F107="","",ROUND(F107*Configuracion!$B$11,0))</f>
        <v/>
      </c>
      <c r="H107" s="30">
        <f>IF(F107="","",F107+G107)</f>
        <v/>
      </c>
      <c r="I107" s="71" t="n"/>
      <c r="J107" s="9" t="n"/>
      <c r="K107" s="30">
        <f>IF(I107="","",IF(J107="Sí",ROUND(I107*Configuracion!$B$11,0),0))</f>
        <v/>
      </c>
      <c r="L107" s="30">
        <f>IF(F107="","",F107-IF(I107="",0,I107))</f>
        <v/>
      </c>
      <c r="M107" s="15">
        <f>IF(A107="","",YEAR(A107))</f>
        <v/>
      </c>
      <c r="N107" s="15">
        <f>IF(A107="","",MONTH(A107))</f>
        <v/>
      </c>
    </row>
    <row r="108">
      <c r="A108" s="70" t="n"/>
      <c r="B108" s="9" t="n"/>
      <c r="C108" s="9" t="n"/>
      <c r="D108" s="9" t="n"/>
      <c r="E108" s="9" t="n"/>
      <c r="F108" s="71" t="n"/>
      <c r="G108" s="30">
        <f>IF(F108="","",ROUND(F108*Configuracion!$B$11,0))</f>
        <v/>
      </c>
      <c r="H108" s="30">
        <f>IF(F108="","",F108+G108)</f>
        <v/>
      </c>
      <c r="I108" s="71" t="n"/>
      <c r="J108" s="9" t="n"/>
      <c r="K108" s="30">
        <f>IF(I108="","",IF(J108="Sí",ROUND(I108*Configuracion!$B$11,0),0))</f>
        <v/>
      </c>
      <c r="L108" s="30">
        <f>IF(F108="","",F108-IF(I108="",0,I108))</f>
        <v/>
      </c>
      <c r="M108" s="15">
        <f>IF(A108="","",YEAR(A108))</f>
        <v/>
      </c>
      <c r="N108" s="15">
        <f>IF(A108="","",MONTH(A108))</f>
        <v/>
      </c>
    </row>
    <row r="109">
      <c r="A109" s="70" t="n"/>
      <c r="B109" s="9" t="n"/>
      <c r="C109" s="9" t="n"/>
      <c r="D109" s="9" t="n"/>
      <c r="E109" s="9" t="n"/>
      <c r="F109" s="71" t="n"/>
      <c r="G109" s="30">
        <f>IF(F109="","",ROUND(F109*Configuracion!$B$11,0))</f>
        <v/>
      </c>
      <c r="H109" s="30">
        <f>IF(F109="","",F109+G109)</f>
        <v/>
      </c>
      <c r="I109" s="71" t="n"/>
      <c r="J109" s="9" t="n"/>
      <c r="K109" s="30">
        <f>IF(I109="","",IF(J109="Sí",ROUND(I109*Configuracion!$B$11,0),0))</f>
        <v/>
      </c>
      <c r="L109" s="30">
        <f>IF(F109="","",F109-IF(I109="",0,I109))</f>
        <v/>
      </c>
      <c r="M109" s="15">
        <f>IF(A109="","",YEAR(A109))</f>
        <v/>
      </c>
      <c r="N109" s="15">
        <f>IF(A109="","",MONTH(A109))</f>
        <v/>
      </c>
    </row>
    <row r="110">
      <c r="A110" s="70" t="n"/>
      <c r="B110" s="9" t="n"/>
      <c r="C110" s="9" t="n"/>
      <c r="D110" s="9" t="n"/>
      <c r="E110" s="9" t="n"/>
      <c r="F110" s="71" t="n"/>
      <c r="G110" s="30">
        <f>IF(F110="","",ROUND(F110*Configuracion!$B$11,0))</f>
        <v/>
      </c>
      <c r="H110" s="30">
        <f>IF(F110="","",F110+G110)</f>
        <v/>
      </c>
      <c r="I110" s="71" t="n"/>
      <c r="J110" s="9" t="n"/>
      <c r="K110" s="30">
        <f>IF(I110="","",IF(J110="Sí",ROUND(I110*Configuracion!$B$11,0),0))</f>
        <v/>
      </c>
      <c r="L110" s="30">
        <f>IF(F110="","",F110-IF(I110="",0,I110))</f>
        <v/>
      </c>
      <c r="M110" s="15">
        <f>IF(A110="","",YEAR(A110))</f>
        <v/>
      </c>
      <c r="N110" s="15">
        <f>IF(A110="","",MONTH(A110))</f>
        <v/>
      </c>
    </row>
    <row r="111">
      <c r="A111" s="70" t="n"/>
      <c r="B111" s="9" t="n"/>
      <c r="C111" s="9" t="n"/>
      <c r="D111" s="9" t="n"/>
      <c r="E111" s="9" t="n"/>
      <c r="F111" s="71" t="n"/>
      <c r="G111" s="30">
        <f>IF(F111="","",ROUND(F111*Configuracion!$B$11,0))</f>
        <v/>
      </c>
      <c r="H111" s="30">
        <f>IF(F111="","",F111+G111)</f>
        <v/>
      </c>
      <c r="I111" s="71" t="n"/>
      <c r="J111" s="9" t="n"/>
      <c r="K111" s="30">
        <f>IF(I111="","",IF(J111="Sí",ROUND(I111*Configuracion!$B$11,0),0))</f>
        <v/>
      </c>
      <c r="L111" s="30">
        <f>IF(F111="","",F111-IF(I111="",0,I111))</f>
        <v/>
      </c>
      <c r="M111" s="15">
        <f>IF(A111="","",YEAR(A111))</f>
        <v/>
      </c>
      <c r="N111" s="15">
        <f>IF(A111="","",MONTH(A111))</f>
        <v/>
      </c>
    </row>
    <row r="112">
      <c r="A112" s="70" t="n"/>
      <c r="B112" s="9" t="n"/>
      <c r="C112" s="9" t="n"/>
      <c r="D112" s="9" t="n"/>
      <c r="E112" s="9" t="n"/>
      <c r="F112" s="71" t="n"/>
      <c r="G112" s="30">
        <f>IF(F112="","",ROUND(F112*Configuracion!$B$11,0))</f>
        <v/>
      </c>
      <c r="H112" s="30">
        <f>IF(F112="","",F112+G112)</f>
        <v/>
      </c>
      <c r="I112" s="71" t="n"/>
      <c r="J112" s="9" t="n"/>
      <c r="K112" s="30">
        <f>IF(I112="","",IF(J112="Sí",ROUND(I112*Configuracion!$B$11,0),0))</f>
        <v/>
      </c>
      <c r="L112" s="30">
        <f>IF(F112="","",F112-IF(I112="",0,I112))</f>
        <v/>
      </c>
      <c r="M112" s="15">
        <f>IF(A112="","",YEAR(A112))</f>
        <v/>
      </c>
      <c r="N112" s="15">
        <f>IF(A112="","",MONTH(A112))</f>
        <v/>
      </c>
    </row>
    <row r="113">
      <c r="A113" s="70" t="n"/>
      <c r="B113" s="9" t="n"/>
      <c r="C113" s="9" t="n"/>
      <c r="D113" s="9" t="n"/>
      <c r="E113" s="9" t="n"/>
      <c r="F113" s="71" t="n"/>
      <c r="G113" s="30">
        <f>IF(F113="","",ROUND(F113*Configuracion!$B$11,0))</f>
        <v/>
      </c>
      <c r="H113" s="30">
        <f>IF(F113="","",F113+G113)</f>
        <v/>
      </c>
      <c r="I113" s="71" t="n"/>
      <c r="J113" s="9" t="n"/>
      <c r="K113" s="30">
        <f>IF(I113="","",IF(J113="Sí",ROUND(I113*Configuracion!$B$11,0),0))</f>
        <v/>
      </c>
      <c r="L113" s="30">
        <f>IF(F113="","",F113-IF(I113="",0,I113))</f>
        <v/>
      </c>
      <c r="M113" s="15">
        <f>IF(A113="","",YEAR(A113))</f>
        <v/>
      </c>
      <c r="N113" s="15">
        <f>IF(A113="","",MONTH(A113))</f>
        <v/>
      </c>
    </row>
    <row r="114">
      <c r="A114" s="70" t="n"/>
      <c r="B114" s="9" t="n"/>
      <c r="C114" s="9" t="n"/>
      <c r="D114" s="9" t="n"/>
      <c r="E114" s="9" t="n"/>
      <c r="F114" s="71" t="n"/>
      <c r="G114" s="30">
        <f>IF(F114="","",ROUND(F114*Configuracion!$B$11,0))</f>
        <v/>
      </c>
      <c r="H114" s="30">
        <f>IF(F114="","",F114+G114)</f>
        <v/>
      </c>
      <c r="I114" s="71" t="n"/>
      <c r="J114" s="9" t="n"/>
      <c r="K114" s="30">
        <f>IF(I114="","",IF(J114="Sí",ROUND(I114*Configuracion!$B$11,0),0))</f>
        <v/>
      </c>
      <c r="L114" s="30">
        <f>IF(F114="","",F114-IF(I114="",0,I114))</f>
        <v/>
      </c>
      <c r="M114" s="15">
        <f>IF(A114="","",YEAR(A114))</f>
        <v/>
      </c>
      <c r="N114" s="15">
        <f>IF(A114="","",MONTH(A114))</f>
        <v/>
      </c>
    </row>
    <row r="115">
      <c r="A115" s="70" t="n"/>
      <c r="B115" s="9" t="n"/>
      <c r="C115" s="9" t="n"/>
      <c r="D115" s="9" t="n"/>
      <c r="E115" s="9" t="n"/>
      <c r="F115" s="71" t="n"/>
      <c r="G115" s="30">
        <f>IF(F115="","",ROUND(F115*Configuracion!$B$11,0))</f>
        <v/>
      </c>
      <c r="H115" s="30">
        <f>IF(F115="","",F115+G115)</f>
        <v/>
      </c>
      <c r="I115" s="71" t="n"/>
      <c r="J115" s="9" t="n"/>
      <c r="K115" s="30">
        <f>IF(I115="","",IF(J115="Sí",ROUND(I115*Configuracion!$B$11,0),0))</f>
        <v/>
      </c>
      <c r="L115" s="30">
        <f>IF(F115="","",F115-IF(I115="",0,I115))</f>
        <v/>
      </c>
      <c r="M115" s="15">
        <f>IF(A115="","",YEAR(A115))</f>
        <v/>
      </c>
      <c r="N115" s="15">
        <f>IF(A115="","",MONTH(A115))</f>
        <v/>
      </c>
    </row>
    <row r="116">
      <c r="A116" s="70" t="n"/>
      <c r="B116" s="9" t="n"/>
      <c r="C116" s="9" t="n"/>
      <c r="D116" s="9" t="n"/>
      <c r="E116" s="9" t="n"/>
      <c r="F116" s="71" t="n"/>
      <c r="G116" s="30">
        <f>IF(F116="","",ROUND(F116*Configuracion!$B$11,0))</f>
        <v/>
      </c>
      <c r="H116" s="30">
        <f>IF(F116="","",F116+G116)</f>
        <v/>
      </c>
      <c r="I116" s="71" t="n"/>
      <c r="J116" s="9" t="n"/>
      <c r="K116" s="30">
        <f>IF(I116="","",IF(J116="Sí",ROUND(I116*Configuracion!$B$11,0),0))</f>
        <v/>
      </c>
      <c r="L116" s="30">
        <f>IF(F116="","",F116-IF(I116="",0,I116))</f>
        <v/>
      </c>
      <c r="M116" s="15">
        <f>IF(A116="","",YEAR(A116))</f>
        <v/>
      </c>
      <c r="N116" s="15">
        <f>IF(A116="","",MONTH(A116))</f>
        <v/>
      </c>
    </row>
    <row r="117">
      <c r="A117" s="70" t="n"/>
      <c r="B117" s="9" t="n"/>
      <c r="C117" s="9" t="n"/>
      <c r="D117" s="9" t="n"/>
      <c r="E117" s="9" t="n"/>
      <c r="F117" s="71" t="n"/>
      <c r="G117" s="30">
        <f>IF(F117="","",ROUND(F117*Configuracion!$B$11,0))</f>
        <v/>
      </c>
      <c r="H117" s="30">
        <f>IF(F117="","",F117+G117)</f>
        <v/>
      </c>
      <c r="I117" s="71" t="n"/>
      <c r="J117" s="9" t="n"/>
      <c r="K117" s="30">
        <f>IF(I117="","",IF(J117="Sí",ROUND(I117*Configuracion!$B$11,0),0))</f>
        <v/>
      </c>
      <c r="L117" s="30">
        <f>IF(F117="","",F117-IF(I117="",0,I117))</f>
        <v/>
      </c>
      <c r="M117" s="15">
        <f>IF(A117="","",YEAR(A117))</f>
        <v/>
      </c>
      <c r="N117" s="15">
        <f>IF(A117="","",MONTH(A117))</f>
        <v/>
      </c>
    </row>
    <row r="118">
      <c r="A118" s="70" t="n"/>
      <c r="B118" s="9" t="n"/>
      <c r="C118" s="9" t="n"/>
      <c r="D118" s="9" t="n"/>
      <c r="E118" s="9" t="n"/>
      <c r="F118" s="71" t="n"/>
      <c r="G118" s="30">
        <f>IF(F118="","",ROUND(F118*Configuracion!$B$11,0))</f>
        <v/>
      </c>
      <c r="H118" s="30">
        <f>IF(F118="","",F118+G118)</f>
        <v/>
      </c>
      <c r="I118" s="71" t="n"/>
      <c r="J118" s="9" t="n"/>
      <c r="K118" s="30">
        <f>IF(I118="","",IF(J118="Sí",ROUND(I118*Configuracion!$B$11,0),0))</f>
        <v/>
      </c>
      <c r="L118" s="30">
        <f>IF(F118="","",F118-IF(I118="",0,I118))</f>
        <v/>
      </c>
      <c r="M118" s="15">
        <f>IF(A118="","",YEAR(A118))</f>
        <v/>
      </c>
      <c r="N118" s="15">
        <f>IF(A118="","",MONTH(A118))</f>
        <v/>
      </c>
    </row>
    <row r="119">
      <c r="A119" s="70" t="n"/>
      <c r="B119" s="9" t="n"/>
      <c r="C119" s="9" t="n"/>
      <c r="D119" s="9" t="n"/>
      <c r="E119" s="9" t="n"/>
      <c r="F119" s="71" t="n"/>
      <c r="G119" s="30">
        <f>IF(F119="","",ROUND(F119*Configuracion!$B$11,0))</f>
        <v/>
      </c>
      <c r="H119" s="30">
        <f>IF(F119="","",F119+G119)</f>
        <v/>
      </c>
      <c r="I119" s="71" t="n"/>
      <c r="J119" s="9" t="n"/>
      <c r="K119" s="30">
        <f>IF(I119="","",IF(J119="Sí",ROUND(I119*Configuracion!$B$11,0),0))</f>
        <v/>
      </c>
      <c r="L119" s="30">
        <f>IF(F119="","",F119-IF(I119="",0,I119))</f>
        <v/>
      </c>
      <c r="M119" s="15">
        <f>IF(A119="","",YEAR(A119))</f>
        <v/>
      </c>
      <c r="N119" s="15">
        <f>IF(A119="","",MONTH(A119))</f>
        <v/>
      </c>
    </row>
    <row r="120">
      <c r="A120" s="70" t="n"/>
      <c r="B120" s="9" t="n"/>
      <c r="C120" s="9" t="n"/>
      <c r="D120" s="9" t="n"/>
      <c r="E120" s="9" t="n"/>
      <c r="F120" s="71" t="n"/>
      <c r="G120" s="30">
        <f>IF(F120="","",ROUND(F120*Configuracion!$B$11,0))</f>
        <v/>
      </c>
      <c r="H120" s="30">
        <f>IF(F120="","",F120+G120)</f>
        <v/>
      </c>
      <c r="I120" s="71" t="n"/>
      <c r="J120" s="9" t="n"/>
      <c r="K120" s="30">
        <f>IF(I120="","",IF(J120="Sí",ROUND(I120*Configuracion!$B$11,0),0))</f>
        <v/>
      </c>
      <c r="L120" s="30">
        <f>IF(F120="","",F120-IF(I120="",0,I120))</f>
        <v/>
      </c>
      <c r="M120" s="15">
        <f>IF(A120="","",YEAR(A120))</f>
        <v/>
      </c>
      <c r="N120" s="15">
        <f>IF(A120="","",MONTH(A120))</f>
        <v/>
      </c>
    </row>
    <row r="121">
      <c r="A121" s="70" t="n"/>
      <c r="B121" s="9" t="n"/>
      <c r="C121" s="9" t="n"/>
      <c r="D121" s="9" t="n"/>
      <c r="E121" s="9" t="n"/>
      <c r="F121" s="71" t="n"/>
      <c r="G121" s="30">
        <f>IF(F121="","",ROUND(F121*Configuracion!$B$11,0))</f>
        <v/>
      </c>
      <c r="H121" s="30">
        <f>IF(F121="","",F121+G121)</f>
        <v/>
      </c>
      <c r="I121" s="71" t="n"/>
      <c r="J121" s="9" t="n"/>
      <c r="K121" s="30">
        <f>IF(I121="","",IF(J121="Sí",ROUND(I121*Configuracion!$B$11,0),0))</f>
        <v/>
      </c>
      <c r="L121" s="30">
        <f>IF(F121="","",F121-IF(I121="",0,I121))</f>
        <v/>
      </c>
      <c r="M121" s="15">
        <f>IF(A121="","",YEAR(A121))</f>
        <v/>
      </c>
      <c r="N121" s="15">
        <f>IF(A121="","",MONTH(A121))</f>
        <v/>
      </c>
    </row>
    <row r="122">
      <c r="A122" s="70" t="n"/>
      <c r="B122" s="9" t="n"/>
      <c r="C122" s="9" t="n"/>
      <c r="D122" s="9" t="n"/>
      <c r="E122" s="9" t="n"/>
      <c r="F122" s="71" t="n"/>
      <c r="G122" s="30">
        <f>IF(F122="","",ROUND(F122*Configuracion!$B$11,0))</f>
        <v/>
      </c>
      <c r="H122" s="30">
        <f>IF(F122="","",F122+G122)</f>
        <v/>
      </c>
      <c r="I122" s="71" t="n"/>
      <c r="J122" s="9" t="n"/>
      <c r="K122" s="30">
        <f>IF(I122="","",IF(J122="Sí",ROUND(I122*Configuracion!$B$11,0),0))</f>
        <v/>
      </c>
      <c r="L122" s="30">
        <f>IF(F122="","",F122-IF(I122="",0,I122))</f>
        <v/>
      </c>
      <c r="M122" s="15">
        <f>IF(A122="","",YEAR(A122))</f>
        <v/>
      </c>
      <c r="N122" s="15">
        <f>IF(A122="","",MONTH(A122))</f>
        <v/>
      </c>
    </row>
    <row r="123">
      <c r="A123" s="70" t="n"/>
      <c r="B123" s="9" t="n"/>
      <c r="C123" s="9" t="n"/>
      <c r="D123" s="9" t="n"/>
      <c r="E123" s="9" t="n"/>
      <c r="F123" s="71" t="n"/>
      <c r="G123" s="30">
        <f>IF(F123="","",ROUND(F123*Configuracion!$B$11,0))</f>
        <v/>
      </c>
      <c r="H123" s="30">
        <f>IF(F123="","",F123+G123)</f>
        <v/>
      </c>
      <c r="I123" s="71" t="n"/>
      <c r="J123" s="9" t="n"/>
      <c r="K123" s="30">
        <f>IF(I123="","",IF(J123="Sí",ROUND(I123*Configuracion!$B$11,0),0))</f>
        <v/>
      </c>
      <c r="L123" s="30">
        <f>IF(F123="","",F123-IF(I123="",0,I123))</f>
        <v/>
      </c>
      <c r="M123" s="15">
        <f>IF(A123="","",YEAR(A123))</f>
        <v/>
      </c>
      <c r="N123" s="15">
        <f>IF(A123="","",MONTH(A123))</f>
        <v/>
      </c>
    </row>
    <row r="124">
      <c r="A124" s="70" t="n"/>
      <c r="B124" s="9" t="n"/>
      <c r="C124" s="9" t="n"/>
      <c r="D124" s="9" t="n"/>
      <c r="E124" s="9" t="n"/>
      <c r="F124" s="71" t="n"/>
      <c r="G124" s="30">
        <f>IF(F124="","",ROUND(F124*Configuracion!$B$11,0))</f>
        <v/>
      </c>
      <c r="H124" s="30">
        <f>IF(F124="","",F124+G124)</f>
        <v/>
      </c>
      <c r="I124" s="71" t="n"/>
      <c r="J124" s="9" t="n"/>
      <c r="K124" s="30">
        <f>IF(I124="","",IF(J124="Sí",ROUND(I124*Configuracion!$B$11,0),0))</f>
        <v/>
      </c>
      <c r="L124" s="30">
        <f>IF(F124="","",F124-IF(I124="",0,I124))</f>
        <v/>
      </c>
      <c r="M124" s="15">
        <f>IF(A124="","",YEAR(A124))</f>
        <v/>
      </c>
      <c r="N124" s="15">
        <f>IF(A124="","",MONTH(A124))</f>
        <v/>
      </c>
    </row>
    <row r="125">
      <c r="A125" s="70" t="n"/>
      <c r="B125" s="9" t="n"/>
      <c r="C125" s="9" t="n"/>
      <c r="D125" s="9" t="n"/>
      <c r="E125" s="9" t="n"/>
      <c r="F125" s="71" t="n"/>
      <c r="G125" s="30">
        <f>IF(F125="","",ROUND(F125*Configuracion!$B$11,0))</f>
        <v/>
      </c>
      <c r="H125" s="30">
        <f>IF(F125="","",F125+G125)</f>
        <v/>
      </c>
      <c r="I125" s="71" t="n"/>
      <c r="J125" s="9" t="n"/>
      <c r="K125" s="30">
        <f>IF(I125="","",IF(J125="Sí",ROUND(I125*Configuracion!$B$11,0),0))</f>
        <v/>
      </c>
      <c r="L125" s="30">
        <f>IF(F125="","",F125-IF(I125="",0,I125))</f>
        <v/>
      </c>
      <c r="M125" s="15">
        <f>IF(A125="","",YEAR(A125))</f>
        <v/>
      </c>
      <c r="N125" s="15">
        <f>IF(A125="","",MONTH(A125))</f>
        <v/>
      </c>
    </row>
    <row r="126">
      <c r="A126" s="70" t="n"/>
      <c r="B126" s="9" t="n"/>
      <c r="C126" s="9" t="n"/>
      <c r="D126" s="9" t="n"/>
      <c r="E126" s="9" t="n"/>
      <c r="F126" s="71" t="n"/>
      <c r="G126" s="30">
        <f>IF(F126="","",ROUND(F126*Configuracion!$B$11,0))</f>
        <v/>
      </c>
      <c r="H126" s="30">
        <f>IF(F126="","",F126+G126)</f>
        <v/>
      </c>
      <c r="I126" s="71" t="n"/>
      <c r="J126" s="9" t="n"/>
      <c r="K126" s="30">
        <f>IF(I126="","",IF(J126="Sí",ROUND(I126*Configuracion!$B$11,0),0))</f>
        <v/>
      </c>
      <c r="L126" s="30">
        <f>IF(F126="","",F126-IF(I126="",0,I126))</f>
        <v/>
      </c>
      <c r="M126" s="15">
        <f>IF(A126="","",YEAR(A126))</f>
        <v/>
      </c>
      <c r="N126" s="15">
        <f>IF(A126="","",MONTH(A126))</f>
        <v/>
      </c>
    </row>
    <row r="127">
      <c r="A127" s="70" t="n"/>
      <c r="B127" s="9" t="n"/>
      <c r="C127" s="9" t="n"/>
      <c r="D127" s="9" t="n"/>
      <c r="E127" s="9" t="n"/>
      <c r="F127" s="71" t="n"/>
      <c r="G127" s="30">
        <f>IF(F127="","",ROUND(F127*Configuracion!$B$11,0))</f>
        <v/>
      </c>
      <c r="H127" s="30">
        <f>IF(F127="","",F127+G127)</f>
        <v/>
      </c>
      <c r="I127" s="71" t="n"/>
      <c r="J127" s="9" t="n"/>
      <c r="K127" s="30">
        <f>IF(I127="","",IF(J127="Sí",ROUND(I127*Configuracion!$B$11,0),0))</f>
        <v/>
      </c>
      <c r="L127" s="30">
        <f>IF(F127="","",F127-IF(I127="",0,I127))</f>
        <v/>
      </c>
      <c r="M127" s="15">
        <f>IF(A127="","",YEAR(A127))</f>
        <v/>
      </c>
      <c r="N127" s="15">
        <f>IF(A127="","",MONTH(A127))</f>
        <v/>
      </c>
    </row>
    <row r="128">
      <c r="A128" s="70" t="n"/>
      <c r="B128" s="9" t="n"/>
      <c r="C128" s="9" t="n"/>
      <c r="D128" s="9" t="n"/>
      <c r="E128" s="9" t="n"/>
      <c r="F128" s="71" t="n"/>
      <c r="G128" s="30">
        <f>IF(F128="","",ROUND(F128*Configuracion!$B$11,0))</f>
        <v/>
      </c>
      <c r="H128" s="30">
        <f>IF(F128="","",F128+G128)</f>
        <v/>
      </c>
      <c r="I128" s="71" t="n"/>
      <c r="J128" s="9" t="n"/>
      <c r="K128" s="30">
        <f>IF(I128="","",IF(J128="Sí",ROUND(I128*Configuracion!$B$11,0),0))</f>
        <v/>
      </c>
      <c r="L128" s="30">
        <f>IF(F128="","",F128-IF(I128="",0,I128))</f>
        <v/>
      </c>
      <c r="M128" s="15">
        <f>IF(A128="","",YEAR(A128))</f>
        <v/>
      </c>
      <c r="N128" s="15">
        <f>IF(A128="","",MONTH(A128))</f>
        <v/>
      </c>
    </row>
    <row r="129">
      <c r="A129" s="70" t="n"/>
      <c r="B129" s="9" t="n"/>
      <c r="C129" s="9" t="n"/>
      <c r="D129" s="9" t="n"/>
      <c r="E129" s="9" t="n"/>
      <c r="F129" s="71" t="n"/>
      <c r="G129" s="30">
        <f>IF(F129="","",ROUND(F129*Configuracion!$B$11,0))</f>
        <v/>
      </c>
      <c r="H129" s="30">
        <f>IF(F129="","",F129+G129)</f>
        <v/>
      </c>
      <c r="I129" s="71" t="n"/>
      <c r="J129" s="9" t="n"/>
      <c r="K129" s="30">
        <f>IF(I129="","",IF(J129="Sí",ROUND(I129*Configuracion!$B$11,0),0))</f>
        <v/>
      </c>
      <c r="L129" s="30">
        <f>IF(F129="","",F129-IF(I129="",0,I129))</f>
        <v/>
      </c>
      <c r="M129" s="15">
        <f>IF(A129="","",YEAR(A129))</f>
        <v/>
      </c>
      <c r="N129" s="15">
        <f>IF(A129="","",MONTH(A129))</f>
        <v/>
      </c>
    </row>
    <row r="130">
      <c r="A130" s="70" t="n"/>
      <c r="B130" s="9" t="n"/>
      <c r="C130" s="9" t="n"/>
      <c r="D130" s="9" t="n"/>
      <c r="E130" s="9" t="n"/>
      <c r="F130" s="71" t="n"/>
      <c r="G130" s="30">
        <f>IF(F130="","",ROUND(F130*Configuracion!$B$11,0))</f>
        <v/>
      </c>
      <c r="H130" s="30">
        <f>IF(F130="","",F130+G130)</f>
        <v/>
      </c>
      <c r="I130" s="71" t="n"/>
      <c r="J130" s="9" t="n"/>
      <c r="K130" s="30">
        <f>IF(I130="","",IF(J130="Sí",ROUND(I130*Configuracion!$B$11,0),0))</f>
        <v/>
      </c>
      <c r="L130" s="30">
        <f>IF(F130="","",F130-IF(I130="",0,I130))</f>
        <v/>
      </c>
      <c r="M130" s="15">
        <f>IF(A130="","",YEAR(A130))</f>
        <v/>
      </c>
      <c r="N130" s="15">
        <f>IF(A130="","",MONTH(A130))</f>
        <v/>
      </c>
    </row>
    <row r="131">
      <c r="A131" s="70" t="n"/>
      <c r="B131" s="9" t="n"/>
      <c r="C131" s="9" t="n"/>
      <c r="D131" s="9" t="n"/>
      <c r="E131" s="9" t="n"/>
      <c r="F131" s="71" t="n"/>
      <c r="G131" s="30">
        <f>IF(F131="","",ROUND(F131*Configuracion!$B$11,0))</f>
        <v/>
      </c>
      <c r="H131" s="30">
        <f>IF(F131="","",F131+G131)</f>
        <v/>
      </c>
      <c r="I131" s="71" t="n"/>
      <c r="J131" s="9" t="n"/>
      <c r="K131" s="30">
        <f>IF(I131="","",IF(J131="Sí",ROUND(I131*Configuracion!$B$11,0),0))</f>
        <v/>
      </c>
      <c r="L131" s="30">
        <f>IF(F131="","",F131-IF(I131="",0,I131))</f>
        <v/>
      </c>
      <c r="M131" s="15">
        <f>IF(A131="","",YEAR(A131))</f>
        <v/>
      </c>
      <c r="N131" s="15">
        <f>IF(A131="","",MONTH(A131))</f>
        <v/>
      </c>
    </row>
    <row r="132">
      <c r="A132" s="70" t="n"/>
      <c r="B132" s="9" t="n"/>
      <c r="C132" s="9" t="n"/>
      <c r="D132" s="9" t="n"/>
      <c r="E132" s="9" t="n"/>
      <c r="F132" s="71" t="n"/>
      <c r="G132" s="30">
        <f>IF(F132="","",ROUND(F132*Configuracion!$B$11,0))</f>
        <v/>
      </c>
      <c r="H132" s="30">
        <f>IF(F132="","",F132+G132)</f>
        <v/>
      </c>
      <c r="I132" s="71" t="n"/>
      <c r="J132" s="9" t="n"/>
      <c r="K132" s="30">
        <f>IF(I132="","",IF(J132="Sí",ROUND(I132*Configuracion!$B$11,0),0))</f>
        <v/>
      </c>
      <c r="L132" s="30">
        <f>IF(F132="","",F132-IF(I132="",0,I132))</f>
        <v/>
      </c>
      <c r="M132" s="15">
        <f>IF(A132="","",YEAR(A132))</f>
        <v/>
      </c>
      <c r="N132" s="15">
        <f>IF(A132="","",MONTH(A132))</f>
        <v/>
      </c>
    </row>
    <row r="133">
      <c r="A133" s="70" t="n"/>
      <c r="B133" s="9" t="n"/>
      <c r="C133" s="9" t="n"/>
      <c r="D133" s="9" t="n"/>
      <c r="E133" s="9" t="n"/>
      <c r="F133" s="71" t="n"/>
      <c r="G133" s="30">
        <f>IF(F133="","",ROUND(F133*Configuracion!$B$11,0))</f>
        <v/>
      </c>
      <c r="H133" s="30">
        <f>IF(F133="","",F133+G133)</f>
        <v/>
      </c>
      <c r="I133" s="71" t="n"/>
      <c r="J133" s="9" t="n"/>
      <c r="K133" s="30">
        <f>IF(I133="","",IF(J133="Sí",ROUND(I133*Configuracion!$B$11,0),0))</f>
        <v/>
      </c>
      <c r="L133" s="30">
        <f>IF(F133="","",F133-IF(I133="",0,I133))</f>
        <v/>
      </c>
      <c r="M133" s="15">
        <f>IF(A133="","",YEAR(A133))</f>
        <v/>
      </c>
      <c r="N133" s="15">
        <f>IF(A133="","",MONTH(A133))</f>
        <v/>
      </c>
    </row>
    <row r="134">
      <c r="A134" s="70" t="n"/>
      <c r="B134" s="9" t="n"/>
      <c r="C134" s="9" t="n"/>
      <c r="D134" s="9" t="n"/>
      <c r="E134" s="9" t="n"/>
      <c r="F134" s="71" t="n"/>
      <c r="G134" s="30">
        <f>IF(F134="","",ROUND(F134*Configuracion!$B$11,0))</f>
        <v/>
      </c>
      <c r="H134" s="30">
        <f>IF(F134="","",F134+G134)</f>
        <v/>
      </c>
      <c r="I134" s="71" t="n"/>
      <c r="J134" s="9" t="n"/>
      <c r="K134" s="30">
        <f>IF(I134="","",IF(J134="Sí",ROUND(I134*Configuracion!$B$11,0),0))</f>
        <v/>
      </c>
      <c r="L134" s="30">
        <f>IF(F134="","",F134-IF(I134="",0,I134))</f>
        <v/>
      </c>
      <c r="M134" s="15">
        <f>IF(A134="","",YEAR(A134))</f>
        <v/>
      </c>
      <c r="N134" s="15">
        <f>IF(A134="","",MONTH(A134))</f>
        <v/>
      </c>
    </row>
    <row r="135">
      <c r="A135" s="70" t="n"/>
      <c r="B135" s="9" t="n"/>
      <c r="C135" s="9" t="n"/>
      <c r="D135" s="9" t="n"/>
      <c r="E135" s="9" t="n"/>
      <c r="F135" s="71" t="n"/>
      <c r="G135" s="30">
        <f>IF(F135="","",ROUND(F135*Configuracion!$B$11,0))</f>
        <v/>
      </c>
      <c r="H135" s="30">
        <f>IF(F135="","",F135+G135)</f>
        <v/>
      </c>
      <c r="I135" s="71" t="n"/>
      <c r="J135" s="9" t="n"/>
      <c r="K135" s="30">
        <f>IF(I135="","",IF(J135="Sí",ROUND(I135*Configuracion!$B$11,0),0))</f>
        <v/>
      </c>
      <c r="L135" s="30">
        <f>IF(F135="","",F135-IF(I135="",0,I135))</f>
        <v/>
      </c>
      <c r="M135" s="15">
        <f>IF(A135="","",YEAR(A135))</f>
        <v/>
      </c>
      <c r="N135" s="15">
        <f>IF(A135="","",MONTH(A135))</f>
        <v/>
      </c>
    </row>
    <row r="136">
      <c r="A136" s="70" t="n"/>
      <c r="B136" s="9" t="n"/>
      <c r="C136" s="9" t="n"/>
      <c r="D136" s="9" t="n"/>
      <c r="E136" s="9" t="n"/>
      <c r="F136" s="71" t="n"/>
      <c r="G136" s="30">
        <f>IF(F136="","",ROUND(F136*Configuracion!$B$11,0))</f>
        <v/>
      </c>
      <c r="H136" s="30">
        <f>IF(F136="","",F136+G136)</f>
        <v/>
      </c>
      <c r="I136" s="71" t="n"/>
      <c r="J136" s="9" t="n"/>
      <c r="K136" s="30">
        <f>IF(I136="","",IF(J136="Sí",ROUND(I136*Configuracion!$B$11,0),0))</f>
        <v/>
      </c>
      <c r="L136" s="30">
        <f>IF(F136="","",F136-IF(I136="",0,I136))</f>
        <v/>
      </c>
      <c r="M136" s="15">
        <f>IF(A136="","",YEAR(A136))</f>
        <v/>
      </c>
      <c r="N136" s="15">
        <f>IF(A136="","",MONTH(A136))</f>
        <v/>
      </c>
    </row>
    <row r="137">
      <c r="A137" s="70" t="n"/>
      <c r="B137" s="9" t="n"/>
      <c r="C137" s="9" t="n"/>
      <c r="D137" s="9" t="n"/>
      <c r="E137" s="9" t="n"/>
      <c r="F137" s="71" t="n"/>
      <c r="G137" s="30">
        <f>IF(F137="","",ROUND(F137*Configuracion!$B$11,0))</f>
        <v/>
      </c>
      <c r="H137" s="30">
        <f>IF(F137="","",F137+G137)</f>
        <v/>
      </c>
      <c r="I137" s="71" t="n"/>
      <c r="J137" s="9" t="n"/>
      <c r="K137" s="30">
        <f>IF(I137="","",IF(J137="Sí",ROUND(I137*Configuracion!$B$11,0),0))</f>
        <v/>
      </c>
      <c r="L137" s="30">
        <f>IF(F137="","",F137-IF(I137="",0,I137))</f>
        <v/>
      </c>
      <c r="M137" s="15">
        <f>IF(A137="","",YEAR(A137))</f>
        <v/>
      </c>
      <c r="N137" s="15">
        <f>IF(A137="","",MONTH(A137))</f>
        <v/>
      </c>
    </row>
    <row r="138">
      <c r="A138" s="70" t="n"/>
      <c r="B138" s="9" t="n"/>
      <c r="C138" s="9" t="n"/>
      <c r="D138" s="9" t="n"/>
      <c r="E138" s="9" t="n"/>
      <c r="F138" s="71" t="n"/>
      <c r="G138" s="30">
        <f>IF(F138="","",ROUND(F138*Configuracion!$B$11,0))</f>
        <v/>
      </c>
      <c r="H138" s="30">
        <f>IF(F138="","",F138+G138)</f>
        <v/>
      </c>
      <c r="I138" s="71" t="n"/>
      <c r="J138" s="9" t="n"/>
      <c r="K138" s="30">
        <f>IF(I138="","",IF(J138="Sí",ROUND(I138*Configuracion!$B$11,0),0))</f>
        <v/>
      </c>
      <c r="L138" s="30">
        <f>IF(F138="","",F138-IF(I138="",0,I138))</f>
        <v/>
      </c>
      <c r="M138" s="15">
        <f>IF(A138="","",YEAR(A138))</f>
        <v/>
      </c>
      <c r="N138" s="15">
        <f>IF(A138="","",MONTH(A138))</f>
        <v/>
      </c>
    </row>
    <row r="139">
      <c r="A139" s="70" t="n"/>
      <c r="B139" s="9" t="n"/>
      <c r="C139" s="9" t="n"/>
      <c r="D139" s="9" t="n"/>
      <c r="E139" s="9" t="n"/>
      <c r="F139" s="71" t="n"/>
      <c r="G139" s="30">
        <f>IF(F139="","",ROUND(F139*Configuracion!$B$11,0))</f>
        <v/>
      </c>
      <c r="H139" s="30">
        <f>IF(F139="","",F139+G139)</f>
        <v/>
      </c>
      <c r="I139" s="71" t="n"/>
      <c r="J139" s="9" t="n"/>
      <c r="K139" s="30">
        <f>IF(I139="","",IF(J139="Sí",ROUND(I139*Configuracion!$B$11,0),0))</f>
        <v/>
      </c>
      <c r="L139" s="30">
        <f>IF(F139="","",F139-IF(I139="",0,I139))</f>
        <v/>
      </c>
      <c r="M139" s="15">
        <f>IF(A139="","",YEAR(A139))</f>
        <v/>
      </c>
      <c r="N139" s="15">
        <f>IF(A139="","",MONTH(A139))</f>
        <v/>
      </c>
    </row>
    <row r="140">
      <c r="A140" s="70" t="n"/>
      <c r="B140" s="9" t="n"/>
      <c r="C140" s="9" t="n"/>
      <c r="D140" s="9" t="n"/>
      <c r="E140" s="9" t="n"/>
      <c r="F140" s="71" t="n"/>
      <c r="G140" s="30">
        <f>IF(F140="","",ROUND(F140*Configuracion!$B$11,0))</f>
        <v/>
      </c>
      <c r="H140" s="30">
        <f>IF(F140="","",F140+G140)</f>
        <v/>
      </c>
      <c r="I140" s="71" t="n"/>
      <c r="J140" s="9" t="n"/>
      <c r="K140" s="30">
        <f>IF(I140="","",IF(J140="Sí",ROUND(I140*Configuracion!$B$11,0),0))</f>
        <v/>
      </c>
      <c r="L140" s="30">
        <f>IF(F140="","",F140-IF(I140="",0,I140))</f>
        <v/>
      </c>
      <c r="M140" s="15">
        <f>IF(A140="","",YEAR(A140))</f>
        <v/>
      </c>
      <c r="N140" s="15">
        <f>IF(A140="","",MONTH(A140))</f>
        <v/>
      </c>
    </row>
    <row r="141">
      <c r="A141" s="70" t="n"/>
      <c r="B141" s="9" t="n"/>
      <c r="C141" s="9" t="n"/>
      <c r="D141" s="9" t="n"/>
      <c r="E141" s="9" t="n"/>
      <c r="F141" s="71" t="n"/>
      <c r="G141" s="30">
        <f>IF(F141="","",ROUND(F141*Configuracion!$B$11,0))</f>
        <v/>
      </c>
      <c r="H141" s="30">
        <f>IF(F141="","",F141+G141)</f>
        <v/>
      </c>
      <c r="I141" s="71" t="n"/>
      <c r="J141" s="9" t="n"/>
      <c r="K141" s="30">
        <f>IF(I141="","",IF(J141="Sí",ROUND(I141*Configuracion!$B$11,0),0))</f>
        <v/>
      </c>
      <c r="L141" s="30">
        <f>IF(F141="","",F141-IF(I141="",0,I141))</f>
        <v/>
      </c>
      <c r="M141" s="15">
        <f>IF(A141="","",YEAR(A141))</f>
        <v/>
      </c>
      <c r="N141" s="15">
        <f>IF(A141="","",MONTH(A141))</f>
        <v/>
      </c>
    </row>
    <row r="142">
      <c r="A142" s="70" t="n"/>
      <c r="B142" s="9" t="n"/>
      <c r="C142" s="9" t="n"/>
      <c r="D142" s="9" t="n"/>
      <c r="E142" s="9" t="n"/>
      <c r="F142" s="71" t="n"/>
      <c r="G142" s="30">
        <f>IF(F142="","",ROUND(F142*Configuracion!$B$11,0))</f>
        <v/>
      </c>
      <c r="H142" s="30">
        <f>IF(F142="","",F142+G142)</f>
        <v/>
      </c>
      <c r="I142" s="71" t="n"/>
      <c r="J142" s="9" t="n"/>
      <c r="K142" s="30">
        <f>IF(I142="","",IF(J142="Sí",ROUND(I142*Configuracion!$B$11,0),0))</f>
        <v/>
      </c>
      <c r="L142" s="30">
        <f>IF(F142="","",F142-IF(I142="",0,I142))</f>
        <v/>
      </c>
      <c r="M142" s="15">
        <f>IF(A142="","",YEAR(A142))</f>
        <v/>
      </c>
      <c r="N142" s="15">
        <f>IF(A142="","",MONTH(A142))</f>
        <v/>
      </c>
    </row>
    <row r="143">
      <c r="A143" s="70" t="n"/>
      <c r="B143" s="9" t="n"/>
      <c r="C143" s="9" t="n"/>
      <c r="D143" s="9" t="n"/>
      <c r="E143" s="9" t="n"/>
      <c r="F143" s="71" t="n"/>
      <c r="G143" s="30">
        <f>IF(F143="","",ROUND(F143*Configuracion!$B$11,0))</f>
        <v/>
      </c>
      <c r="H143" s="30">
        <f>IF(F143="","",F143+G143)</f>
        <v/>
      </c>
      <c r="I143" s="71" t="n"/>
      <c r="J143" s="9" t="n"/>
      <c r="K143" s="30">
        <f>IF(I143="","",IF(J143="Sí",ROUND(I143*Configuracion!$B$11,0),0))</f>
        <v/>
      </c>
      <c r="L143" s="30">
        <f>IF(F143="","",F143-IF(I143="",0,I143))</f>
        <v/>
      </c>
      <c r="M143" s="15">
        <f>IF(A143="","",YEAR(A143))</f>
        <v/>
      </c>
      <c r="N143" s="15">
        <f>IF(A143="","",MONTH(A143))</f>
        <v/>
      </c>
    </row>
    <row r="144">
      <c r="A144" s="70" t="n"/>
      <c r="B144" s="9" t="n"/>
      <c r="C144" s="9" t="n"/>
      <c r="D144" s="9" t="n"/>
      <c r="E144" s="9" t="n"/>
      <c r="F144" s="71" t="n"/>
      <c r="G144" s="30">
        <f>IF(F144="","",ROUND(F144*Configuracion!$B$11,0))</f>
        <v/>
      </c>
      <c r="H144" s="30">
        <f>IF(F144="","",F144+G144)</f>
        <v/>
      </c>
      <c r="I144" s="71" t="n"/>
      <c r="J144" s="9" t="n"/>
      <c r="K144" s="30">
        <f>IF(I144="","",IF(J144="Sí",ROUND(I144*Configuracion!$B$11,0),0))</f>
        <v/>
      </c>
      <c r="L144" s="30">
        <f>IF(F144="","",F144-IF(I144="",0,I144))</f>
        <v/>
      </c>
      <c r="M144" s="15">
        <f>IF(A144="","",YEAR(A144))</f>
        <v/>
      </c>
      <c r="N144" s="15">
        <f>IF(A144="","",MONTH(A144))</f>
        <v/>
      </c>
    </row>
    <row r="145">
      <c r="A145" s="70" t="n"/>
      <c r="B145" s="9" t="n"/>
      <c r="C145" s="9" t="n"/>
      <c r="D145" s="9" t="n"/>
      <c r="E145" s="9" t="n"/>
      <c r="F145" s="71" t="n"/>
      <c r="G145" s="30">
        <f>IF(F145="","",ROUND(F145*Configuracion!$B$11,0))</f>
        <v/>
      </c>
      <c r="H145" s="30">
        <f>IF(F145="","",F145+G145)</f>
        <v/>
      </c>
      <c r="I145" s="71" t="n"/>
      <c r="J145" s="9" t="n"/>
      <c r="K145" s="30">
        <f>IF(I145="","",IF(J145="Sí",ROUND(I145*Configuracion!$B$11,0),0))</f>
        <v/>
      </c>
      <c r="L145" s="30">
        <f>IF(F145="","",F145-IF(I145="",0,I145))</f>
        <v/>
      </c>
      <c r="M145" s="15">
        <f>IF(A145="","",YEAR(A145))</f>
        <v/>
      </c>
      <c r="N145" s="15">
        <f>IF(A145="","",MONTH(A145))</f>
        <v/>
      </c>
    </row>
    <row r="146">
      <c r="A146" s="70" t="n"/>
      <c r="B146" s="9" t="n"/>
      <c r="C146" s="9" t="n"/>
      <c r="D146" s="9" t="n"/>
      <c r="E146" s="9" t="n"/>
      <c r="F146" s="71" t="n"/>
      <c r="G146" s="30">
        <f>IF(F146="","",ROUND(F146*Configuracion!$B$11,0))</f>
        <v/>
      </c>
      <c r="H146" s="30">
        <f>IF(F146="","",F146+G146)</f>
        <v/>
      </c>
      <c r="I146" s="71" t="n"/>
      <c r="J146" s="9" t="n"/>
      <c r="K146" s="30">
        <f>IF(I146="","",IF(J146="Sí",ROUND(I146*Configuracion!$B$11,0),0))</f>
        <v/>
      </c>
      <c r="L146" s="30">
        <f>IF(F146="","",F146-IF(I146="",0,I146))</f>
        <v/>
      </c>
      <c r="M146" s="15">
        <f>IF(A146="","",YEAR(A146))</f>
        <v/>
      </c>
      <c r="N146" s="15">
        <f>IF(A146="","",MONTH(A146))</f>
        <v/>
      </c>
    </row>
    <row r="147">
      <c r="A147" s="70" t="n"/>
      <c r="B147" s="9" t="n"/>
      <c r="C147" s="9" t="n"/>
      <c r="D147" s="9" t="n"/>
      <c r="E147" s="9" t="n"/>
      <c r="F147" s="71" t="n"/>
      <c r="G147" s="30">
        <f>IF(F147="","",ROUND(F147*Configuracion!$B$11,0))</f>
        <v/>
      </c>
      <c r="H147" s="30">
        <f>IF(F147="","",F147+G147)</f>
        <v/>
      </c>
      <c r="I147" s="71" t="n"/>
      <c r="J147" s="9" t="n"/>
      <c r="K147" s="30">
        <f>IF(I147="","",IF(J147="Sí",ROUND(I147*Configuracion!$B$11,0),0))</f>
        <v/>
      </c>
      <c r="L147" s="30">
        <f>IF(F147="","",F147-IF(I147="",0,I147))</f>
        <v/>
      </c>
      <c r="M147" s="15">
        <f>IF(A147="","",YEAR(A147))</f>
        <v/>
      </c>
      <c r="N147" s="15">
        <f>IF(A147="","",MONTH(A147))</f>
        <v/>
      </c>
    </row>
    <row r="148">
      <c r="A148" s="70" t="n"/>
      <c r="B148" s="9" t="n"/>
      <c r="C148" s="9" t="n"/>
      <c r="D148" s="9" t="n"/>
      <c r="E148" s="9" t="n"/>
      <c r="F148" s="71" t="n"/>
      <c r="G148" s="30">
        <f>IF(F148="","",ROUND(F148*Configuracion!$B$11,0))</f>
        <v/>
      </c>
      <c r="H148" s="30">
        <f>IF(F148="","",F148+G148)</f>
        <v/>
      </c>
      <c r="I148" s="71" t="n"/>
      <c r="J148" s="9" t="n"/>
      <c r="K148" s="30">
        <f>IF(I148="","",IF(J148="Sí",ROUND(I148*Configuracion!$B$11,0),0))</f>
        <v/>
      </c>
      <c r="L148" s="30">
        <f>IF(F148="","",F148-IF(I148="",0,I148))</f>
        <v/>
      </c>
      <c r="M148" s="15">
        <f>IF(A148="","",YEAR(A148))</f>
        <v/>
      </c>
      <c r="N148" s="15">
        <f>IF(A148="","",MONTH(A148))</f>
        <v/>
      </c>
    </row>
    <row r="149">
      <c r="A149" s="70" t="n"/>
      <c r="B149" s="9" t="n"/>
      <c r="C149" s="9" t="n"/>
      <c r="D149" s="9" t="n"/>
      <c r="E149" s="9" t="n"/>
      <c r="F149" s="71" t="n"/>
      <c r="G149" s="30">
        <f>IF(F149="","",ROUND(F149*Configuracion!$B$11,0))</f>
        <v/>
      </c>
      <c r="H149" s="30">
        <f>IF(F149="","",F149+G149)</f>
        <v/>
      </c>
      <c r="I149" s="71" t="n"/>
      <c r="J149" s="9" t="n"/>
      <c r="K149" s="30">
        <f>IF(I149="","",IF(J149="Sí",ROUND(I149*Configuracion!$B$11,0),0))</f>
        <v/>
      </c>
      <c r="L149" s="30">
        <f>IF(F149="","",F149-IF(I149="",0,I149))</f>
        <v/>
      </c>
      <c r="M149" s="15">
        <f>IF(A149="","",YEAR(A149))</f>
        <v/>
      </c>
      <c r="N149" s="15">
        <f>IF(A149="","",MONTH(A149))</f>
        <v/>
      </c>
    </row>
    <row r="150">
      <c r="A150" s="70" t="n"/>
      <c r="B150" s="9" t="n"/>
      <c r="C150" s="9" t="n"/>
      <c r="D150" s="9" t="n"/>
      <c r="E150" s="9" t="n"/>
      <c r="F150" s="71" t="n"/>
      <c r="G150" s="30">
        <f>IF(F150="","",ROUND(F150*Configuracion!$B$11,0))</f>
        <v/>
      </c>
      <c r="H150" s="30">
        <f>IF(F150="","",F150+G150)</f>
        <v/>
      </c>
      <c r="I150" s="71" t="n"/>
      <c r="J150" s="9" t="n"/>
      <c r="K150" s="30">
        <f>IF(I150="","",IF(J150="Sí",ROUND(I150*Configuracion!$B$11,0),0))</f>
        <v/>
      </c>
      <c r="L150" s="30">
        <f>IF(F150="","",F150-IF(I150="",0,I150))</f>
        <v/>
      </c>
      <c r="M150" s="15">
        <f>IF(A150="","",YEAR(A150))</f>
        <v/>
      </c>
      <c r="N150" s="15">
        <f>IF(A150="","",MONTH(A150))</f>
        <v/>
      </c>
    </row>
    <row r="151">
      <c r="A151" s="70" t="n"/>
      <c r="B151" s="9" t="n"/>
      <c r="C151" s="9" t="n"/>
      <c r="D151" s="9" t="n"/>
      <c r="E151" s="9" t="n"/>
      <c r="F151" s="71" t="n"/>
      <c r="G151" s="30">
        <f>IF(F151="","",ROUND(F151*Configuracion!$B$11,0))</f>
        <v/>
      </c>
      <c r="H151" s="30">
        <f>IF(F151="","",F151+G151)</f>
        <v/>
      </c>
      <c r="I151" s="71" t="n"/>
      <c r="J151" s="9" t="n"/>
      <c r="K151" s="30">
        <f>IF(I151="","",IF(J151="Sí",ROUND(I151*Configuracion!$B$11,0),0))</f>
        <v/>
      </c>
      <c r="L151" s="30">
        <f>IF(F151="","",F151-IF(I151="",0,I151))</f>
        <v/>
      </c>
      <c r="M151" s="15">
        <f>IF(A151="","",YEAR(A151))</f>
        <v/>
      </c>
      <c r="N151" s="15">
        <f>IF(A151="","",MONTH(A151))</f>
        <v/>
      </c>
    </row>
    <row r="152">
      <c r="A152" s="70" t="n"/>
      <c r="B152" s="9" t="n"/>
      <c r="C152" s="9" t="n"/>
      <c r="D152" s="9" t="n"/>
      <c r="E152" s="9" t="n"/>
      <c r="F152" s="71" t="n"/>
      <c r="G152" s="30">
        <f>IF(F152="","",ROUND(F152*Configuracion!$B$11,0))</f>
        <v/>
      </c>
      <c r="H152" s="30">
        <f>IF(F152="","",F152+G152)</f>
        <v/>
      </c>
      <c r="I152" s="71" t="n"/>
      <c r="J152" s="9" t="n"/>
      <c r="K152" s="30">
        <f>IF(I152="","",IF(J152="Sí",ROUND(I152*Configuracion!$B$11,0),0))</f>
        <v/>
      </c>
      <c r="L152" s="30">
        <f>IF(F152="","",F152-IF(I152="",0,I152))</f>
        <v/>
      </c>
      <c r="M152" s="15">
        <f>IF(A152="","",YEAR(A152))</f>
        <v/>
      </c>
      <c r="N152" s="15">
        <f>IF(A152="","",MONTH(A152))</f>
        <v/>
      </c>
    </row>
    <row r="153">
      <c r="A153" s="70" t="n"/>
      <c r="B153" s="9" t="n"/>
      <c r="C153" s="9" t="n"/>
      <c r="D153" s="9" t="n"/>
      <c r="E153" s="9" t="n"/>
      <c r="F153" s="71" t="n"/>
      <c r="G153" s="30">
        <f>IF(F153="","",ROUND(F153*Configuracion!$B$11,0))</f>
        <v/>
      </c>
      <c r="H153" s="30">
        <f>IF(F153="","",F153+G153)</f>
        <v/>
      </c>
      <c r="I153" s="71" t="n"/>
      <c r="J153" s="9" t="n"/>
      <c r="K153" s="30">
        <f>IF(I153="","",IF(J153="Sí",ROUND(I153*Configuracion!$B$11,0),0))</f>
        <v/>
      </c>
      <c r="L153" s="30">
        <f>IF(F153="","",F153-IF(I153="",0,I153))</f>
        <v/>
      </c>
      <c r="M153" s="15">
        <f>IF(A153="","",YEAR(A153))</f>
        <v/>
      </c>
      <c r="N153" s="15">
        <f>IF(A153="","",MONTH(A153))</f>
        <v/>
      </c>
    </row>
    <row r="154">
      <c r="A154" s="70" t="n"/>
      <c r="B154" s="9" t="n"/>
      <c r="C154" s="9" t="n"/>
      <c r="D154" s="9" t="n"/>
      <c r="E154" s="9" t="n"/>
      <c r="F154" s="71" t="n"/>
      <c r="G154" s="30">
        <f>IF(F154="","",ROUND(F154*Configuracion!$B$11,0))</f>
        <v/>
      </c>
      <c r="H154" s="30">
        <f>IF(F154="","",F154+G154)</f>
        <v/>
      </c>
      <c r="I154" s="71" t="n"/>
      <c r="J154" s="9" t="n"/>
      <c r="K154" s="30">
        <f>IF(I154="","",IF(J154="Sí",ROUND(I154*Configuracion!$B$11,0),0))</f>
        <v/>
      </c>
      <c r="L154" s="30">
        <f>IF(F154="","",F154-IF(I154="",0,I154))</f>
        <v/>
      </c>
      <c r="M154" s="15">
        <f>IF(A154="","",YEAR(A154))</f>
        <v/>
      </c>
      <c r="N154" s="15">
        <f>IF(A154="","",MONTH(A154))</f>
        <v/>
      </c>
    </row>
    <row r="155">
      <c r="A155" s="70" t="n"/>
      <c r="B155" s="9" t="n"/>
      <c r="C155" s="9" t="n"/>
      <c r="D155" s="9" t="n"/>
      <c r="E155" s="9" t="n"/>
      <c r="F155" s="71" t="n"/>
      <c r="G155" s="30">
        <f>IF(F155="","",ROUND(F155*Configuracion!$B$11,0))</f>
        <v/>
      </c>
      <c r="H155" s="30">
        <f>IF(F155="","",F155+G155)</f>
        <v/>
      </c>
      <c r="I155" s="71" t="n"/>
      <c r="J155" s="9" t="n"/>
      <c r="K155" s="30">
        <f>IF(I155="","",IF(J155="Sí",ROUND(I155*Configuracion!$B$11,0),0))</f>
        <v/>
      </c>
      <c r="L155" s="30">
        <f>IF(F155="","",F155-IF(I155="",0,I155))</f>
        <v/>
      </c>
      <c r="M155" s="15">
        <f>IF(A155="","",YEAR(A155))</f>
        <v/>
      </c>
      <c r="N155" s="15">
        <f>IF(A155="","",MONTH(A155))</f>
        <v/>
      </c>
    </row>
    <row r="156">
      <c r="A156" s="70" t="n"/>
      <c r="B156" s="9" t="n"/>
      <c r="C156" s="9" t="n"/>
      <c r="D156" s="9" t="n"/>
      <c r="E156" s="9" t="n"/>
      <c r="F156" s="71" t="n"/>
      <c r="G156" s="30">
        <f>IF(F156="","",ROUND(F156*Configuracion!$B$11,0))</f>
        <v/>
      </c>
      <c r="H156" s="30">
        <f>IF(F156="","",F156+G156)</f>
        <v/>
      </c>
      <c r="I156" s="71" t="n"/>
      <c r="J156" s="9" t="n"/>
      <c r="K156" s="30">
        <f>IF(I156="","",IF(J156="Sí",ROUND(I156*Configuracion!$B$11,0),0))</f>
        <v/>
      </c>
      <c r="L156" s="30">
        <f>IF(F156="","",F156-IF(I156="",0,I156))</f>
        <v/>
      </c>
      <c r="M156" s="15">
        <f>IF(A156="","",YEAR(A156))</f>
        <v/>
      </c>
      <c r="N156" s="15">
        <f>IF(A156="","",MONTH(A156))</f>
        <v/>
      </c>
    </row>
    <row r="157">
      <c r="A157" s="70" t="n"/>
      <c r="B157" s="9" t="n"/>
      <c r="C157" s="9" t="n"/>
      <c r="D157" s="9" t="n"/>
      <c r="E157" s="9" t="n"/>
      <c r="F157" s="71" t="n"/>
      <c r="G157" s="30">
        <f>IF(F157="","",ROUND(F157*Configuracion!$B$11,0))</f>
        <v/>
      </c>
      <c r="H157" s="30">
        <f>IF(F157="","",F157+G157)</f>
        <v/>
      </c>
      <c r="I157" s="71" t="n"/>
      <c r="J157" s="9" t="n"/>
      <c r="K157" s="30">
        <f>IF(I157="","",IF(J157="Sí",ROUND(I157*Configuracion!$B$11,0),0))</f>
        <v/>
      </c>
      <c r="L157" s="30">
        <f>IF(F157="","",F157-IF(I157="",0,I157))</f>
        <v/>
      </c>
      <c r="M157" s="15">
        <f>IF(A157="","",YEAR(A157))</f>
        <v/>
      </c>
      <c r="N157" s="15">
        <f>IF(A157="","",MONTH(A157))</f>
        <v/>
      </c>
    </row>
    <row r="158">
      <c r="A158" s="70" t="n"/>
      <c r="B158" s="9" t="n"/>
      <c r="C158" s="9" t="n"/>
      <c r="D158" s="9" t="n"/>
      <c r="E158" s="9" t="n"/>
      <c r="F158" s="71" t="n"/>
      <c r="G158" s="30">
        <f>IF(F158="","",ROUND(F158*Configuracion!$B$11,0))</f>
        <v/>
      </c>
      <c r="H158" s="30">
        <f>IF(F158="","",F158+G158)</f>
        <v/>
      </c>
      <c r="I158" s="71" t="n"/>
      <c r="J158" s="9" t="n"/>
      <c r="K158" s="30">
        <f>IF(I158="","",IF(J158="Sí",ROUND(I158*Configuracion!$B$11,0),0))</f>
        <v/>
      </c>
      <c r="L158" s="30">
        <f>IF(F158="","",F158-IF(I158="",0,I158))</f>
        <v/>
      </c>
      <c r="M158" s="15">
        <f>IF(A158="","",YEAR(A158))</f>
        <v/>
      </c>
      <c r="N158" s="15">
        <f>IF(A158="","",MONTH(A158))</f>
        <v/>
      </c>
    </row>
    <row r="159">
      <c r="A159" s="70" t="n"/>
      <c r="B159" s="9" t="n"/>
      <c r="C159" s="9" t="n"/>
      <c r="D159" s="9" t="n"/>
      <c r="E159" s="9" t="n"/>
      <c r="F159" s="71" t="n"/>
      <c r="G159" s="30">
        <f>IF(F159="","",ROUND(F159*Configuracion!$B$11,0))</f>
        <v/>
      </c>
      <c r="H159" s="30">
        <f>IF(F159="","",F159+G159)</f>
        <v/>
      </c>
      <c r="I159" s="71" t="n"/>
      <c r="J159" s="9" t="n"/>
      <c r="K159" s="30">
        <f>IF(I159="","",IF(J159="Sí",ROUND(I159*Configuracion!$B$11,0),0))</f>
        <v/>
      </c>
      <c r="L159" s="30">
        <f>IF(F159="","",F159-IF(I159="",0,I159))</f>
        <v/>
      </c>
      <c r="M159" s="15">
        <f>IF(A159="","",YEAR(A159))</f>
        <v/>
      </c>
      <c r="N159" s="15">
        <f>IF(A159="","",MONTH(A159))</f>
        <v/>
      </c>
    </row>
    <row r="160">
      <c r="A160" s="70" t="n"/>
      <c r="B160" s="9" t="n"/>
      <c r="C160" s="9" t="n"/>
      <c r="D160" s="9" t="n"/>
      <c r="E160" s="9" t="n"/>
      <c r="F160" s="71" t="n"/>
      <c r="G160" s="30">
        <f>IF(F160="","",ROUND(F160*Configuracion!$B$11,0))</f>
        <v/>
      </c>
      <c r="H160" s="30">
        <f>IF(F160="","",F160+G160)</f>
        <v/>
      </c>
      <c r="I160" s="71" t="n"/>
      <c r="J160" s="9" t="n"/>
      <c r="K160" s="30">
        <f>IF(I160="","",IF(J160="Sí",ROUND(I160*Configuracion!$B$11,0),0))</f>
        <v/>
      </c>
      <c r="L160" s="30">
        <f>IF(F160="","",F160-IF(I160="",0,I160))</f>
        <v/>
      </c>
      <c r="M160" s="15">
        <f>IF(A160="","",YEAR(A160))</f>
        <v/>
      </c>
      <c r="N160" s="15">
        <f>IF(A160="","",MONTH(A160))</f>
        <v/>
      </c>
    </row>
    <row r="161">
      <c r="A161" s="70" t="n"/>
      <c r="B161" s="9" t="n"/>
      <c r="C161" s="9" t="n"/>
      <c r="D161" s="9" t="n"/>
      <c r="E161" s="9" t="n"/>
      <c r="F161" s="71" t="n"/>
      <c r="G161" s="30">
        <f>IF(F161="","",ROUND(F161*Configuracion!$B$11,0))</f>
        <v/>
      </c>
      <c r="H161" s="30">
        <f>IF(F161="","",F161+G161)</f>
        <v/>
      </c>
      <c r="I161" s="71" t="n"/>
      <c r="J161" s="9" t="n"/>
      <c r="K161" s="30">
        <f>IF(I161="","",IF(J161="Sí",ROUND(I161*Configuracion!$B$11,0),0))</f>
        <v/>
      </c>
      <c r="L161" s="30">
        <f>IF(F161="","",F161-IF(I161="",0,I161))</f>
        <v/>
      </c>
      <c r="M161" s="15">
        <f>IF(A161="","",YEAR(A161))</f>
        <v/>
      </c>
      <c r="N161" s="15">
        <f>IF(A161="","",MONTH(A161))</f>
        <v/>
      </c>
    </row>
    <row r="162">
      <c r="A162" s="70" t="n"/>
      <c r="B162" s="9" t="n"/>
      <c r="C162" s="9" t="n"/>
      <c r="D162" s="9" t="n"/>
      <c r="E162" s="9" t="n"/>
      <c r="F162" s="71" t="n"/>
      <c r="G162" s="30">
        <f>IF(F162="","",ROUND(F162*Configuracion!$B$11,0))</f>
        <v/>
      </c>
      <c r="H162" s="30">
        <f>IF(F162="","",F162+G162)</f>
        <v/>
      </c>
      <c r="I162" s="71" t="n"/>
      <c r="J162" s="9" t="n"/>
      <c r="K162" s="30">
        <f>IF(I162="","",IF(J162="Sí",ROUND(I162*Configuracion!$B$11,0),0))</f>
        <v/>
      </c>
      <c r="L162" s="30">
        <f>IF(F162="","",F162-IF(I162="",0,I162))</f>
        <v/>
      </c>
      <c r="M162" s="15">
        <f>IF(A162="","",YEAR(A162))</f>
        <v/>
      </c>
      <c r="N162" s="15">
        <f>IF(A162="","",MONTH(A162))</f>
        <v/>
      </c>
    </row>
    <row r="163">
      <c r="A163" s="70" t="n"/>
      <c r="B163" s="9" t="n"/>
      <c r="C163" s="9" t="n"/>
      <c r="D163" s="9" t="n"/>
      <c r="E163" s="9" t="n"/>
      <c r="F163" s="71" t="n"/>
      <c r="G163" s="30">
        <f>IF(F163="","",ROUND(F163*Configuracion!$B$11,0))</f>
        <v/>
      </c>
      <c r="H163" s="30">
        <f>IF(F163="","",F163+G163)</f>
        <v/>
      </c>
      <c r="I163" s="71" t="n"/>
      <c r="J163" s="9" t="n"/>
      <c r="K163" s="30">
        <f>IF(I163="","",IF(J163="Sí",ROUND(I163*Configuracion!$B$11,0),0))</f>
        <v/>
      </c>
      <c r="L163" s="30">
        <f>IF(F163="","",F163-IF(I163="",0,I163))</f>
        <v/>
      </c>
      <c r="M163" s="15">
        <f>IF(A163="","",YEAR(A163))</f>
        <v/>
      </c>
      <c r="N163" s="15">
        <f>IF(A163="","",MONTH(A163))</f>
        <v/>
      </c>
    </row>
    <row r="164">
      <c r="A164" s="70" t="n"/>
      <c r="B164" s="9" t="n"/>
      <c r="C164" s="9" t="n"/>
      <c r="D164" s="9" t="n"/>
      <c r="E164" s="9" t="n"/>
      <c r="F164" s="71" t="n"/>
      <c r="G164" s="30">
        <f>IF(F164="","",ROUND(F164*Configuracion!$B$11,0))</f>
        <v/>
      </c>
      <c r="H164" s="30">
        <f>IF(F164="","",F164+G164)</f>
        <v/>
      </c>
      <c r="I164" s="71" t="n"/>
      <c r="J164" s="9" t="n"/>
      <c r="K164" s="30">
        <f>IF(I164="","",IF(J164="Sí",ROUND(I164*Configuracion!$B$11,0),0))</f>
        <v/>
      </c>
      <c r="L164" s="30">
        <f>IF(F164="","",F164-IF(I164="",0,I164))</f>
        <v/>
      </c>
      <c r="M164" s="15">
        <f>IF(A164="","",YEAR(A164))</f>
        <v/>
      </c>
      <c r="N164" s="15">
        <f>IF(A164="","",MONTH(A164))</f>
        <v/>
      </c>
    </row>
    <row r="165">
      <c r="A165" s="70" t="n"/>
      <c r="B165" s="9" t="n"/>
      <c r="C165" s="9" t="n"/>
      <c r="D165" s="9" t="n"/>
      <c r="E165" s="9" t="n"/>
      <c r="F165" s="71" t="n"/>
      <c r="G165" s="30">
        <f>IF(F165="","",ROUND(F165*Configuracion!$B$11,0))</f>
        <v/>
      </c>
      <c r="H165" s="30">
        <f>IF(F165="","",F165+G165)</f>
        <v/>
      </c>
      <c r="I165" s="71" t="n"/>
      <c r="J165" s="9" t="n"/>
      <c r="K165" s="30">
        <f>IF(I165="","",IF(J165="Sí",ROUND(I165*Configuracion!$B$11,0),0))</f>
        <v/>
      </c>
      <c r="L165" s="30">
        <f>IF(F165="","",F165-IF(I165="",0,I165))</f>
        <v/>
      </c>
      <c r="M165" s="15">
        <f>IF(A165="","",YEAR(A165))</f>
        <v/>
      </c>
      <c r="N165" s="15">
        <f>IF(A165="","",MONTH(A165))</f>
        <v/>
      </c>
    </row>
    <row r="166">
      <c r="A166" s="70" t="n"/>
      <c r="B166" s="9" t="n"/>
      <c r="C166" s="9" t="n"/>
      <c r="D166" s="9" t="n"/>
      <c r="E166" s="9" t="n"/>
      <c r="F166" s="71" t="n"/>
      <c r="G166" s="30">
        <f>IF(F166="","",ROUND(F166*Configuracion!$B$11,0))</f>
        <v/>
      </c>
      <c r="H166" s="30">
        <f>IF(F166="","",F166+G166)</f>
        <v/>
      </c>
      <c r="I166" s="71" t="n"/>
      <c r="J166" s="9" t="n"/>
      <c r="K166" s="30">
        <f>IF(I166="","",IF(J166="Sí",ROUND(I166*Configuracion!$B$11,0),0))</f>
        <v/>
      </c>
      <c r="L166" s="30">
        <f>IF(F166="","",F166-IF(I166="",0,I166))</f>
        <v/>
      </c>
      <c r="M166" s="15">
        <f>IF(A166="","",YEAR(A166))</f>
        <v/>
      </c>
      <c r="N166" s="15">
        <f>IF(A166="","",MONTH(A166))</f>
        <v/>
      </c>
    </row>
    <row r="167">
      <c r="A167" s="70" t="n"/>
      <c r="B167" s="9" t="n"/>
      <c r="C167" s="9" t="n"/>
      <c r="D167" s="9" t="n"/>
      <c r="E167" s="9" t="n"/>
      <c r="F167" s="71" t="n"/>
      <c r="G167" s="30">
        <f>IF(F167="","",ROUND(F167*Configuracion!$B$11,0))</f>
        <v/>
      </c>
      <c r="H167" s="30">
        <f>IF(F167="","",F167+G167)</f>
        <v/>
      </c>
      <c r="I167" s="71" t="n"/>
      <c r="J167" s="9" t="n"/>
      <c r="K167" s="30">
        <f>IF(I167="","",IF(J167="Sí",ROUND(I167*Configuracion!$B$11,0),0))</f>
        <v/>
      </c>
      <c r="L167" s="30">
        <f>IF(F167="","",F167-IF(I167="",0,I167))</f>
        <v/>
      </c>
      <c r="M167" s="15">
        <f>IF(A167="","",YEAR(A167))</f>
        <v/>
      </c>
      <c r="N167" s="15">
        <f>IF(A167="","",MONTH(A167))</f>
        <v/>
      </c>
    </row>
    <row r="168">
      <c r="A168" s="70" t="n"/>
      <c r="B168" s="9" t="n"/>
      <c r="C168" s="9" t="n"/>
      <c r="D168" s="9" t="n"/>
      <c r="E168" s="9" t="n"/>
      <c r="F168" s="71" t="n"/>
      <c r="G168" s="30">
        <f>IF(F168="","",ROUND(F168*Configuracion!$B$11,0))</f>
        <v/>
      </c>
      <c r="H168" s="30">
        <f>IF(F168="","",F168+G168)</f>
        <v/>
      </c>
      <c r="I168" s="71" t="n"/>
      <c r="J168" s="9" t="n"/>
      <c r="K168" s="30">
        <f>IF(I168="","",IF(J168="Sí",ROUND(I168*Configuracion!$B$11,0),0))</f>
        <v/>
      </c>
      <c r="L168" s="30">
        <f>IF(F168="","",F168-IF(I168="",0,I168))</f>
        <v/>
      </c>
      <c r="M168" s="15">
        <f>IF(A168="","",YEAR(A168))</f>
        <v/>
      </c>
      <c r="N168" s="15">
        <f>IF(A168="","",MONTH(A168))</f>
        <v/>
      </c>
    </row>
    <row r="169">
      <c r="A169" s="70" t="n"/>
      <c r="B169" s="9" t="n"/>
      <c r="C169" s="9" t="n"/>
      <c r="D169" s="9" t="n"/>
      <c r="E169" s="9" t="n"/>
      <c r="F169" s="71" t="n"/>
      <c r="G169" s="30">
        <f>IF(F169="","",ROUND(F169*Configuracion!$B$11,0))</f>
        <v/>
      </c>
      <c r="H169" s="30">
        <f>IF(F169="","",F169+G169)</f>
        <v/>
      </c>
      <c r="I169" s="71" t="n"/>
      <c r="J169" s="9" t="n"/>
      <c r="K169" s="30">
        <f>IF(I169="","",IF(J169="Sí",ROUND(I169*Configuracion!$B$11,0),0))</f>
        <v/>
      </c>
      <c r="L169" s="30">
        <f>IF(F169="","",F169-IF(I169="",0,I169))</f>
        <v/>
      </c>
      <c r="M169" s="15">
        <f>IF(A169="","",YEAR(A169))</f>
        <v/>
      </c>
      <c r="N169" s="15">
        <f>IF(A169="","",MONTH(A169))</f>
        <v/>
      </c>
    </row>
    <row r="170">
      <c r="A170" s="70" t="n"/>
      <c r="B170" s="9" t="n"/>
      <c r="C170" s="9" t="n"/>
      <c r="D170" s="9" t="n"/>
      <c r="E170" s="9" t="n"/>
      <c r="F170" s="71" t="n"/>
      <c r="G170" s="30">
        <f>IF(F170="","",ROUND(F170*Configuracion!$B$11,0))</f>
        <v/>
      </c>
      <c r="H170" s="30">
        <f>IF(F170="","",F170+G170)</f>
        <v/>
      </c>
      <c r="I170" s="71" t="n"/>
      <c r="J170" s="9" t="n"/>
      <c r="K170" s="30">
        <f>IF(I170="","",IF(J170="Sí",ROUND(I170*Configuracion!$B$11,0),0))</f>
        <v/>
      </c>
      <c r="L170" s="30">
        <f>IF(F170="","",F170-IF(I170="",0,I170))</f>
        <v/>
      </c>
      <c r="M170" s="15">
        <f>IF(A170="","",YEAR(A170))</f>
        <v/>
      </c>
      <c r="N170" s="15">
        <f>IF(A170="","",MONTH(A170))</f>
        <v/>
      </c>
    </row>
    <row r="171">
      <c r="A171" s="70" t="n"/>
      <c r="B171" s="9" t="n"/>
      <c r="C171" s="9" t="n"/>
      <c r="D171" s="9" t="n"/>
      <c r="E171" s="9" t="n"/>
      <c r="F171" s="71" t="n"/>
      <c r="G171" s="30">
        <f>IF(F171="","",ROUND(F171*Configuracion!$B$11,0))</f>
        <v/>
      </c>
      <c r="H171" s="30">
        <f>IF(F171="","",F171+G171)</f>
        <v/>
      </c>
      <c r="I171" s="71" t="n"/>
      <c r="J171" s="9" t="n"/>
      <c r="K171" s="30">
        <f>IF(I171="","",IF(J171="Sí",ROUND(I171*Configuracion!$B$11,0),0))</f>
        <v/>
      </c>
      <c r="L171" s="30">
        <f>IF(F171="","",F171-IF(I171="",0,I171))</f>
        <v/>
      </c>
      <c r="M171" s="15">
        <f>IF(A171="","",YEAR(A171))</f>
        <v/>
      </c>
      <c r="N171" s="15">
        <f>IF(A171="","",MONTH(A171))</f>
        <v/>
      </c>
    </row>
    <row r="172">
      <c r="A172" s="70" t="n"/>
      <c r="B172" s="9" t="n"/>
      <c r="C172" s="9" t="n"/>
      <c r="D172" s="9" t="n"/>
      <c r="E172" s="9" t="n"/>
      <c r="F172" s="71" t="n"/>
      <c r="G172" s="30">
        <f>IF(F172="","",ROUND(F172*Configuracion!$B$11,0))</f>
        <v/>
      </c>
      <c r="H172" s="30">
        <f>IF(F172="","",F172+G172)</f>
        <v/>
      </c>
      <c r="I172" s="71" t="n"/>
      <c r="J172" s="9" t="n"/>
      <c r="K172" s="30">
        <f>IF(I172="","",IF(J172="Sí",ROUND(I172*Configuracion!$B$11,0),0))</f>
        <v/>
      </c>
      <c r="L172" s="30">
        <f>IF(F172="","",F172-IF(I172="",0,I172))</f>
        <v/>
      </c>
      <c r="M172" s="15">
        <f>IF(A172="","",YEAR(A172))</f>
        <v/>
      </c>
      <c r="N172" s="15">
        <f>IF(A172="","",MONTH(A172))</f>
        <v/>
      </c>
    </row>
    <row r="173">
      <c r="A173" s="70" t="n"/>
      <c r="B173" s="9" t="n"/>
      <c r="C173" s="9" t="n"/>
      <c r="D173" s="9" t="n"/>
      <c r="E173" s="9" t="n"/>
      <c r="F173" s="71" t="n"/>
      <c r="G173" s="30">
        <f>IF(F173="","",ROUND(F173*Configuracion!$B$11,0))</f>
        <v/>
      </c>
      <c r="H173" s="30">
        <f>IF(F173="","",F173+G173)</f>
        <v/>
      </c>
      <c r="I173" s="71" t="n"/>
      <c r="J173" s="9" t="n"/>
      <c r="K173" s="30">
        <f>IF(I173="","",IF(J173="Sí",ROUND(I173*Configuracion!$B$11,0),0))</f>
        <v/>
      </c>
      <c r="L173" s="30">
        <f>IF(F173="","",F173-IF(I173="",0,I173))</f>
        <v/>
      </c>
      <c r="M173" s="15">
        <f>IF(A173="","",YEAR(A173))</f>
        <v/>
      </c>
      <c r="N173" s="15">
        <f>IF(A173="","",MONTH(A173))</f>
        <v/>
      </c>
    </row>
    <row r="174">
      <c r="A174" s="70" t="n"/>
      <c r="B174" s="9" t="n"/>
      <c r="C174" s="9" t="n"/>
      <c r="D174" s="9" t="n"/>
      <c r="E174" s="9" t="n"/>
      <c r="F174" s="71" t="n"/>
      <c r="G174" s="30">
        <f>IF(F174="","",ROUND(F174*Configuracion!$B$11,0))</f>
        <v/>
      </c>
      <c r="H174" s="30">
        <f>IF(F174="","",F174+G174)</f>
        <v/>
      </c>
      <c r="I174" s="71" t="n"/>
      <c r="J174" s="9" t="n"/>
      <c r="K174" s="30">
        <f>IF(I174="","",IF(J174="Sí",ROUND(I174*Configuracion!$B$11,0),0))</f>
        <v/>
      </c>
      <c r="L174" s="30">
        <f>IF(F174="","",F174-IF(I174="",0,I174))</f>
        <v/>
      </c>
      <c r="M174" s="15">
        <f>IF(A174="","",YEAR(A174))</f>
        <v/>
      </c>
      <c r="N174" s="15">
        <f>IF(A174="","",MONTH(A174))</f>
        <v/>
      </c>
    </row>
    <row r="175">
      <c r="A175" s="70" t="n"/>
      <c r="B175" s="9" t="n"/>
      <c r="C175" s="9" t="n"/>
      <c r="D175" s="9" t="n"/>
      <c r="E175" s="9" t="n"/>
      <c r="F175" s="71" t="n"/>
      <c r="G175" s="30">
        <f>IF(F175="","",ROUND(F175*Configuracion!$B$11,0))</f>
        <v/>
      </c>
      <c r="H175" s="30">
        <f>IF(F175="","",F175+G175)</f>
        <v/>
      </c>
      <c r="I175" s="71" t="n"/>
      <c r="J175" s="9" t="n"/>
      <c r="K175" s="30">
        <f>IF(I175="","",IF(J175="Sí",ROUND(I175*Configuracion!$B$11,0),0))</f>
        <v/>
      </c>
      <c r="L175" s="30">
        <f>IF(F175="","",F175-IF(I175="",0,I175))</f>
        <v/>
      </c>
      <c r="M175" s="15">
        <f>IF(A175="","",YEAR(A175))</f>
        <v/>
      </c>
      <c r="N175" s="15">
        <f>IF(A175="","",MONTH(A175))</f>
        <v/>
      </c>
    </row>
    <row r="176">
      <c r="A176" s="70" t="n"/>
      <c r="B176" s="9" t="n"/>
      <c r="C176" s="9" t="n"/>
      <c r="D176" s="9" t="n"/>
      <c r="E176" s="9" t="n"/>
      <c r="F176" s="71" t="n"/>
      <c r="G176" s="30">
        <f>IF(F176="","",ROUND(F176*Configuracion!$B$11,0))</f>
        <v/>
      </c>
      <c r="H176" s="30">
        <f>IF(F176="","",F176+G176)</f>
        <v/>
      </c>
      <c r="I176" s="71" t="n"/>
      <c r="J176" s="9" t="n"/>
      <c r="K176" s="30">
        <f>IF(I176="","",IF(J176="Sí",ROUND(I176*Configuracion!$B$11,0),0))</f>
        <v/>
      </c>
      <c r="L176" s="30">
        <f>IF(F176="","",F176-IF(I176="",0,I176))</f>
        <v/>
      </c>
      <c r="M176" s="15">
        <f>IF(A176="","",YEAR(A176))</f>
        <v/>
      </c>
      <c r="N176" s="15">
        <f>IF(A176="","",MONTH(A176))</f>
        <v/>
      </c>
    </row>
    <row r="177">
      <c r="A177" s="70" t="n"/>
      <c r="B177" s="9" t="n"/>
      <c r="C177" s="9" t="n"/>
      <c r="D177" s="9" t="n"/>
      <c r="E177" s="9" t="n"/>
      <c r="F177" s="71" t="n"/>
      <c r="G177" s="30">
        <f>IF(F177="","",ROUND(F177*Configuracion!$B$11,0))</f>
        <v/>
      </c>
      <c r="H177" s="30">
        <f>IF(F177="","",F177+G177)</f>
        <v/>
      </c>
      <c r="I177" s="71" t="n"/>
      <c r="J177" s="9" t="n"/>
      <c r="K177" s="30">
        <f>IF(I177="","",IF(J177="Sí",ROUND(I177*Configuracion!$B$11,0),0))</f>
        <v/>
      </c>
      <c r="L177" s="30">
        <f>IF(F177="","",F177-IF(I177="",0,I177))</f>
        <v/>
      </c>
      <c r="M177" s="15">
        <f>IF(A177="","",YEAR(A177))</f>
        <v/>
      </c>
      <c r="N177" s="15">
        <f>IF(A177="","",MONTH(A177))</f>
        <v/>
      </c>
    </row>
    <row r="178">
      <c r="A178" s="70" t="n"/>
      <c r="B178" s="9" t="n"/>
      <c r="C178" s="9" t="n"/>
      <c r="D178" s="9" t="n"/>
      <c r="E178" s="9" t="n"/>
      <c r="F178" s="71" t="n"/>
      <c r="G178" s="30">
        <f>IF(F178="","",ROUND(F178*Configuracion!$B$11,0))</f>
        <v/>
      </c>
      <c r="H178" s="30">
        <f>IF(F178="","",F178+G178)</f>
        <v/>
      </c>
      <c r="I178" s="71" t="n"/>
      <c r="J178" s="9" t="n"/>
      <c r="K178" s="30">
        <f>IF(I178="","",IF(J178="Sí",ROUND(I178*Configuracion!$B$11,0),0))</f>
        <v/>
      </c>
      <c r="L178" s="30">
        <f>IF(F178="","",F178-IF(I178="",0,I178))</f>
        <v/>
      </c>
      <c r="M178" s="15">
        <f>IF(A178="","",YEAR(A178))</f>
        <v/>
      </c>
      <c r="N178" s="15">
        <f>IF(A178="","",MONTH(A178))</f>
        <v/>
      </c>
    </row>
    <row r="179">
      <c r="A179" s="70" t="n"/>
      <c r="B179" s="9" t="n"/>
      <c r="C179" s="9" t="n"/>
      <c r="D179" s="9" t="n"/>
      <c r="E179" s="9" t="n"/>
      <c r="F179" s="71" t="n"/>
      <c r="G179" s="30">
        <f>IF(F179="","",ROUND(F179*Configuracion!$B$11,0))</f>
        <v/>
      </c>
      <c r="H179" s="30">
        <f>IF(F179="","",F179+G179)</f>
        <v/>
      </c>
      <c r="I179" s="71" t="n"/>
      <c r="J179" s="9" t="n"/>
      <c r="K179" s="30">
        <f>IF(I179="","",IF(J179="Sí",ROUND(I179*Configuracion!$B$11,0),0))</f>
        <v/>
      </c>
      <c r="L179" s="30">
        <f>IF(F179="","",F179-IF(I179="",0,I179))</f>
        <v/>
      </c>
      <c r="M179" s="15">
        <f>IF(A179="","",YEAR(A179))</f>
        <v/>
      </c>
      <c r="N179" s="15">
        <f>IF(A179="","",MONTH(A179))</f>
        <v/>
      </c>
    </row>
    <row r="180">
      <c r="A180" s="70" t="n"/>
      <c r="B180" s="9" t="n"/>
      <c r="C180" s="9" t="n"/>
      <c r="D180" s="9" t="n"/>
      <c r="E180" s="9" t="n"/>
      <c r="F180" s="71" t="n"/>
      <c r="G180" s="30">
        <f>IF(F180="","",ROUND(F180*Configuracion!$B$11,0))</f>
        <v/>
      </c>
      <c r="H180" s="30">
        <f>IF(F180="","",F180+G180)</f>
        <v/>
      </c>
      <c r="I180" s="71" t="n"/>
      <c r="J180" s="9" t="n"/>
      <c r="K180" s="30">
        <f>IF(I180="","",IF(J180="Sí",ROUND(I180*Configuracion!$B$11,0),0))</f>
        <v/>
      </c>
      <c r="L180" s="30">
        <f>IF(F180="","",F180-IF(I180="",0,I180))</f>
        <v/>
      </c>
      <c r="M180" s="15">
        <f>IF(A180="","",YEAR(A180))</f>
        <v/>
      </c>
      <c r="N180" s="15">
        <f>IF(A180="","",MONTH(A180))</f>
        <v/>
      </c>
    </row>
    <row r="181">
      <c r="A181" s="70" t="n"/>
      <c r="B181" s="9" t="n"/>
      <c r="C181" s="9" t="n"/>
      <c r="D181" s="9" t="n"/>
      <c r="E181" s="9" t="n"/>
      <c r="F181" s="71" t="n"/>
      <c r="G181" s="30">
        <f>IF(F181="","",ROUND(F181*Configuracion!$B$11,0))</f>
        <v/>
      </c>
      <c r="H181" s="30">
        <f>IF(F181="","",F181+G181)</f>
        <v/>
      </c>
      <c r="I181" s="71" t="n"/>
      <c r="J181" s="9" t="n"/>
      <c r="K181" s="30">
        <f>IF(I181="","",IF(J181="Sí",ROUND(I181*Configuracion!$B$11,0),0))</f>
        <v/>
      </c>
      <c r="L181" s="30">
        <f>IF(F181="","",F181-IF(I181="",0,I181))</f>
        <v/>
      </c>
      <c r="M181" s="15">
        <f>IF(A181="","",YEAR(A181))</f>
        <v/>
      </c>
      <c r="N181" s="15">
        <f>IF(A181="","",MONTH(A181))</f>
        <v/>
      </c>
    </row>
    <row r="182">
      <c r="A182" s="70" t="n"/>
      <c r="B182" s="9" t="n"/>
      <c r="C182" s="9" t="n"/>
      <c r="D182" s="9" t="n"/>
      <c r="E182" s="9" t="n"/>
      <c r="F182" s="71" t="n"/>
      <c r="G182" s="30">
        <f>IF(F182="","",ROUND(F182*Configuracion!$B$11,0))</f>
        <v/>
      </c>
      <c r="H182" s="30">
        <f>IF(F182="","",F182+G182)</f>
        <v/>
      </c>
      <c r="I182" s="71" t="n"/>
      <c r="J182" s="9" t="n"/>
      <c r="K182" s="30">
        <f>IF(I182="","",IF(J182="Sí",ROUND(I182*Configuracion!$B$11,0),0))</f>
        <v/>
      </c>
      <c r="L182" s="30">
        <f>IF(F182="","",F182-IF(I182="",0,I182))</f>
        <v/>
      </c>
      <c r="M182" s="15">
        <f>IF(A182="","",YEAR(A182))</f>
        <v/>
      </c>
      <c r="N182" s="15">
        <f>IF(A182="","",MONTH(A182))</f>
        <v/>
      </c>
    </row>
    <row r="183">
      <c r="A183" s="70" t="n"/>
      <c r="B183" s="9" t="n"/>
      <c r="C183" s="9" t="n"/>
      <c r="D183" s="9" t="n"/>
      <c r="E183" s="9" t="n"/>
      <c r="F183" s="71" t="n"/>
      <c r="G183" s="30">
        <f>IF(F183="","",ROUND(F183*Configuracion!$B$11,0))</f>
        <v/>
      </c>
      <c r="H183" s="30">
        <f>IF(F183="","",F183+G183)</f>
        <v/>
      </c>
      <c r="I183" s="71" t="n"/>
      <c r="J183" s="9" t="n"/>
      <c r="K183" s="30">
        <f>IF(I183="","",IF(J183="Sí",ROUND(I183*Configuracion!$B$11,0),0))</f>
        <v/>
      </c>
      <c r="L183" s="30">
        <f>IF(F183="","",F183-IF(I183="",0,I183))</f>
        <v/>
      </c>
      <c r="M183" s="15">
        <f>IF(A183="","",YEAR(A183))</f>
        <v/>
      </c>
      <c r="N183" s="15">
        <f>IF(A183="","",MONTH(A183))</f>
        <v/>
      </c>
    </row>
    <row r="184">
      <c r="A184" s="70" t="n"/>
      <c r="B184" s="9" t="n"/>
      <c r="C184" s="9" t="n"/>
      <c r="D184" s="9" t="n"/>
      <c r="E184" s="9" t="n"/>
      <c r="F184" s="71" t="n"/>
      <c r="G184" s="30">
        <f>IF(F184="","",ROUND(F184*Configuracion!$B$11,0))</f>
        <v/>
      </c>
      <c r="H184" s="30">
        <f>IF(F184="","",F184+G184)</f>
        <v/>
      </c>
      <c r="I184" s="71" t="n"/>
      <c r="J184" s="9" t="n"/>
      <c r="K184" s="30">
        <f>IF(I184="","",IF(J184="Sí",ROUND(I184*Configuracion!$B$11,0),0))</f>
        <v/>
      </c>
      <c r="L184" s="30">
        <f>IF(F184="","",F184-IF(I184="",0,I184))</f>
        <v/>
      </c>
      <c r="M184" s="15">
        <f>IF(A184="","",YEAR(A184))</f>
        <v/>
      </c>
      <c r="N184" s="15">
        <f>IF(A184="","",MONTH(A184))</f>
        <v/>
      </c>
    </row>
    <row r="185">
      <c r="A185" s="70" t="n"/>
      <c r="B185" s="9" t="n"/>
      <c r="C185" s="9" t="n"/>
      <c r="D185" s="9" t="n"/>
      <c r="E185" s="9" t="n"/>
      <c r="F185" s="71" t="n"/>
      <c r="G185" s="30">
        <f>IF(F185="","",ROUND(F185*Configuracion!$B$11,0))</f>
        <v/>
      </c>
      <c r="H185" s="30">
        <f>IF(F185="","",F185+G185)</f>
        <v/>
      </c>
      <c r="I185" s="71" t="n"/>
      <c r="J185" s="9" t="n"/>
      <c r="K185" s="30">
        <f>IF(I185="","",IF(J185="Sí",ROUND(I185*Configuracion!$B$11,0),0))</f>
        <v/>
      </c>
      <c r="L185" s="30">
        <f>IF(F185="","",F185-IF(I185="",0,I185))</f>
        <v/>
      </c>
      <c r="M185" s="15">
        <f>IF(A185="","",YEAR(A185))</f>
        <v/>
      </c>
      <c r="N185" s="15">
        <f>IF(A185="","",MONTH(A185))</f>
        <v/>
      </c>
    </row>
    <row r="186">
      <c r="A186" s="70" t="n"/>
      <c r="B186" s="9" t="n"/>
      <c r="C186" s="9" t="n"/>
      <c r="D186" s="9" t="n"/>
      <c r="E186" s="9" t="n"/>
      <c r="F186" s="71" t="n"/>
      <c r="G186" s="30">
        <f>IF(F186="","",ROUND(F186*Configuracion!$B$11,0))</f>
        <v/>
      </c>
      <c r="H186" s="30">
        <f>IF(F186="","",F186+G186)</f>
        <v/>
      </c>
      <c r="I186" s="71" t="n"/>
      <c r="J186" s="9" t="n"/>
      <c r="K186" s="30">
        <f>IF(I186="","",IF(J186="Sí",ROUND(I186*Configuracion!$B$11,0),0))</f>
        <v/>
      </c>
      <c r="L186" s="30">
        <f>IF(F186="","",F186-IF(I186="",0,I186))</f>
        <v/>
      </c>
      <c r="M186" s="15">
        <f>IF(A186="","",YEAR(A186))</f>
        <v/>
      </c>
      <c r="N186" s="15">
        <f>IF(A186="","",MONTH(A186))</f>
        <v/>
      </c>
    </row>
    <row r="187">
      <c r="A187" s="70" t="n"/>
      <c r="B187" s="9" t="n"/>
      <c r="C187" s="9" t="n"/>
      <c r="D187" s="9" t="n"/>
      <c r="E187" s="9" t="n"/>
      <c r="F187" s="71" t="n"/>
      <c r="G187" s="30">
        <f>IF(F187="","",ROUND(F187*Configuracion!$B$11,0))</f>
        <v/>
      </c>
      <c r="H187" s="30">
        <f>IF(F187="","",F187+G187)</f>
        <v/>
      </c>
      <c r="I187" s="71" t="n"/>
      <c r="J187" s="9" t="n"/>
      <c r="K187" s="30">
        <f>IF(I187="","",IF(J187="Sí",ROUND(I187*Configuracion!$B$11,0),0))</f>
        <v/>
      </c>
      <c r="L187" s="30">
        <f>IF(F187="","",F187-IF(I187="",0,I187))</f>
        <v/>
      </c>
      <c r="M187" s="15">
        <f>IF(A187="","",YEAR(A187))</f>
        <v/>
      </c>
      <c r="N187" s="15">
        <f>IF(A187="","",MONTH(A187))</f>
        <v/>
      </c>
    </row>
    <row r="188">
      <c r="A188" s="70" t="n"/>
      <c r="B188" s="9" t="n"/>
      <c r="C188" s="9" t="n"/>
      <c r="D188" s="9" t="n"/>
      <c r="E188" s="9" t="n"/>
      <c r="F188" s="71" t="n"/>
      <c r="G188" s="30">
        <f>IF(F188="","",ROUND(F188*Configuracion!$B$11,0))</f>
        <v/>
      </c>
      <c r="H188" s="30">
        <f>IF(F188="","",F188+G188)</f>
        <v/>
      </c>
      <c r="I188" s="71" t="n"/>
      <c r="J188" s="9" t="n"/>
      <c r="K188" s="30">
        <f>IF(I188="","",IF(J188="Sí",ROUND(I188*Configuracion!$B$11,0),0))</f>
        <v/>
      </c>
      <c r="L188" s="30">
        <f>IF(F188="","",F188-IF(I188="",0,I188))</f>
        <v/>
      </c>
      <c r="M188" s="15">
        <f>IF(A188="","",YEAR(A188))</f>
        <v/>
      </c>
      <c r="N188" s="15">
        <f>IF(A188="","",MONTH(A188))</f>
        <v/>
      </c>
    </row>
    <row r="189">
      <c r="A189" s="70" t="n"/>
      <c r="B189" s="9" t="n"/>
      <c r="C189" s="9" t="n"/>
      <c r="D189" s="9" t="n"/>
      <c r="E189" s="9" t="n"/>
      <c r="F189" s="71" t="n"/>
      <c r="G189" s="30">
        <f>IF(F189="","",ROUND(F189*Configuracion!$B$11,0))</f>
        <v/>
      </c>
      <c r="H189" s="30">
        <f>IF(F189="","",F189+G189)</f>
        <v/>
      </c>
      <c r="I189" s="71" t="n"/>
      <c r="J189" s="9" t="n"/>
      <c r="K189" s="30">
        <f>IF(I189="","",IF(J189="Sí",ROUND(I189*Configuracion!$B$11,0),0))</f>
        <v/>
      </c>
      <c r="L189" s="30">
        <f>IF(F189="","",F189-IF(I189="",0,I189))</f>
        <v/>
      </c>
      <c r="M189" s="15">
        <f>IF(A189="","",YEAR(A189))</f>
        <v/>
      </c>
      <c r="N189" s="15">
        <f>IF(A189="","",MONTH(A189))</f>
        <v/>
      </c>
    </row>
    <row r="190">
      <c r="A190" s="70" t="n"/>
      <c r="B190" s="9" t="n"/>
      <c r="C190" s="9" t="n"/>
      <c r="D190" s="9" t="n"/>
      <c r="E190" s="9" t="n"/>
      <c r="F190" s="71" t="n"/>
      <c r="G190" s="30">
        <f>IF(F190="","",ROUND(F190*Configuracion!$B$11,0))</f>
        <v/>
      </c>
      <c r="H190" s="30">
        <f>IF(F190="","",F190+G190)</f>
        <v/>
      </c>
      <c r="I190" s="71" t="n"/>
      <c r="J190" s="9" t="n"/>
      <c r="K190" s="30">
        <f>IF(I190="","",IF(J190="Sí",ROUND(I190*Configuracion!$B$11,0),0))</f>
        <v/>
      </c>
      <c r="L190" s="30">
        <f>IF(F190="","",F190-IF(I190="",0,I190))</f>
        <v/>
      </c>
      <c r="M190" s="15">
        <f>IF(A190="","",YEAR(A190))</f>
        <v/>
      </c>
      <c r="N190" s="15">
        <f>IF(A190="","",MONTH(A190))</f>
        <v/>
      </c>
    </row>
    <row r="191">
      <c r="A191" s="70" t="n"/>
      <c r="B191" s="9" t="n"/>
      <c r="C191" s="9" t="n"/>
      <c r="D191" s="9" t="n"/>
      <c r="E191" s="9" t="n"/>
      <c r="F191" s="71" t="n"/>
      <c r="G191" s="30">
        <f>IF(F191="","",ROUND(F191*Configuracion!$B$11,0))</f>
        <v/>
      </c>
      <c r="H191" s="30">
        <f>IF(F191="","",F191+G191)</f>
        <v/>
      </c>
      <c r="I191" s="71" t="n"/>
      <c r="J191" s="9" t="n"/>
      <c r="K191" s="30">
        <f>IF(I191="","",IF(J191="Sí",ROUND(I191*Configuracion!$B$11,0),0))</f>
        <v/>
      </c>
      <c r="L191" s="30">
        <f>IF(F191="","",F191-IF(I191="",0,I191))</f>
        <v/>
      </c>
      <c r="M191" s="15">
        <f>IF(A191="","",YEAR(A191))</f>
        <v/>
      </c>
      <c r="N191" s="15">
        <f>IF(A191="","",MONTH(A191))</f>
        <v/>
      </c>
    </row>
    <row r="192">
      <c r="A192" s="70" t="n"/>
      <c r="B192" s="9" t="n"/>
      <c r="C192" s="9" t="n"/>
      <c r="D192" s="9" t="n"/>
      <c r="E192" s="9" t="n"/>
      <c r="F192" s="71" t="n"/>
      <c r="G192" s="30">
        <f>IF(F192="","",ROUND(F192*Configuracion!$B$11,0))</f>
        <v/>
      </c>
      <c r="H192" s="30">
        <f>IF(F192="","",F192+G192)</f>
        <v/>
      </c>
      <c r="I192" s="71" t="n"/>
      <c r="J192" s="9" t="n"/>
      <c r="K192" s="30">
        <f>IF(I192="","",IF(J192="Sí",ROUND(I192*Configuracion!$B$11,0),0))</f>
        <v/>
      </c>
      <c r="L192" s="30">
        <f>IF(F192="","",F192-IF(I192="",0,I192))</f>
        <v/>
      </c>
      <c r="M192" s="15">
        <f>IF(A192="","",YEAR(A192))</f>
        <v/>
      </c>
      <c r="N192" s="15">
        <f>IF(A192="","",MONTH(A192))</f>
        <v/>
      </c>
    </row>
    <row r="193">
      <c r="A193" s="70" t="n"/>
      <c r="B193" s="9" t="n"/>
      <c r="C193" s="9" t="n"/>
      <c r="D193" s="9" t="n"/>
      <c r="E193" s="9" t="n"/>
      <c r="F193" s="71" t="n"/>
      <c r="G193" s="30">
        <f>IF(F193="","",ROUND(F193*Configuracion!$B$11,0))</f>
        <v/>
      </c>
      <c r="H193" s="30">
        <f>IF(F193="","",F193+G193)</f>
        <v/>
      </c>
      <c r="I193" s="71" t="n"/>
      <c r="J193" s="9" t="n"/>
      <c r="K193" s="30">
        <f>IF(I193="","",IF(J193="Sí",ROUND(I193*Configuracion!$B$11,0),0))</f>
        <v/>
      </c>
      <c r="L193" s="30">
        <f>IF(F193="","",F193-IF(I193="",0,I193))</f>
        <v/>
      </c>
      <c r="M193" s="15">
        <f>IF(A193="","",YEAR(A193))</f>
        <v/>
      </c>
      <c r="N193" s="15">
        <f>IF(A193="","",MONTH(A193))</f>
        <v/>
      </c>
    </row>
    <row r="194">
      <c r="A194" s="70" t="n"/>
      <c r="B194" s="9" t="n"/>
      <c r="C194" s="9" t="n"/>
      <c r="D194" s="9" t="n"/>
      <c r="E194" s="9" t="n"/>
      <c r="F194" s="71" t="n"/>
      <c r="G194" s="30">
        <f>IF(F194="","",ROUND(F194*Configuracion!$B$11,0))</f>
        <v/>
      </c>
      <c r="H194" s="30">
        <f>IF(F194="","",F194+G194)</f>
        <v/>
      </c>
      <c r="I194" s="71" t="n"/>
      <c r="J194" s="9" t="n"/>
      <c r="K194" s="30">
        <f>IF(I194="","",IF(J194="Sí",ROUND(I194*Configuracion!$B$11,0),0))</f>
        <v/>
      </c>
      <c r="L194" s="30">
        <f>IF(F194="","",F194-IF(I194="",0,I194))</f>
        <v/>
      </c>
      <c r="M194" s="15">
        <f>IF(A194="","",YEAR(A194))</f>
        <v/>
      </c>
      <c r="N194" s="15">
        <f>IF(A194="","",MONTH(A194))</f>
        <v/>
      </c>
    </row>
    <row r="195">
      <c r="A195" s="70" t="n"/>
      <c r="B195" s="9" t="n"/>
      <c r="C195" s="9" t="n"/>
      <c r="D195" s="9" t="n"/>
      <c r="E195" s="9" t="n"/>
      <c r="F195" s="71" t="n"/>
      <c r="G195" s="30">
        <f>IF(F195="","",ROUND(F195*Configuracion!$B$11,0))</f>
        <v/>
      </c>
      <c r="H195" s="30">
        <f>IF(F195="","",F195+G195)</f>
        <v/>
      </c>
      <c r="I195" s="71" t="n"/>
      <c r="J195" s="9" t="n"/>
      <c r="K195" s="30">
        <f>IF(I195="","",IF(J195="Sí",ROUND(I195*Configuracion!$B$11,0),0))</f>
        <v/>
      </c>
      <c r="L195" s="30">
        <f>IF(F195="","",F195-IF(I195="",0,I195))</f>
        <v/>
      </c>
      <c r="M195" s="15">
        <f>IF(A195="","",YEAR(A195))</f>
        <v/>
      </c>
      <c r="N195" s="15">
        <f>IF(A195="","",MONTH(A195))</f>
        <v/>
      </c>
    </row>
    <row r="196">
      <c r="A196" s="70" t="n"/>
      <c r="B196" s="9" t="n"/>
      <c r="C196" s="9" t="n"/>
      <c r="D196" s="9" t="n"/>
      <c r="E196" s="9" t="n"/>
      <c r="F196" s="71" t="n"/>
      <c r="G196" s="30">
        <f>IF(F196="","",ROUND(F196*Configuracion!$B$11,0))</f>
        <v/>
      </c>
      <c r="H196" s="30">
        <f>IF(F196="","",F196+G196)</f>
        <v/>
      </c>
      <c r="I196" s="71" t="n"/>
      <c r="J196" s="9" t="n"/>
      <c r="K196" s="30">
        <f>IF(I196="","",IF(J196="Sí",ROUND(I196*Configuracion!$B$11,0),0))</f>
        <v/>
      </c>
      <c r="L196" s="30">
        <f>IF(F196="","",F196-IF(I196="",0,I196))</f>
        <v/>
      </c>
      <c r="M196" s="15">
        <f>IF(A196="","",YEAR(A196))</f>
        <v/>
      </c>
      <c r="N196" s="15">
        <f>IF(A196="","",MONTH(A196))</f>
        <v/>
      </c>
    </row>
    <row r="197">
      <c r="A197" s="70" t="n"/>
      <c r="B197" s="9" t="n"/>
      <c r="C197" s="9" t="n"/>
      <c r="D197" s="9" t="n"/>
      <c r="E197" s="9" t="n"/>
      <c r="F197" s="71" t="n"/>
      <c r="G197" s="30">
        <f>IF(F197="","",ROUND(F197*Configuracion!$B$11,0))</f>
        <v/>
      </c>
      <c r="H197" s="30">
        <f>IF(F197="","",F197+G197)</f>
        <v/>
      </c>
      <c r="I197" s="71" t="n"/>
      <c r="J197" s="9" t="n"/>
      <c r="K197" s="30">
        <f>IF(I197="","",IF(J197="Sí",ROUND(I197*Configuracion!$B$11,0),0))</f>
        <v/>
      </c>
      <c r="L197" s="30">
        <f>IF(F197="","",F197-IF(I197="",0,I197))</f>
        <v/>
      </c>
      <c r="M197" s="15">
        <f>IF(A197="","",YEAR(A197))</f>
        <v/>
      </c>
      <c r="N197" s="15">
        <f>IF(A197="","",MONTH(A197))</f>
        <v/>
      </c>
    </row>
    <row r="198">
      <c r="A198" s="70" t="n"/>
      <c r="B198" s="9" t="n"/>
      <c r="C198" s="9" t="n"/>
      <c r="D198" s="9" t="n"/>
      <c r="E198" s="9" t="n"/>
      <c r="F198" s="71" t="n"/>
      <c r="G198" s="30">
        <f>IF(F198="","",ROUND(F198*Configuracion!$B$11,0))</f>
        <v/>
      </c>
      <c r="H198" s="30">
        <f>IF(F198="","",F198+G198)</f>
        <v/>
      </c>
      <c r="I198" s="71" t="n"/>
      <c r="J198" s="9" t="n"/>
      <c r="K198" s="30">
        <f>IF(I198="","",IF(J198="Sí",ROUND(I198*Configuracion!$B$11,0),0))</f>
        <v/>
      </c>
      <c r="L198" s="30">
        <f>IF(F198="","",F198-IF(I198="",0,I198))</f>
        <v/>
      </c>
      <c r="M198" s="15">
        <f>IF(A198="","",YEAR(A198))</f>
        <v/>
      </c>
      <c r="N198" s="15">
        <f>IF(A198="","",MONTH(A198))</f>
        <v/>
      </c>
    </row>
    <row r="199">
      <c r="A199" s="70" t="n"/>
      <c r="B199" s="9" t="n"/>
      <c r="C199" s="9" t="n"/>
      <c r="D199" s="9" t="n"/>
      <c r="E199" s="9" t="n"/>
      <c r="F199" s="71" t="n"/>
      <c r="G199" s="30">
        <f>IF(F199="","",ROUND(F199*Configuracion!$B$11,0))</f>
        <v/>
      </c>
      <c r="H199" s="30">
        <f>IF(F199="","",F199+G199)</f>
        <v/>
      </c>
      <c r="I199" s="71" t="n"/>
      <c r="J199" s="9" t="n"/>
      <c r="K199" s="30">
        <f>IF(I199="","",IF(J199="Sí",ROUND(I199*Configuracion!$B$11,0),0))</f>
        <v/>
      </c>
      <c r="L199" s="30">
        <f>IF(F199="","",F199-IF(I199="",0,I199))</f>
        <v/>
      </c>
      <c r="M199" s="15">
        <f>IF(A199="","",YEAR(A199))</f>
        <v/>
      </c>
      <c r="N199" s="15">
        <f>IF(A199="","",MONTH(A199))</f>
        <v/>
      </c>
    </row>
    <row r="200">
      <c r="A200" s="70" t="n"/>
      <c r="B200" s="9" t="n"/>
      <c r="C200" s="9" t="n"/>
      <c r="D200" s="9" t="n"/>
      <c r="E200" s="9" t="n"/>
      <c r="F200" s="71" t="n"/>
      <c r="G200" s="30">
        <f>IF(F200="","",ROUND(F200*Configuracion!$B$11,0))</f>
        <v/>
      </c>
      <c r="H200" s="30">
        <f>IF(F200="","",F200+G200)</f>
        <v/>
      </c>
      <c r="I200" s="71" t="n"/>
      <c r="J200" s="9" t="n"/>
      <c r="K200" s="30">
        <f>IF(I200="","",IF(J200="Sí",ROUND(I200*Configuracion!$B$11,0),0))</f>
        <v/>
      </c>
      <c r="L200" s="30">
        <f>IF(F200="","",F200-IF(I200="",0,I200))</f>
        <v/>
      </c>
      <c r="M200" s="15">
        <f>IF(A200="","",YEAR(A200))</f>
        <v/>
      </c>
      <c r="N200" s="15">
        <f>IF(A200="","",MONTH(A200))</f>
        <v/>
      </c>
    </row>
    <row r="201">
      <c r="A201" s="70" t="n"/>
      <c r="B201" s="9" t="n"/>
      <c r="C201" s="9" t="n"/>
      <c r="D201" s="9" t="n"/>
      <c r="E201" s="9" t="n"/>
      <c r="F201" s="71" t="n"/>
      <c r="G201" s="30">
        <f>IF(F201="","",ROUND(F201*Configuracion!$B$11,0))</f>
        <v/>
      </c>
      <c r="H201" s="30">
        <f>IF(F201="","",F201+G201)</f>
        <v/>
      </c>
      <c r="I201" s="71" t="n"/>
      <c r="J201" s="9" t="n"/>
      <c r="K201" s="30">
        <f>IF(I201="","",IF(J201="Sí",ROUND(I201*Configuracion!$B$11,0),0))</f>
        <v/>
      </c>
      <c r="L201" s="30">
        <f>IF(F201="","",F201-IF(I201="",0,I201))</f>
        <v/>
      </c>
      <c r="M201" s="15">
        <f>IF(A201="","",YEAR(A201))</f>
        <v/>
      </c>
      <c r="N201" s="15">
        <f>IF(A201="","",MONTH(A201))</f>
        <v/>
      </c>
    </row>
    <row r="202">
      <c r="A202" s="70" t="n"/>
      <c r="B202" s="9" t="n"/>
      <c r="C202" s="9" t="n"/>
      <c r="D202" s="9" t="n"/>
      <c r="E202" s="9" t="n"/>
      <c r="F202" s="71" t="n"/>
      <c r="G202" s="30">
        <f>IF(F202="","",ROUND(F202*Configuracion!$B$11,0))</f>
        <v/>
      </c>
      <c r="H202" s="30">
        <f>IF(F202="","",F202+G202)</f>
        <v/>
      </c>
      <c r="I202" s="71" t="n"/>
      <c r="J202" s="9" t="n"/>
      <c r="K202" s="30">
        <f>IF(I202="","",IF(J202="Sí",ROUND(I202*Configuracion!$B$11,0),0))</f>
        <v/>
      </c>
      <c r="L202" s="30">
        <f>IF(F202="","",F202-IF(I202="",0,I202))</f>
        <v/>
      </c>
      <c r="M202" s="15">
        <f>IF(A202="","",YEAR(A202))</f>
        <v/>
      </c>
      <c r="N202" s="15">
        <f>IF(A202="","",MONTH(A202))</f>
        <v/>
      </c>
    </row>
    <row r="203">
      <c r="A203" s="70" t="n"/>
      <c r="B203" s="9" t="n"/>
      <c r="C203" s="9" t="n"/>
      <c r="D203" s="9" t="n"/>
      <c r="E203" s="9" t="n"/>
      <c r="F203" s="71" t="n"/>
      <c r="G203" s="30">
        <f>IF(F203="","",ROUND(F203*Configuracion!$B$11,0))</f>
        <v/>
      </c>
      <c r="H203" s="30">
        <f>IF(F203="","",F203+G203)</f>
        <v/>
      </c>
      <c r="I203" s="71" t="n"/>
      <c r="J203" s="9" t="n"/>
      <c r="K203" s="30">
        <f>IF(I203="","",IF(J203="Sí",ROUND(I203*Configuracion!$B$11,0),0))</f>
        <v/>
      </c>
      <c r="L203" s="30">
        <f>IF(F203="","",F203-IF(I203="",0,I203))</f>
        <v/>
      </c>
      <c r="M203" s="15">
        <f>IF(A203="","",YEAR(A203))</f>
        <v/>
      </c>
      <c r="N203" s="15">
        <f>IF(A203="","",MONTH(A203))</f>
        <v/>
      </c>
    </row>
    <row r="204">
      <c r="A204" s="70" t="n"/>
      <c r="B204" s="9" t="n"/>
      <c r="C204" s="9" t="n"/>
      <c r="D204" s="9" t="n"/>
      <c r="E204" s="9" t="n"/>
      <c r="F204" s="71" t="n"/>
      <c r="G204" s="30">
        <f>IF(F204="","",ROUND(F204*Configuracion!$B$11,0))</f>
        <v/>
      </c>
      <c r="H204" s="30">
        <f>IF(F204="","",F204+G204)</f>
        <v/>
      </c>
      <c r="I204" s="71" t="n"/>
      <c r="J204" s="9" t="n"/>
      <c r="K204" s="30">
        <f>IF(I204="","",IF(J204="Sí",ROUND(I204*Configuracion!$B$11,0),0))</f>
        <v/>
      </c>
      <c r="L204" s="30">
        <f>IF(F204="","",F204-IF(I204="",0,I204))</f>
        <v/>
      </c>
      <c r="M204" s="15">
        <f>IF(A204="","",YEAR(A204))</f>
        <v/>
      </c>
      <c r="N204" s="15">
        <f>IF(A204="","",MONTH(A204))</f>
        <v/>
      </c>
    </row>
    <row r="205">
      <c r="A205" s="70" t="n"/>
      <c r="B205" s="9" t="n"/>
      <c r="C205" s="9" t="n"/>
      <c r="D205" s="9" t="n"/>
      <c r="E205" s="9" t="n"/>
      <c r="F205" s="71" t="n"/>
      <c r="G205" s="30">
        <f>IF(F205="","",ROUND(F205*Configuracion!$B$11,0))</f>
        <v/>
      </c>
      <c r="H205" s="30">
        <f>IF(F205="","",F205+G205)</f>
        <v/>
      </c>
      <c r="I205" s="71" t="n"/>
      <c r="J205" s="9" t="n"/>
      <c r="K205" s="30">
        <f>IF(I205="","",IF(J205="Sí",ROUND(I205*Configuracion!$B$11,0),0))</f>
        <v/>
      </c>
      <c r="L205" s="30">
        <f>IF(F205="","",F205-IF(I205="",0,I205))</f>
        <v/>
      </c>
      <c r="M205" s="15">
        <f>IF(A205="","",YEAR(A205))</f>
        <v/>
      </c>
      <c r="N205" s="15">
        <f>IF(A205="","",MONTH(A205))</f>
        <v/>
      </c>
    </row>
  </sheetData>
  <autoFilter ref="A5:N205"/>
  <mergeCells count="3">
    <mergeCell ref="A3:N3"/>
    <mergeCell ref="A2:N2"/>
    <mergeCell ref="A1:N1"/>
  </mergeCells>
  <conditionalFormatting sqref="L6:L205">
    <cfRule type="cellIs" priority="1" operator="lessThan" dxfId="2">
      <formula>0</formula>
    </cfRule>
  </conditionalFormatting>
  <dataValidations count="2">
    <dataValidation sqref="B6:B205" showDropDown="0" showInputMessage="1" showErrorMessage="1" allowBlank="1" errorTitle="Valor no válido" error="Use un valor de la lista." promptTitle="Lista" prompt="Elija un valor" type="list">
      <formula1>"Taller,Repuestos"</formula1>
    </dataValidation>
    <dataValidation sqref="J6:J205" showDropDown="0" showInputMessage="1" showErrorMessage="1" allowBlank="1" errorTitle="Valor no válido" error="Use un valor de la lista." promptTitle="Lista" prompt="Elija un valor" type="list">
      <formula1>"Sí,No"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>&amp;LControl financiero automotora</oddHeader>
    <oddFooter>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38A169"/>
    <outlinePr summaryBelow="1" summaryRight="1"/>
    <pageSetUpPr fitToPage="1"/>
  </sheetPr>
  <dimension ref="A1:I105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6" customWidth="1" min="3" max="3"/>
    <col width="14" customWidth="1" min="4" max="4"/>
    <col width="14" customWidth="1" min="5" max="5"/>
    <col width="12" customWidth="1" min="6" max="6"/>
    <col width="14" customWidth="1" min="7" max="7"/>
    <col width="10" customWidth="1" min="8" max="8"/>
    <col width="8" customWidth="1" min="9" max="9"/>
  </cols>
  <sheetData>
    <row r="1" ht="28" customHeight="1">
      <c r="A1" s="1" t="inlineStr">
        <is>
          <t xml:space="preserve">  Otros ingresos</t>
        </is>
      </c>
    </row>
    <row r="2" ht="20" customHeight="1">
      <c r="A2" s="3" t="inlineStr">
        <is>
          <t xml:space="preserve">  Financiamiento, transferencias cobradas al cliente, arriendo de patio, etc.</t>
        </is>
      </c>
    </row>
    <row r="5">
      <c r="A5" s="26" t="inlineStr">
        <is>
          <t>Fecha</t>
        </is>
      </c>
      <c r="B5" s="26" t="inlineStr">
        <is>
          <t>Categoría</t>
        </is>
      </c>
      <c r="C5" s="26" t="inlineStr">
        <is>
          <t>Descripción</t>
        </is>
      </c>
      <c r="D5" s="26" t="inlineStr">
        <is>
          <t>Neto</t>
        </is>
      </c>
      <c r="E5" s="26" t="inlineStr">
        <is>
          <t>Afecto IVA</t>
        </is>
      </c>
      <c r="F5" s="26" t="inlineStr">
        <is>
          <t>IVA</t>
        </is>
      </c>
      <c r="G5" s="26" t="inlineStr">
        <is>
          <t>Total</t>
        </is>
      </c>
      <c r="H5" s="69" t="inlineStr">
        <is>
          <t>Año</t>
        </is>
      </c>
      <c r="I5" s="69" t="inlineStr">
        <is>
          <t>Mes</t>
        </is>
      </c>
    </row>
    <row r="6">
      <c r="A6" s="70" t="n">
        <v>46252</v>
      </c>
      <c r="B6" s="9" t="inlineStr">
        <is>
          <t>Gestión de financiamiento</t>
        </is>
      </c>
      <c r="C6" s="9" t="inlineStr">
        <is>
          <t>EJEMPLO — comisión financiera</t>
        </is>
      </c>
      <c r="D6" s="71" t="n">
        <v>120000</v>
      </c>
      <c r="E6" s="9" t="inlineStr">
        <is>
          <t>Sí</t>
        </is>
      </c>
      <c r="F6" s="30">
        <f>IF(D6="","",IF(E6="Sí",ROUND(D6*Configuracion!$B$11,0),0))</f>
        <v/>
      </c>
      <c r="G6" s="30">
        <f>IF(D6="","",D6+F6)</f>
        <v/>
      </c>
      <c r="H6" s="15">
        <f>IF(A6="","",YEAR(A6))</f>
        <v/>
      </c>
      <c r="I6" s="15">
        <f>IF(A6="","",MONTH(A6))</f>
        <v/>
      </c>
    </row>
    <row r="7">
      <c r="A7" s="70" t="n"/>
      <c r="B7" s="9" t="n"/>
      <c r="C7" s="9" t="n"/>
      <c r="D7" s="71" t="n"/>
      <c r="E7" s="9" t="n"/>
      <c r="F7" s="30">
        <f>IF(D7="","",IF(E7="Sí",ROUND(D7*Configuracion!$B$11,0),0))</f>
        <v/>
      </c>
      <c r="G7" s="30">
        <f>IF(D7="","",D7+F7)</f>
        <v/>
      </c>
      <c r="H7" s="15">
        <f>IF(A7="","",YEAR(A7))</f>
        <v/>
      </c>
      <c r="I7" s="15">
        <f>IF(A7="","",MONTH(A7))</f>
        <v/>
      </c>
    </row>
    <row r="8">
      <c r="A8" s="70" t="n"/>
      <c r="B8" s="9" t="n"/>
      <c r="C8" s="9" t="n"/>
      <c r="D8" s="71" t="n"/>
      <c r="E8" s="9" t="n"/>
      <c r="F8" s="30">
        <f>IF(D8="","",IF(E8="Sí",ROUND(D8*Configuracion!$B$11,0),0))</f>
        <v/>
      </c>
      <c r="G8" s="30">
        <f>IF(D8="","",D8+F8)</f>
        <v/>
      </c>
      <c r="H8" s="15">
        <f>IF(A8="","",YEAR(A8))</f>
        <v/>
      </c>
      <c r="I8" s="15">
        <f>IF(A8="","",MONTH(A8))</f>
        <v/>
      </c>
    </row>
    <row r="9">
      <c r="A9" s="70" t="n"/>
      <c r="B9" s="9" t="n"/>
      <c r="C9" s="9" t="n"/>
      <c r="D9" s="71" t="n"/>
      <c r="E9" s="9" t="n"/>
      <c r="F9" s="30">
        <f>IF(D9="","",IF(E9="Sí",ROUND(D9*Configuracion!$B$11,0),0))</f>
        <v/>
      </c>
      <c r="G9" s="30">
        <f>IF(D9="","",D9+F9)</f>
        <v/>
      </c>
      <c r="H9" s="15">
        <f>IF(A9="","",YEAR(A9))</f>
        <v/>
      </c>
      <c r="I9" s="15">
        <f>IF(A9="","",MONTH(A9))</f>
        <v/>
      </c>
    </row>
    <row r="10">
      <c r="A10" s="70" t="n"/>
      <c r="B10" s="9" t="n"/>
      <c r="C10" s="9" t="n"/>
      <c r="D10" s="71" t="n"/>
      <c r="E10" s="9" t="n"/>
      <c r="F10" s="30">
        <f>IF(D10="","",IF(E10="Sí",ROUND(D10*Configuracion!$B$11,0),0))</f>
        <v/>
      </c>
      <c r="G10" s="30">
        <f>IF(D10="","",D10+F10)</f>
        <v/>
      </c>
      <c r="H10" s="15">
        <f>IF(A10="","",YEAR(A10))</f>
        <v/>
      </c>
      <c r="I10" s="15">
        <f>IF(A10="","",MONTH(A10))</f>
        <v/>
      </c>
    </row>
    <row r="11">
      <c r="A11" s="70" t="n"/>
      <c r="B11" s="9" t="n"/>
      <c r="C11" s="9" t="n"/>
      <c r="D11" s="71" t="n"/>
      <c r="E11" s="9" t="n"/>
      <c r="F11" s="30">
        <f>IF(D11="","",IF(E11="Sí",ROUND(D11*Configuracion!$B$11,0),0))</f>
        <v/>
      </c>
      <c r="G11" s="30">
        <f>IF(D11="","",D11+F11)</f>
        <v/>
      </c>
      <c r="H11" s="15">
        <f>IF(A11="","",YEAR(A11))</f>
        <v/>
      </c>
      <c r="I11" s="15">
        <f>IF(A11="","",MONTH(A11))</f>
        <v/>
      </c>
    </row>
    <row r="12">
      <c r="A12" s="70" t="n"/>
      <c r="B12" s="9" t="n"/>
      <c r="C12" s="9" t="n"/>
      <c r="D12" s="71" t="n"/>
      <c r="E12" s="9" t="n"/>
      <c r="F12" s="30">
        <f>IF(D12="","",IF(E12="Sí",ROUND(D12*Configuracion!$B$11,0),0))</f>
        <v/>
      </c>
      <c r="G12" s="30">
        <f>IF(D12="","",D12+F12)</f>
        <v/>
      </c>
      <c r="H12" s="15">
        <f>IF(A12="","",YEAR(A12))</f>
        <v/>
      </c>
      <c r="I12" s="15">
        <f>IF(A12="","",MONTH(A12))</f>
        <v/>
      </c>
    </row>
    <row r="13">
      <c r="A13" s="70" t="n"/>
      <c r="B13" s="9" t="n"/>
      <c r="C13" s="9" t="n"/>
      <c r="D13" s="71" t="n"/>
      <c r="E13" s="9" t="n"/>
      <c r="F13" s="30">
        <f>IF(D13="","",IF(E13="Sí",ROUND(D13*Configuracion!$B$11,0),0))</f>
        <v/>
      </c>
      <c r="G13" s="30">
        <f>IF(D13="","",D13+F13)</f>
        <v/>
      </c>
      <c r="H13" s="15">
        <f>IF(A13="","",YEAR(A13))</f>
        <v/>
      </c>
      <c r="I13" s="15">
        <f>IF(A13="","",MONTH(A13))</f>
        <v/>
      </c>
    </row>
    <row r="14">
      <c r="A14" s="70" t="n"/>
      <c r="B14" s="9" t="n"/>
      <c r="C14" s="9" t="n"/>
      <c r="D14" s="71" t="n"/>
      <c r="E14" s="9" t="n"/>
      <c r="F14" s="30">
        <f>IF(D14="","",IF(E14="Sí",ROUND(D14*Configuracion!$B$11,0),0))</f>
        <v/>
      </c>
      <c r="G14" s="30">
        <f>IF(D14="","",D14+F14)</f>
        <v/>
      </c>
      <c r="H14" s="15">
        <f>IF(A14="","",YEAR(A14))</f>
        <v/>
      </c>
      <c r="I14" s="15">
        <f>IF(A14="","",MONTH(A14))</f>
        <v/>
      </c>
    </row>
    <row r="15">
      <c r="A15" s="70" t="n"/>
      <c r="B15" s="9" t="n"/>
      <c r="C15" s="9" t="n"/>
      <c r="D15" s="71" t="n"/>
      <c r="E15" s="9" t="n"/>
      <c r="F15" s="30">
        <f>IF(D15="","",IF(E15="Sí",ROUND(D15*Configuracion!$B$11,0),0))</f>
        <v/>
      </c>
      <c r="G15" s="30">
        <f>IF(D15="","",D15+F15)</f>
        <v/>
      </c>
      <c r="H15" s="15">
        <f>IF(A15="","",YEAR(A15))</f>
        <v/>
      </c>
      <c r="I15" s="15">
        <f>IF(A15="","",MONTH(A15))</f>
        <v/>
      </c>
    </row>
    <row r="16">
      <c r="A16" s="70" t="n"/>
      <c r="B16" s="9" t="n"/>
      <c r="C16" s="9" t="n"/>
      <c r="D16" s="71" t="n"/>
      <c r="E16" s="9" t="n"/>
      <c r="F16" s="30">
        <f>IF(D16="","",IF(E16="Sí",ROUND(D16*Configuracion!$B$11,0),0))</f>
        <v/>
      </c>
      <c r="G16" s="30">
        <f>IF(D16="","",D16+F16)</f>
        <v/>
      </c>
      <c r="H16" s="15">
        <f>IF(A16="","",YEAR(A16))</f>
        <v/>
      </c>
      <c r="I16" s="15">
        <f>IF(A16="","",MONTH(A16))</f>
        <v/>
      </c>
    </row>
    <row r="17">
      <c r="A17" s="70" t="n"/>
      <c r="B17" s="9" t="n"/>
      <c r="C17" s="9" t="n"/>
      <c r="D17" s="71" t="n"/>
      <c r="E17" s="9" t="n"/>
      <c r="F17" s="30">
        <f>IF(D17="","",IF(E17="Sí",ROUND(D17*Configuracion!$B$11,0),0))</f>
        <v/>
      </c>
      <c r="G17" s="30">
        <f>IF(D17="","",D17+F17)</f>
        <v/>
      </c>
      <c r="H17" s="15">
        <f>IF(A17="","",YEAR(A17))</f>
        <v/>
      </c>
      <c r="I17" s="15">
        <f>IF(A17="","",MONTH(A17))</f>
        <v/>
      </c>
    </row>
    <row r="18">
      <c r="A18" s="70" t="n"/>
      <c r="B18" s="9" t="n"/>
      <c r="C18" s="9" t="n"/>
      <c r="D18" s="71" t="n"/>
      <c r="E18" s="9" t="n"/>
      <c r="F18" s="30">
        <f>IF(D18="","",IF(E18="Sí",ROUND(D18*Configuracion!$B$11,0),0))</f>
        <v/>
      </c>
      <c r="G18" s="30">
        <f>IF(D18="","",D18+F18)</f>
        <v/>
      </c>
      <c r="H18" s="15">
        <f>IF(A18="","",YEAR(A18))</f>
        <v/>
      </c>
      <c r="I18" s="15">
        <f>IF(A18="","",MONTH(A18))</f>
        <v/>
      </c>
    </row>
    <row r="19">
      <c r="A19" s="70" t="n"/>
      <c r="B19" s="9" t="n"/>
      <c r="C19" s="9" t="n"/>
      <c r="D19" s="71" t="n"/>
      <c r="E19" s="9" t="n"/>
      <c r="F19" s="30">
        <f>IF(D19="","",IF(E19="Sí",ROUND(D19*Configuracion!$B$11,0),0))</f>
        <v/>
      </c>
      <c r="G19" s="30">
        <f>IF(D19="","",D19+F19)</f>
        <v/>
      </c>
      <c r="H19" s="15">
        <f>IF(A19="","",YEAR(A19))</f>
        <v/>
      </c>
      <c r="I19" s="15">
        <f>IF(A19="","",MONTH(A19))</f>
        <v/>
      </c>
    </row>
    <row r="20">
      <c r="A20" s="70" t="n"/>
      <c r="B20" s="9" t="n"/>
      <c r="C20" s="9" t="n"/>
      <c r="D20" s="71" t="n"/>
      <c r="E20" s="9" t="n"/>
      <c r="F20" s="30">
        <f>IF(D20="","",IF(E20="Sí",ROUND(D20*Configuracion!$B$11,0),0))</f>
        <v/>
      </c>
      <c r="G20" s="30">
        <f>IF(D20="","",D20+F20)</f>
        <v/>
      </c>
      <c r="H20" s="15">
        <f>IF(A20="","",YEAR(A20))</f>
        <v/>
      </c>
      <c r="I20" s="15">
        <f>IF(A20="","",MONTH(A20))</f>
        <v/>
      </c>
    </row>
    <row r="21">
      <c r="A21" s="70" t="n"/>
      <c r="B21" s="9" t="n"/>
      <c r="C21" s="9" t="n"/>
      <c r="D21" s="71" t="n"/>
      <c r="E21" s="9" t="n"/>
      <c r="F21" s="30">
        <f>IF(D21="","",IF(E21="Sí",ROUND(D21*Configuracion!$B$11,0),0))</f>
        <v/>
      </c>
      <c r="G21" s="30">
        <f>IF(D21="","",D21+F21)</f>
        <v/>
      </c>
      <c r="H21" s="15">
        <f>IF(A21="","",YEAR(A21))</f>
        <v/>
      </c>
      <c r="I21" s="15">
        <f>IF(A21="","",MONTH(A21))</f>
        <v/>
      </c>
    </row>
    <row r="22">
      <c r="A22" s="70" t="n"/>
      <c r="B22" s="9" t="n"/>
      <c r="C22" s="9" t="n"/>
      <c r="D22" s="71" t="n"/>
      <c r="E22" s="9" t="n"/>
      <c r="F22" s="30">
        <f>IF(D22="","",IF(E22="Sí",ROUND(D22*Configuracion!$B$11,0),0))</f>
        <v/>
      </c>
      <c r="G22" s="30">
        <f>IF(D22="","",D22+F22)</f>
        <v/>
      </c>
      <c r="H22" s="15">
        <f>IF(A22="","",YEAR(A22))</f>
        <v/>
      </c>
      <c r="I22" s="15">
        <f>IF(A22="","",MONTH(A22))</f>
        <v/>
      </c>
    </row>
    <row r="23">
      <c r="A23" s="70" t="n"/>
      <c r="B23" s="9" t="n"/>
      <c r="C23" s="9" t="n"/>
      <c r="D23" s="71" t="n"/>
      <c r="E23" s="9" t="n"/>
      <c r="F23" s="30">
        <f>IF(D23="","",IF(E23="Sí",ROUND(D23*Configuracion!$B$11,0),0))</f>
        <v/>
      </c>
      <c r="G23" s="30">
        <f>IF(D23="","",D23+F23)</f>
        <v/>
      </c>
      <c r="H23" s="15">
        <f>IF(A23="","",YEAR(A23))</f>
        <v/>
      </c>
      <c r="I23" s="15">
        <f>IF(A23="","",MONTH(A23))</f>
        <v/>
      </c>
    </row>
    <row r="24">
      <c r="A24" s="70" t="n"/>
      <c r="B24" s="9" t="n"/>
      <c r="C24" s="9" t="n"/>
      <c r="D24" s="71" t="n"/>
      <c r="E24" s="9" t="n"/>
      <c r="F24" s="30">
        <f>IF(D24="","",IF(E24="Sí",ROUND(D24*Configuracion!$B$11,0),0))</f>
        <v/>
      </c>
      <c r="G24" s="30">
        <f>IF(D24="","",D24+F24)</f>
        <v/>
      </c>
      <c r="H24" s="15">
        <f>IF(A24="","",YEAR(A24))</f>
        <v/>
      </c>
      <c r="I24" s="15">
        <f>IF(A24="","",MONTH(A24))</f>
        <v/>
      </c>
    </row>
    <row r="25">
      <c r="A25" s="70" t="n"/>
      <c r="B25" s="9" t="n"/>
      <c r="C25" s="9" t="n"/>
      <c r="D25" s="71" t="n"/>
      <c r="E25" s="9" t="n"/>
      <c r="F25" s="30">
        <f>IF(D25="","",IF(E25="Sí",ROUND(D25*Configuracion!$B$11,0),0))</f>
        <v/>
      </c>
      <c r="G25" s="30">
        <f>IF(D25="","",D25+F25)</f>
        <v/>
      </c>
      <c r="H25" s="15">
        <f>IF(A25="","",YEAR(A25))</f>
        <v/>
      </c>
      <c r="I25" s="15">
        <f>IF(A25="","",MONTH(A25))</f>
        <v/>
      </c>
    </row>
    <row r="26">
      <c r="A26" s="70" t="n"/>
      <c r="B26" s="9" t="n"/>
      <c r="C26" s="9" t="n"/>
      <c r="D26" s="71" t="n"/>
      <c r="E26" s="9" t="n"/>
      <c r="F26" s="30">
        <f>IF(D26="","",IF(E26="Sí",ROUND(D26*Configuracion!$B$11,0),0))</f>
        <v/>
      </c>
      <c r="G26" s="30">
        <f>IF(D26="","",D26+F26)</f>
        <v/>
      </c>
      <c r="H26" s="15">
        <f>IF(A26="","",YEAR(A26))</f>
        <v/>
      </c>
      <c r="I26" s="15">
        <f>IF(A26="","",MONTH(A26))</f>
        <v/>
      </c>
    </row>
    <row r="27">
      <c r="A27" s="70" t="n"/>
      <c r="B27" s="9" t="n"/>
      <c r="C27" s="9" t="n"/>
      <c r="D27" s="71" t="n"/>
      <c r="E27" s="9" t="n"/>
      <c r="F27" s="30">
        <f>IF(D27="","",IF(E27="Sí",ROUND(D27*Configuracion!$B$11,0),0))</f>
        <v/>
      </c>
      <c r="G27" s="30">
        <f>IF(D27="","",D27+F27)</f>
        <v/>
      </c>
      <c r="H27" s="15">
        <f>IF(A27="","",YEAR(A27))</f>
        <v/>
      </c>
      <c r="I27" s="15">
        <f>IF(A27="","",MONTH(A27))</f>
        <v/>
      </c>
    </row>
    <row r="28">
      <c r="A28" s="70" t="n"/>
      <c r="B28" s="9" t="n"/>
      <c r="C28" s="9" t="n"/>
      <c r="D28" s="71" t="n"/>
      <c r="E28" s="9" t="n"/>
      <c r="F28" s="30">
        <f>IF(D28="","",IF(E28="Sí",ROUND(D28*Configuracion!$B$11,0),0))</f>
        <v/>
      </c>
      <c r="G28" s="30">
        <f>IF(D28="","",D28+F28)</f>
        <v/>
      </c>
      <c r="H28" s="15">
        <f>IF(A28="","",YEAR(A28))</f>
        <v/>
      </c>
      <c r="I28" s="15">
        <f>IF(A28="","",MONTH(A28))</f>
        <v/>
      </c>
    </row>
    <row r="29">
      <c r="A29" s="70" t="n"/>
      <c r="B29" s="9" t="n"/>
      <c r="C29" s="9" t="n"/>
      <c r="D29" s="71" t="n"/>
      <c r="E29" s="9" t="n"/>
      <c r="F29" s="30">
        <f>IF(D29="","",IF(E29="Sí",ROUND(D29*Configuracion!$B$11,0),0))</f>
        <v/>
      </c>
      <c r="G29" s="30">
        <f>IF(D29="","",D29+F29)</f>
        <v/>
      </c>
      <c r="H29" s="15">
        <f>IF(A29="","",YEAR(A29))</f>
        <v/>
      </c>
      <c r="I29" s="15">
        <f>IF(A29="","",MONTH(A29))</f>
        <v/>
      </c>
    </row>
    <row r="30">
      <c r="A30" s="70" t="n"/>
      <c r="B30" s="9" t="n"/>
      <c r="C30" s="9" t="n"/>
      <c r="D30" s="71" t="n"/>
      <c r="E30" s="9" t="n"/>
      <c r="F30" s="30">
        <f>IF(D30="","",IF(E30="Sí",ROUND(D30*Configuracion!$B$11,0),0))</f>
        <v/>
      </c>
      <c r="G30" s="30">
        <f>IF(D30="","",D30+F30)</f>
        <v/>
      </c>
      <c r="H30" s="15">
        <f>IF(A30="","",YEAR(A30))</f>
        <v/>
      </c>
      <c r="I30" s="15">
        <f>IF(A30="","",MONTH(A30))</f>
        <v/>
      </c>
    </row>
    <row r="31">
      <c r="A31" s="70" t="n"/>
      <c r="B31" s="9" t="n"/>
      <c r="C31" s="9" t="n"/>
      <c r="D31" s="71" t="n"/>
      <c r="E31" s="9" t="n"/>
      <c r="F31" s="30">
        <f>IF(D31="","",IF(E31="Sí",ROUND(D31*Configuracion!$B$11,0),0))</f>
        <v/>
      </c>
      <c r="G31" s="30">
        <f>IF(D31="","",D31+F31)</f>
        <v/>
      </c>
      <c r="H31" s="15">
        <f>IF(A31="","",YEAR(A31))</f>
        <v/>
      </c>
      <c r="I31" s="15">
        <f>IF(A31="","",MONTH(A31))</f>
        <v/>
      </c>
    </row>
    <row r="32">
      <c r="A32" s="70" t="n"/>
      <c r="B32" s="9" t="n"/>
      <c r="C32" s="9" t="n"/>
      <c r="D32" s="71" t="n"/>
      <c r="E32" s="9" t="n"/>
      <c r="F32" s="30">
        <f>IF(D32="","",IF(E32="Sí",ROUND(D32*Configuracion!$B$11,0),0))</f>
        <v/>
      </c>
      <c r="G32" s="30">
        <f>IF(D32="","",D32+F32)</f>
        <v/>
      </c>
      <c r="H32" s="15">
        <f>IF(A32="","",YEAR(A32))</f>
        <v/>
      </c>
      <c r="I32" s="15">
        <f>IF(A32="","",MONTH(A32))</f>
        <v/>
      </c>
    </row>
    <row r="33">
      <c r="A33" s="70" t="n"/>
      <c r="B33" s="9" t="n"/>
      <c r="C33" s="9" t="n"/>
      <c r="D33" s="71" t="n"/>
      <c r="E33" s="9" t="n"/>
      <c r="F33" s="30">
        <f>IF(D33="","",IF(E33="Sí",ROUND(D33*Configuracion!$B$11,0),0))</f>
        <v/>
      </c>
      <c r="G33" s="30">
        <f>IF(D33="","",D33+F33)</f>
        <v/>
      </c>
      <c r="H33" s="15">
        <f>IF(A33="","",YEAR(A33))</f>
        <v/>
      </c>
      <c r="I33" s="15">
        <f>IF(A33="","",MONTH(A33))</f>
        <v/>
      </c>
    </row>
    <row r="34">
      <c r="A34" s="70" t="n"/>
      <c r="B34" s="9" t="n"/>
      <c r="C34" s="9" t="n"/>
      <c r="D34" s="71" t="n"/>
      <c r="E34" s="9" t="n"/>
      <c r="F34" s="30">
        <f>IF(D34="","",IF(E34="Sí",ROUND(D34*Configuracion!$B$11,0),0))</f>
        <v/>
      </c>
      <c r="G34" s="30">
        <f>IF(D34="","",D34+F34)</f>
        <v/>
      </c>
      <c r="H34" s="15">
        <f>IF(A34="","",YEAR(A34))</f>
        <v/>
      </c>
      <c r="I34" s="15">
        <f>IF(A34="","",MONTH(A34))</f>
        <v/>
      </c>
    </row>
    <row r="35">
      <c r="A35" s="70" t="n"/>
      <c r="B35" s="9" t="n"/>
      <c r="C35" s="9" t="n"/>
      <c r="D35" s="71" t="n"/>
      <c r="E35" s="9" t="n"/>
      <c r="F35" s="30">
        <f>IF(D35="","",IF(E35="Sí",ROUND(D35*Configuracion!$B$11,0),0))</f>
        <v/>
      </c>
      <c r="G35" s="30">
        <f>IF(D35="","",D35+F35)</f>
        <v/>
      </c>
      <c r="H35" s="15">
        <f>IF(A35="","",YEAR(A35))</f>
        <v/>
      </c>
      <c r="I35" s="15">
        <f>IF(A35="","",MONTH(A35))</f>
        <v/>
      </c>
    </row>
    <row r="36">
      <c r="A36" s="70" t="n"/>
      <c r="B36" s="9" t="n"/>
      <c r="C36" s="9" t="n"/>
      <c r="D36" s="71" t="n"/>
      <c r="E36" s="9" t="n"/>
      <c r="F36" s="30">
        <f>IF(D36="","",IF(E36="Sí",ROUND(D36*Configuracion!$B$11,0),0))</f>
        <v/>
      </c>
      <c r="G36" s="30">
        <f>IF(D36="","",D36+F36)</f>
        <v/>
      </c>
      <c r="H36" s="15">
        <f>IF(A36="","",YEAR(A36))</f>
        <v/>
      </c>
      <c r="I36" s="15">
        <f>IF(A36="","",MONTH(A36))</f>
        <v/>
      </c>
    </row>
    <row r="37">
      <c r="A37" s="70" t="n"/>
      <c r="B37" s="9" t="n"/>
      <c r="C37" s="9" t="n"/>
      <c r="D37" s="71" t="n"/>
      <c r="E37" s="9" t="n"/>
      <c r="F37" s="30">
        <f>IF(D37="","",IF(E37="Sí",ROUND(D37*Configuracion!$B$11,0),0))</f>
        <v/>
      </c>
      <c r="G37" s="30">
        <f>IF(D37="","",D37+F37)</f>
        <v/>
      </c>
      <c r="H37" s="15">
        <f>IF(A37="","",YEAR(A37))</f>
        <v/>
      </c>
      <c r="I37" s="15">
        <f>IF(A37="","",MONTH(A37))</f>
        <v/>
      </c>
    </row>
    <row r="38">
      <c r="A38" s="70" t="n"/>
      <c r="B38" s="9" t="n"/>
      <c r="C38" s="9" t="n"/>
      <c r="D38" s="71" t="n"/>
      <c r="E38" s="9" t="n"/>
      <c r="F38" s="30">
        <f>IF(D38="","",IF(E38="Sí",ROUND(D38*Configuracion!$B$11,0),0))</f>
        <v/>
      </c>
      <c r="G38" s="30">
        <f>IF(D38="","",D38+F38)</f>
        <v/>
      </c>
      <c r="H38" s="15">
        <f>IF(A38="","",YEAR(A38))</f>
        <v/>
      </c>
      <c r="I38" s="15">
        <f>IF(A38="","",MONTH(A38))</f>
        <v/>
      </c>
    </row>
    <row r="39">
      <c r="A39" s="70" t="n"/>
      <c r="B39" s="9" t="n"/>
      <c r="C39" s="9" t="n"/>
      <c r="D39" s="71" t="n"/>
      <c r="E39" s="9" t="n"/>
      <c r="F39" s="30">
        <f>IF(D39="","",IF(E39="Sí",ROUND(D39*Configuracion!$B$11,0),0))</f>
        <v/>
      </c>
      <c r="G39" s="30">
        <f>IF(D39="","",D39+F39)</f>
        <v/>
      </c>
      <c r="H39" s="15">
        <f>IF(A39="","",YEAR(A39))</f>
        <v/>
      </c>
      <c r="I39" s="15">
        <f>IF(A39="","",MONTH(A39))</f>
        <v/>
      </c>
    </row>
    <row r="40">
      <c r="A40" s="70" t="n"/>
      <c r="B40" s="9" t="n"/>
      <c r="C40" s="9" t="n"/>
      <c r="D40" s="71" t="n"/>
      <c r="E40" s="9" t="n"/>
      <c r="F40" s="30">
        <f>IF(D40="","",IF(E40="Sí",ROUND(D40*Configuracion!$B$11,0),0))</f>
        <v/>
      </c>
      <c r="G40" s="30">
        <f>IF(D40="","",D40+F40)</f>
        <v/>
      </c>
      <c r="H40" s="15">
        <f>IF(A40="","",YEAR(A40))</f>
        <v/>
      </c>
      <c r="I40" s="15">
        <f>IF(A40="","",MONTH(A40))</f>
        <v/>
      </c>
    </row>
    <row r="41">
      <c r="A41" s="70" t="n"/>
      <c r="B41" s="9" t="n"/>
      <c r="C41" s="9" t="n"/>
      <c r="D41" s="71" t="n"/>
      <c r="E41" s="9" t="n"/>
      <c r="F41" s="30">
        <f>IF(D41="","",IF(E41="Sí",ROUND(D41*Configuracion!$B$11,0),0))</f>
        <v/>
      </c>
      <c r="G41" s="30">
        <f>IF(D41="","",D41+F41)</f>
        <v/>
      </c>
      <c r="H41" s="15">
        <f>IF(A41="","",YEAR(A41))</f>
        <v/>
      </c>
      <c r="I41" s="15">
        <f>IF(A41="","",MONTH(A41))</f>
        <v/>
      </c>
    </row>
    <row r="42">
      <c r="A42" s="70" t="n"/>
      <c r="B42" s="9" t="n"/>
      <c r="C42" s="9" t="n"/>
      <c r="D42" s="71" t="n"/>
      <c r="E42" s="9" t="n"/>
      <c r="F42" s="30">
        <f>IF(D42="","",IF(E42="Sí",ROUND(D42*Configuracion!$B$11,0),0))</f>
        <v/>
      </c>
      <c r="G42" s="30">
        <f>IF(D42="","",D42+F42)</f>
        <v/>
      </c>
      <c r="H42" s="15">
        <f>IF(A42="","",YEAR(A42))</f>
        <v/>
      </c>
      <c r="I42" s="15">
        <f>IF(A42="","",MONTH(A42))</f>
        <v/>
      </c>
    </row>
    <row r="43">
      <c r="A43" s="70" t="n"/>
      <c r="B43" s="9" t="n"/>
      <c r="C43" s="9" t="n"/>
      <c r="D43" s="71" t="n"/>
      <c r="E43" s="9" t="n"/>
      <c r="F43" s="30">
        <f>IF(D43="","",IF(E43="Sí",ROUND(D43*Configuracion!$B$11,0),0))</f>
        <v/>
      </c>
      <c r="G43" s="30">
        <f>IF(D43="","",D43+F43)</f>
        <v/>
      </c>
      <c r="H43" s="15">
        <f>IF(A43="","",YEAR(A43))</f>
        <v/>
      </c>
      <c r="I43" s="15">
        <f>IF(A43="","",MONTH(A43))</f>
        <v/>
      </c>
    </row>
    <row r="44">
      <c r="A44" s="70" t="n"/>
      <c r="B44" s="9" t="n"/>
      <c r="C44" s="9" t="n"/>
      <c r="D44" s="71" t="n"/>
      <c r="E44" s="9" t="n"/>
      <c r="F44" s="30">
        <f>IF(D44="","",IF(E44="Sí",ROUND(D44*Configuracion!$B$11,0),0))</f>
        <v/>
      </c>
      <c r="G44" s="30">
        <f>IF(D44="","",D44+F44)</f>
        <v/>
      </c>
      <c r="H44" s="15">
        <f>IF(A44="","",YEAR(A44))</f>
        <v/>
      </c>
      <c r="I44" s="15">
        <f>IF(A44="","",MONTH(A44))</f>
        <v/>
      </c>
    </row>
    <row r="45">
      <c r="A45" s="70" t="n"/>
      <c r="B45" s="9" t="n"/>
      <c r="C45" s="9" t="n"/>
      <c r="D45" s="71" t="n"/>
      <c r="E45" s="9" t="n"/>
      <c r="F45" s="30">
        <f>IF(D45="","",IF(E45="Sí",ROUND(D45*Configuracion!$B$11,0),0))</f>
        <v/>
      </c>
      <c r="G45" s="30">
        <f>IF(D45="","",D45+F45)</f>
        <v/>
      </c>
      <c r="H45" s="15">
        <f>IF(A45="","",YEAR(A45))</f>
        <v/>
      </c>
      <c r="I45" s="15">
        <f>IF(A45="","",MONTH(A45))</f>
        <v/>
      </c>
    </row>
    <row r="46">
      <c r="A46" s="70" t="n"/>
      <c r="B46" s="9" t="n"/>
      <c r="C46" s="9" t="n"/>
      <c r="D46" s="71" t="n"/>
      <c r="E46" s="9" t="n"/>
      <c r="F46" s="30">
        <f>IF(D46="","",IF(E46="Sí",ROUND(D46*Configuracion!$B$11,0),0))</f>
        <v/>
      </c>
      <c r="G46" s="30">
        <f>IF(D46="","",D46+F46)</f>
        <v/>
      </c>
      <c r="H46" s="15">
        <f>IF(A46="","",YEAR(A46))</f>
        <v/>
      </c>
      <c r="I46" s="15">
        <f>IF(A46="","",MONTH(A46))</f>
        <v/>
      </c>
    </row>
    <row r="47">
      <c r="A47" s="70" t="n"/>
      <c r="B47" s="9" t="n"/>
      <c r="C47" s="9" t="n"/>
      <c r="D47" s="71" t="n"/>
      <c r="E47" s="9" t="n"/>
      <c r="F47" s="30">
        <f>IF(D47="","",IF(E47="Sí",ROUND(D47*Configuracion!$B$11,0),0))</f>
        <v/>
      </c>
      <c r="G47" s="30">
        <f>IF(D47="","",D47+F47)</f>
        <v/>
      </c>
      <c r="H47" s="15">
        <f>IF(A47="","",YEAR(A47))</f>
        <v/>
      </c>
      <c r="I47" s="15">
        <f>IF(A47="","",MONTH(A47))</f>
        <v/>
      </c>
    </row>
    <row r="48">
      <c r="A48" s="70" t="n"/>
      <c r="B48" s="9" t="n"/>
      <c r="C48" s="9" t="n"/>
      <c r="D48" s="71" t="n"/>
      <c r="E48" s="9" t="n"/>
      <c r="F48" s="30">
        <f>IF(D48="","",IF(E48="Sí",ROUND(D48*Configuracion!$B$11,0),0))</f>
        <v/>
      </c>
      <c r="G48" s="30">
        <f>IF(D48="","",D48+F48)</f>
        <v/>
      </c>
      <c r="H48" s="15">
        <f>IF(A48="","",YEAR(A48))</f>
        <v/>
      </c>
      <c r="I48" s="15">
        <f>IF(A48="","",MONTH(A48))</f>
        <v/>
      </c>
    </row>
    <row r="49">
      <c r="A49" s="70" t="n"/>
      <c r="B49" s="9" t="n"/>
      <c r="C49" s="9" t="n"/>
      <c r="D49" s="71" t="n"/>
      <c r="E49" s="9" t="n"/>
      <c r="F49" s="30">
        <f>IF(D49="","",IF(E49="Sí",ROUND(D49*Configuracion!$B$11,0),0))</f>
        <v/>
      </c>
      <c r="G49" s="30">
        <f>IF(D49="","",D49+F49)</f>
        <v/>
      </c>
      <c r="H49" s="15">
        <f>IF(A49="","",YEAR(A49))</f>
        <v/>
      </c>
      <c r="I49" s="15">
        <f>IF(A49="","",MONTH(A49))</f>
        <v/>
      </c>
    </row>
    <row r="50">
      <c r="A50" s="70" t="n"/>
      <c r="B50" s="9" t="n"/>
      <c r="C50" s="9" t="n"/>
      <c r="D50" s="71" t="n"/>
      <c r="E50" s="9" t="n"/>
      <c r="F50" s="30">
        <f>IF(D50="","",IF(E50="Sí",ROUND(D50*Configuracion!$B$11,0),0))</f>
        <v/>
      </c>
      <c r="G50" s="30">
        <f>IF(D50="","",D50+F50)</f>
        <v/>
      </c>
      <c r="H50" s="15">
        <f>IF(A50="","",YEAR(A50))</f>
        <v/>
      </c>
      <c r="I50" s="15">
        <f>IF(A50="","",MONTH(A50))</f>
        <v/>
      </c>
    </row>
    <row r="51">
      <c r="A51" s="70" t="n"/>
      <c r="B51" s="9" t="n"/>
      <c r="C51" s="9" t="n"/>
      <c r="D51" s="71" t="n"/>
      <c r="E51" s="9" t="n"/>
      <c r="F51" s="30">
        <f>IF(D51="","",IF(E51="Sí",ROUND(D51*Configuracion!$B$11,0),0))</f>
        <v/>
      </c>
      <c r="G51" s="30">
        <f>IF(D51="","",D51+F51)</f>
        <v/>
      </c>
      <c r="H51" s="15">
        <f>IF(A51="","",YEAR(A51))</f>
        <v/>
      </c>
      <c r="I51" s="15">
        <f>IF(A51="","",MONTH(A51))</f>
        <v/>
      </c>
    </row>
    <row r="52">
      <c r="A52" s="70" t="n"/>
      <c r="B52" s="9" t="n"/>
      <c r="C52" s="9" t="n"/>
      <c r="D52" s="71" t="n"/>
      <c r="E52" s="9" t="n"/>
      <c r="F52" s="30">
        <f>IF(D52="","",IF(E52="Sí",ROUND(D52*Configuracion!$B$11,0),0))</f>
        <v/>
      </c>
      <c r="G52" s="30">
        <f>IF(D52="","",D52+F52)</f>
        <v/>
      </c>
      <c r="H52" s="15">
        <f>IF(A52="","",YEAR(A52))</f>
        <v/>
      </c>
      <c r="I52" s="15">
        <f>IF(A52="","",MONTH(A52))</f>
        <v/>
      </c>
    </row>
    <row r="53">
      <c r="A53" s="70" t="n"/>
      <c r="B53" s="9" t="n"/>
      <c r="C53" s="9" t="n"/>
      <c r="D53" s="71" t="n"/>
      <c r="E53" s="9" t="n"/>
      <c r="F53" s="30">
        <f>IF(D53="","",IF(E53="Sí",ROUND(D53*Configuracion!$B$11,0),0))</f>
        <v/>
      </c>
      <c r="G53" s="30">
        <f>IF(D53="","",D53+F53)</f>
        <v/>
      </c>
      <c r="H53" s="15">
        <f>IF(A53="","",YEAR(A53))</f>
        <v/>
      </c>
      <c r="I53" s="15">
        <f>IF(A53="","",MONTH(A53))</f>
        <v/>
      </c>
    </row>
    <row r="54">
      <c r="A54" s="70" t="n"/>
      <c r="B54" s="9" t="n"/>
      <c r="C54" s="9" t="n"/>
      <c r="D54" s="71" t="n"/>
      <c r="E54" s="9" t="n"/>
      <c r="F54" s="30">
        <f>IF(D54="","",IF(E54="Sí",ROUND(D54*Configuracion!$B$11,0),0))</f>
        <v/>
      </c>
      <c r="G54" s="30">
        <f>IF(D54="","",D54+F54)</f>
        <v/>
      </c>
      <c r="H54" s="15">
        <f>IF(A54="","",YEAR(A54))</f>
        <v/>
      </c>
      <c r="I54" s="15">
        <f>IF(A54="","",MONTH(A54))</f>
        <v/>
      </c>
    </row>
    <row r="55">
      <c r="A55" s="70" t="n"/>
      <c r="B55" s="9" t="n"/>
      <c r="C55" s="9" t="n"/>
      <c r="D55" s="71" t="n"/>
      <c r="E55" s="9" t="n"/>
      <c r="F55" s="30">
        <f>IF(D55="","",IF(E55="Sí",ROUND(D55*Configuracion!$B$11,0),0))</f>
        <v/>
      </c>
      <c r="G55" s="30">
        <f>IF(D55="","",D55+F55)</f>
        <v/>
      </c>
      <c r="H55" s="15">
        <f>IF(A55="","",YEAR(A55))</f>
        <v/>
      </c>
      <c r="I55" s="15">
        <f>IF(A55="","",MONTH(A55))</f>
        <v/>
      </c>
    </row>
    <row r="56">
      <c r="A56" s="70" t="n"/>
      <c r="B56" s="9" t="n"/>
      <c r="C56" s="9" t="n"/>
      <c r="D56" s="71" t="n"/>
      <c r="E56" s="9" t="n"/>
      <c r="F56" s="30">
        <f>IF(D56="","",IF(E56="Sí",ROUND(D56*Configuracion!$B$11,0),0))</f>
        <v/>
      </c>
      <c r="G56" s="30">
        <f>IF(D56="","",D56+F56)</f>
        <v/>
      </c>
      <c r="H56" s="15">
        <f>IF(A56="","",YEAR(A56))</f>
        <v/>
      </c>
      <c r="I56" s="15">
        <f>IF(A56="","",MONTH(A56))</f>
        <v/>
      </c>
    </row>
    <row r="57">
      <c r="A57" s="70" t="n"/>
      <c r="B57" s="9" t="n"/>
      <c r="C57" s="9" t="n"/>
      <c r="D57" s="71" t="n"/>
      <c r="E57" s="9" t="n"/>
      <c r="F57" s="30">
        <f>IF(D57="","",IF(E57="Sí",ROUND(D57*Configuracion!$B$11,0),0))</f>
        <v/>
      </c>
      <c r="G57" s="30">
        <f>IF(D57="","",D57+F57)</f>
        <v/>
      </c>
      <c r="H57" s="15">
        <f>IF(A57="","",YEAR(A57))</f>
        <v/>
      </c>
      <c r="I57" s="15">
        <f>IF(A57="","",MONTH(A57))</f>
        <v/>
      </c>
    </row>
    <row r="58">
      <c r="A58" s="70" t="n"/>
      <c r="B58" s="9" t="n"/>
      <c r="C58" s="9" t="n"/>
      <c r="D58" s="71" t="n"/>
      <c r="E58" s="9" t="n"/>
      <c r="F58" s="30">
        <f>IF(D58="","",IF(E58="Sí",ROUND(D58*Configuracion!$B$11,0),0))</f>
        <v/>
      </c>
      <c r="G58" s="30">
        <f>IF(D58="","",D58+F58)</f>
        <v/>
      </c>
      <c r="H58" s="15">
        <f>IF(A58="","",YEAR(A58))</f>
        <v/>
      </c>
      <c r="I58" s="15">
        <f>IF(A58="","",MONTH(A58))</f>
        <v/>
      </c>
    </row>
    <row r="59">
      <c r="A59" s="70" t="n"/>
      <c r="B59" s="9" t="n"/>
      <c r="C59" s="9" t="n"/>
      <c r="D59" s="71" t="n"/>
      <c r="E59" s="9" t="n"/>
      <c r="F59" s="30">
        <f>IF(D59="","",IF(E59="Sí",ROUND(D59*Configuracion!$B$11,0),0))</f>
        <v/>
      </c>
      <c r="G59" s="30">
        <f>IF(D59="","",D59+F59)</f>
        <v/>
      </c>
      <c r="H59" s="15">
        <f>IF(A59="","",YEAR(A59))</f>
        <v/>
      </c>
      <c r="I59" s="15">
        <f>IF(A59="","",MONTH(A59))</f>
        <v/>
      </c>
    </row>
    <row r="60">
      <c r="A60" s="70" t="n"/>
      <c r="B60" s="9" t="n"/>
      <c r="C60" s="9" t="n"/>
      <c r="D60" s="71" t="n"/>
      <c r="E60" s="9" t="n"/>
      <c r="F60" s="30">
        <f>IF(D60="","",IF(E60="Sí",ROUND(D60*Configuracion!$B$11,0),0))</f>
        <v/>
      </c>
      <c r="G60" s="30">
        <f>IF(D60="","",D60+F60)</f>
        <v/>
      </c>
      <c r="H60" s="15">
        <f>IF(A60="","",YEAR(A60))</f>
        <v/>
      </c>
      <c r="I60" s="15">
        <f>IF(A60="","",MONTH(A60))</f>
        <v/>
      </c>
    </row>
    <row r="61">
      <c r="A61" s="70" t="n"/>
      <c r="B61" s="9" t="n"/>
      <c r="C61" s="9" t="n"/>
      <c r="D61" s="71" t="n"/>
      <c r="E61" s="9" t="n"/>
      <c r="F61" s="30">
        <f>IF(D61="","",IF(E61="Sí",ROUND(D61*Configuracion!$B$11,0),0))</f>
        <v/>
      </c>
      <c r="G61" s="30">
        <f>IF(D61="","",D61+F61)</f>
        <v/>
      </c>
      <c r="H61" s="15">
        <f>IF(A61="","",YEAR(A61))</f>
        <v/>
      </c>
      <c r="I61" s="15">
        <f>IF(A61="","",MONTH(A61))</f>
        <v/>
      </c>
    </row>
    <row r="62">
      <c r="A62" s="70" t="n"/>
      <c r="B62" s="9" t="n"/>
      <c r="C62" s="9" t="n"/>
      <c r="D62" s="71" t="n"/>
      <c r="E62" s="9" t="n"/>
      <c r="F62" s="30">
        <f>IF(D62="","",IF(E62="Sí",ROUND(D62*Configuracion!$B$11,0),0))</f>
        <v/>
      </c>
      <c r="G62" s="30">
        <f>IF(D62="","",D62+F62)</f>
        <v/>
      </c>
      <c r="H62" s="15">
        <f>IF(A62="","",YEAR(A62))</f>
        <v/>
      </c>
      <c r="I62" s="15">
        <f>IF(A62="","",MONTH(A62))</f>
        <v/>
      </c>
    </row>
    <row r="63">
      <c r="A63" s="70" t="n"/>
      <c r="B63" s="9" t="n"/>
      <c r="C63" s="9" t="n"/>
      <c r="D63" s="71" t="n"/>
      <c r="E63" s="9" t="n"/>
      <c r="F63" s="30">
        <f>IF(D63="","",IF(E63="Sí",ROUND(D63*Configuracion!$B$11,0),0))</f>
        <v/>
      </c>
      <c r="G63" s="30">
        <f>IF(D63="","",D63+F63)</f>
        <v/>
      </c>
      <c r="H63" s="15">
        <f>IF(A63="","",YEAR(A63))</f>
        <v/>
      </c>
      <c r="I63" s="15">
        <f>IF(A63="","",MONTH(A63))</f>
        <v/>
      </c>
    </row>
    <row r="64">
      <c r="A64" s="70" t="n"/>
      <c r="B64" s="9" t="n"/>
      <c r="C64" s="9" t="n"/>
      <c r="D64" s="71" t="n"/>
      <c r="E64" s="9" t="n"/>
      <c r="F64" s="30">
        <f>IF(D64="","",IF(E64="Sí",ROUND(D64*Configuracion!$B$11,0),0))</f>
        <v/>
      </c>
      <c r="G64" s="30">
        <f>IF(D64="","",D64+F64)</f>
        <v/>
      </c>
      <c r="H64" s="15">
        <f>IF(A64="","",YEAR(A64))</f>
        <v/>
      </c>
      <c r="I64" s="15">
        <f>IF(A64="","",MONTH(A64))</f>
        <v/>
      </c>
    </row>
    <row r="65">
      <c r="A65" s="70" t="n"/>
      <c r="B65" s="9" t="n"/>
      <c r="C65" s="9" t="n"/>
      <c r="D65" s="71" t="n"/>
      <c r="E65" s="9" t="n"/>
      <c r="F65" s="30">
        <f>IF(D65="","",IF(E65="Sí",ROUND(D65*Configuracion!$B$11,0),0))</f>
        <v/>
      </c>
      <c r="G65" s="30">
        <f>IF(D65="","",D65+F65)</f>
        <v/>
      </c>
      <c r="H65" s="15">
        <f>IF(A65="","",YEAR(A65))</f>
        <v/>
      </c>
      <c r="I65" s="15">
        <f>IF(A65="","",MONTH(A65))</f>
        <v/>
      </c>
    </row>
    <row r="66">
      <c r="A66" s="70" t="n"/>
      <c r="B66" s="9" t="n"/>
      <c r="C66" s="9" t="n"/>
      <c r="D66" s="71" t="n"/>
      <c r="E66" s="9" t="n"/>
      <c r="F66" s="30">
        <f>IF(D66="","",IF(E66="Sí",ROUND(D66*Configuracion!$B$11,0),0))</f>
        <v/>
      </c>
      <c r="G66" s="30">
        <f>IF(D66="","",D66+F66)</f>
        <v/>
      </c>
      <c r="H66" s="15">
        <f>IF(A66="","",YEAR(A66))</f>
        <v/>
      </c>
      <c r="I66" s="15">
        <f>IF(A66="","",MONTH(A66))</f>
        <v/>
      </c>
    </row>
    <row r="67">
      <c r="A67" s="70" t="n"/>
      <c r="B67" s="9" t="n"/>
      <c r="C67" s="9" t="n"/>
      <c r="D67" s="71" t="n"/>
      <c r="E67" s="9" t="n"/>
      <c r="F67" s="30">
        <f>IF(D67="","",IF(E67="Sí",ROUND(D67*Configuracion!$B$11,0),0))</f>
        <v/>
      </c>
      <c r="G67" s="30">
        <f>IF(D67="","",D67+F67)</f>
        <v/>
      </c>
      <c r="H67" s="15">
        <f>IF(A67="","",YEAR(A67))</f>
        <v/>
      </c>
      <c r="I67" s="15">
        <f>IF(A67="","",MONTH(A67))</f>
        <v/>
      </c>
    </row>
    <row r="68">
      <c r="A68" s="70" t="n"/>
      <c r="B68" s="9" t="n"/>
      <c r="C68" s="9" t="n"/>
      <c r="D68" s="71" t="n"/>
      <c r="E68" s="9" t="n"/>
      <c r="F68" s="30">
        <f>IF(D68="","",IF(E68="Sí",ROUND(D68*Configuracion!$B$11,0),0))</f>
        <v/>
      </c>
      <c r="G68" s="30">
        <f>IF(D68="","",D68+F68)</f>
        <v/>
      </c>
      <c r="H68" s="15">
        <f>IF(A68="","",YEAR(A68))</f>
        <v/>
      </c>
      <c r="I68" s="15">
        <f>IF(A68="","",MONTH(A68))</f>
        <v/>
      </c>
    </row>
    <row r="69">
      <c r="A69" s="70" t="n"/>
      <c r="B69" s="9" t="n"/>
      <c r="C69" s="9" t="n"/>
      <c r="D69" s="71" t="n"/>
      <c r="E69" s="9" t="n"/>
      <c r="F69" s="30">
        <f>IF(D69="","",IF(E69="Sí",ROUND(D69*Configuracion!$B$11,0),0))</f>
        <v/>
      </c>
      <c r="G69" s="30">
        <f>IF(D69="","",D69+F69)</f>
        <v/>
      </c>
      <c r="H69" s="15">
        <f>IF(A69="","",YEAR(A69))</f>
        <v/>
      </c>
      <c r="I69" s="15">
        <f>IF(A69="","",MONTH(A69))</f>
        <v/>
      </c>
    </row>
    <row r="70">
      <c r="A70" s="70" t="n"/>
      <c r="B70" s="9" t="n"/>
      <c r="C70" s="9" t="n"/>
      <c r="D70" s="71" t="n"/>
      <c r="E70" s="9" t="n"/>
      <c r="F70" s="30">
        <f>IF(D70="","",IF(E70="Sí",ROUND(D70*Configuracion!$B$11,0),0))</f>
        <v/>
      </c>
      <c r="G70" s="30">
        <f>IF(D70="","",D70+F70)</f>
        <v/>
      </c>
      <c r="H70" s="15">
        <f>IF(A70="","",YEAR(A70))</f>
        <v/>
      </c>
      <c r="I70" s="15">
        <f>IF(A70="","",MONTH(A70))</f>
        <v/>
      </c>
    </row>
    <row r="71">
      <c r="A71" s="70" t="n"/>
      <c r="B71" s="9" t="n"/>
      <c r="C71" s="9" t="n"/>
      <c r="D71" s="71" t="n"/>
      <c r="E71" s="9" t="n"/>
      <c r="F71" s="30">
        <f>IF(D71="","",IF(E71="Sí",ROUND(D71*Configuracion!$B$11,0),0))</f>
        <v/>
      </c>
      <c r="G71" s="30">
        <f>IF(D71="","",D71+F71)</f>
        <v/>
      </c>
      <c r="H71" s="15">
        <f>IF(A71="","",YEAR(A71))</f>
        <v/>
      </c>
      <c r="I71" s="15">
        <f>IF(A71="","",MONTH(A71))</f>
        <v/>
      </c>
    </row>
    <row r="72">
      <c r="A72" s="70" t="n"/>
      <c r="B72" s="9" t="n"/>
      <c r="C72" s="9" t="n"/>
      <c r="D72" s="71" t="n"/>
      <c r="E72" s="9" t="n"/>
      <c r="F72" s="30">
        <f>IF(D72="","",IF(E72="Sí",ROUND(D72*Configuracion!$B$11,0),0))</f>
        <v/>
      </c>
      <c r="G72" s="30">
        <f>IF(D72="","",D72+F72)</f>
        <v/>
      </c>
      <c r="H72" s="15">
        <f>IF(A72="","",YEAR(A72))</f>
        <v/>
      </c>
      <c r="I72" s="15">
        <f>IF(A72="","",MONTH(A72))</f>
        <v/>
      </c>
    </row>
    <row r="73">
      <c r="A73" s="70" t="n"/>
      <c r="B73" s="9" t="n"/>
      <c r="C73" s="9" t="n"/>
      <c r="D73" s="71" t="n"/>
      <c r="E73" s="9" t="n"/>
      <c r="F73" s="30">
        <f>IF(D73="","",IF(E73="Sí",ROUND(D73*Configuracion!$B$11,0),0))</f>
        <v/>
      </c>
      <c r="G73" s="30">
        <f>IF(D73="","",D73+F73)</f>
        <v/>
      </c>
      <c r="H73" s="15">
        <f>IF(A73="","",YEAR(A73))</f>
        <v/>
      </c>
      <c r="I73" s="15">
        <f>IF(A73="","",MONTH(A73))</f>
        <v/>
      </c>
    </row>
    <row r="74">
      <c r="A74" s="70" t="n"/>
      <c r="B74" s="9" t="n"/>
      <c r="C74" s="9" t="n"/>
      <c r="D74" s="71" t="n"/>
      <c r="E74" s="9" t="n"/>
      <c r="F74" s="30">
        <f>IF(D74="","",IF(E74="Sí",ROUND(D74*Configuracion!$B$11,0),0))</f>
        <v/>
      </c>
      <c r="G74" s="30">
        <f>IF(D74="","",D74+F74)</f>
        <v/>
      </c>
      <c r="H74" s="15">
        <f>IF(A74="","",YEAR(A74))</f>
        <v/>
      </c>
      <c r="I74" s="15">
        <f>IF(A74="","",MONTH(A74))</f>
        <v/>
      </c>
    </row>
    <row r="75">
      <c r="A75" s="70" t="n"/>
      <c r="B75" s="9" t="n"/>
      <c r="C75" s="9" t="n"/>
      <c r="D75" s="71" t="n"/>
      <c r="E75" s="9" t="n"/>
      <c r="F75" s="30">
        <f>IF(D75="","",IF(E75="Sí",ROUND(D75*Configuracion!$B$11,0),0))</f>
        <v/>
      </c>
      <c r="G75" s="30">
        <f>IF(D75="","",D75+F75)</f>
        <v/>
      </c>
      <c r="H75" s="15">
        <f>IF(A75="","",YEAR(A75))</f>
        <v/>
      </c>
      <c r="I75" s="15">
        <f>IF(A75="","",MONTH(A75))</f>
        <v/>
      </c>
    </row>
    <row r="76">
      <c r="A76" s="70" t="n"/>
      <c r="B76" s="9" t="n"/>
      <c r="C76" s="9" t="n"/>
      <c r="D76" s="71" t="n"/>
      <c r="E76" s="9" t="n"/>
      <c r="F76" s="30">
        <f>IF(D76="","",IF(E76="Sí",ROUND(D76*Configuracion!$B$11,0),0))</f>
        <v/>
      </c>
      <c r="G76" s="30">
        <f>IF(D76="","",D76+F76)</f>
        <v/>
      </c>
      <c r="H76" s="15">
        <f>IF(A76="","",YEAR(A76))</f>
        <v/>
      </c>
      <c r="I76" s="15">
        <f>IF(A76="","",MONTH(A76))</f>
        <v/>
      </c>
    </row>
    <row r="77">
      <c r="A77" s="70" t="n"/>
      <c r="B77" s="9" t="n"/>
      <c r="C77" s="9" t="n"/>
      <c r="D77" s="71" t="n"/>
      <c r="E77" s="9" t="n"/>
      <c r="F77" s="30">
        <f>IF(D77="","",IF(E77="Sí",ROUND(D77*Configuracion!$B$11,0),0))</f>
        <v/>
      </c>
      <c r="G77" s="30">
        <f>IF(D77="","",D77+F77)</f>
        <v/>
      </c>
      <c r="H77" s="15">
        <f>IF(A77="","",YEAR(A77))</f>
        <v/>
      </c>
      <c r="I77" s="15">
        <f>IF(A77="","",MONTH(A77))</f>
        <v/>
      </c>
    </row>
    <row r="78">
      <c r="A78" s="70" t="n"/>
      <c r="B78" s="9" t="n"/>
      <c r="C78" s="9" t="n"/>
      <c r="D78" s="71" t="n"/>
      <c r="E78" s="9" t="n"/>
      <c r="F78" s="30">
        <f>IF(D78="","",IF(E78="Sí",ROUND(D78*Configuracion!$B$11,0),0))</f>
        <v/>
      </c>
      <c r="G78" s="30">
        <f>IF(D78="","",D78+F78)</f>
        <v/>
      </c>
      <c r="H78" s="15">
        <f>IF(A78="","",YEAR(A78))</f>
        <v/>
      </c>
      <c r="I78" s="15">
        <f>IF(A78="","",MONTH(A78))</f>
        <v/>
      </c>
    </row>
    <row r="79">
      <c r="A79" s="70" t="n"/>
      <c r="B79" s="9" t="n"/>
      <c r="C79" s="9" t="n"/>
      <c r="D79" s="71" t="n"/>
      <c r="E79" s="9" t="n"/>
      <c r="F79" s="30">
        <f>IF(D79="","",IF(E79="Sí",ROUND(D79*Configuracion!$B$11,0),0))</f>
        <v/>
      </c>
      <c r="G79" s="30">
        <f>IF(D79="","",D79+F79)</f>
        <v/>
      </c>
      <c r="H79" s="15">
        <f>IF(A79="","",YEAR(A79))</f>
        <v/>
      </c>
      <c r="I79" s="15">
        <f>IF(A79="","",MONTH(A79))</f>
        <v/>
      </c>
    </row>
    <row r="80">
      <c r="A80" s="70" t="n"/>
      <c r="B80" s="9" t="n"/>
      <c r="C80" s="9" t="n"/>
      <c r="D80" s="71" t="n"/>
      <c r="E80" s="9" t="n"/>
      <c r="F80" s="30">
        <f>IF(D80="","",IF(E80="Sí",ROUND(D80*Configuracion!$B$11,0),0))</f>
        <v/>
      </c>
      <c r="G80" s="30">
        <f>IF(D80="","",D80+F80)</f>
        <v/>
      </c>
      <c r="H80" s="15">
        <f>IF(A80="","",YEAR(A80))</f>
        <v/>
      </c>
      <c r="I80" s="15">
        <f>IF(A80="","",MONTH(A80))</f>
        <v/>
      </c>
    </row>
    <row r="81">
      <c r="A81" s="70" t="n"/>
      <c r="B81" s="9" t="n"/>
      <c r="C81" s="9" t="n"/>
      <c r="D81" s="71" t="n"/>
      <c r="E81" s="9" t="n"/>
      <c r="F81" s="30">
        <f>IF(D81="","",IF(E81="Sí",ROUND(D81*Configuracion!$B$11,0),0))</f>
        <v/>
      </c>
      <c r="G81" s="30">
        <f>IF(D81="","",D81+F81)</f>
        <v/>
      </c>
      <c r="H81" s="15">
        <f>IF(A81="","",YEAR(A81))</f>
        <v/>
      </c>
      <c r="I81" s="15">
        <f>IF(A81="","",MONTH(A81))</f>
        <v/>
      </c>
    </row>
    <row r="82">
      <c r="A82" s="70" t="n"/>
      <c r="B82" s="9" t="n"/>
      <c r="C82" s="9" t="n"/>
      <c r="D82" s="71" t="n"/>
      <c r="E82" s="9" t="n"/>
      <c r="F82" s="30">
        <f>IF(D82="","",IF(E82="Sí",ROUND(D82*Configuracion!$B$11,0),0))</f>
        <v/>
      </c>
      <c r="G82" s="30">
        <f>IF(D82="","",D82+F82)</f>
        <v/>
      </c>
      <c r="H82" s="15">
        <f>IF(A82="","",YEAR(A82))</f>
        <v/>
      </c>
      <c r="I82" s="15">
        <f>IF(A82="","",MONTH(A82))</f>
        <v/>
      </c>
    </row>
    <row r="83">
      <c r="A83" s="70" t="n"/>
      <c r="B83" s="9" t="n"/>
      <c r="C83" s="9" t="n"/>
      <c r="D83" s="71" t="n"/>
      <c r="E83" s="9" t="n"/>
      <c r="F83" s="30">
        <f>IF(D83="","",IF(E83="Sí",ROUND(D83*Configuracion!$B$11,0),0))</f>
        <v/>
      </c>
      <c r="G83" s="30">
        <f>IF(D83="","",D83+F83)</f>
        <v/>
      </c>
      <c r="H83" s="15">
        <f>IF(A83="","",YEAR(A83))</f>
        <v/>
      </c>
      <c r="I83" s="15">
        <f>IF(A83="","",MONTH(A83))</f>
        <v/>
      </c>
    </row>
    <row r="84">
      <c r="A84" s="70" t="n"/>
      <c r="B84" s="9" t="n"/>
      <c r="C84" s="9" t="n"/>
      <c r="D84" s="71" t="n"/>
      <c r="E84" s="9" t="n"/>
      <c r="F84" s="30">
        <f>IF(D84="","",IF(E84="Sí",ROUND(D84*Configuracion!$B$11,0),0))</f>
        <v/>
      </c>
      <c r="G84" s="30">
        <f>IF(D84="","",D84+F84)</f>
        <v/>
      </c>
      <c r="H84" s="15">
        <f>IF(A84="","",YEAR(A84))</f>
        <v/>
      </c>
      <c r="I84" s="15">
        <f>IF(A84="","",MONTH(A84))</f>
        <v/>
      </c>
    </row>
    <row r="85">
      <c r="A85" s="70" t="n"/>
      <c r="B85" s="9" t="n"/>
      <c r="C85" s="9" t="n"/>
      <c r="D85" s="71" t="n"/>
      <c r="E85" s="9" t="n"/>
      <c r="F85" s="30">
        <f>IF(D85="","",IF(E85="Sí",ROUND(D85*Configuracion!$B$11,0),0))</f>
        <v/>
      </c>
      <c r="G85" s="30">
        <f>IF(D85="","",D85+F85)</f>
        <v/>
      </c>
      <c r="H85" s="15">
        <f>IF(A85="","",YEAR(A85))</f>
        <v/>
      </c>
      <c r="I85" s="15">
        <f>IF(A85="","",MONTH(A85))</f>
        <v/>
      </c>
    </row>
    <row r="86">
      <c r="A86" s="70" t="n"/>
      <c r="B86" s="9" t="n"/>
      <c r="C86" s="9" t="n"/>
      <c r="D86" s="71" t="n"/>
      <c r="E86" s="9" t="n"/>
      <c r="F86" s="30">
        <f>IF(D86="","",IF(E86="Sí",ROUND(D86*Configuracion!$B$11,0),0))</f>
        <v/>
      </c>
      <c r="G86" s="30">
        <f>IF(D86="","",D86+F86)</f>
        <v/>
      </c>
      <c r="H86" s="15">
        <f>IF(A86="","",YEAR(A86))</f>
        <v/>
      </c>
      <c r="I86" s="15">
        <f>IF(A86="","",MONTH(A86))</f>
        <v/>
      </c>
    </row>
    <row r="87">
      <c r="A87" s="70" t="n"/>
      <c r="B87" s="9" t="n"/>
      <c r="C87" s="9" t="n"/>
      <c r="D87" s="71" t="n"/>
      <c r="E87" s="9" t="n"/>
      <c r="F87" s="30">
        <f>IF(D87="","",IF(E87="Sí",ROUND(D87*Configuracion!$B$11,0),0))</f>
        <v/>
      </c>
      <c r="G87" s="30">
        <f>IF(D87="","",D87+F87)</f>
        <v/>
      </c>
      <c r="H87" s="15">
        <f>IF(A87="","",YEAR(A87))</f>
        <v/>
      </c>
      <c r="I87" s="15">
        <f>IF(A87="","",MONTH(A87))</f>
        <v/>
      </c>
    </row>
    <row r="88">
      <c r="A88" s="70" t="n"/>
      <c r="B88" s="9" t="n"/>
      <c r="C88" s="9" t="n"/>
      <c r="D88" s="71" t="n"/>
      <c r="E88" s="9" t="n"/>
      <c r="F88" s="30">
        <f>IF(D88="","",IF(E88="Sí",ROUND(D88*Configuracion!$B$11,0),0))</f>
        <v/>
      </c>
      <c r="G88" s="30">
        <f>IF(D88="","",D88+F88)</f>
        <v/>
      </c>
      <c r="H88" s="15">
        <f>IF(A88="","",YEAR(A88))</f>
        <v/>
      </c>
      <c r="I88" s="15">
        <f>IF(A88="","",MONTH(A88))</f>
        <v/>
      </c>
    </row>
    <row r="89">
      <c r="A89" s="70" t="n"/>
      <c r="B89" s="9" t="n"/>
      <c r="C89" s="9" t="n"/>
      <c r="D89" s="71" t="n"/>
      <c r="E89" s="9" t="n"/>
      <c r="F89" s="30">
        <f>IF(D89="","",IF(E89="Sí",ROUND(D89*Configuracion!$B$11,0),0))</f>
        <v/>
      </c>
      <c r="G89" s="30">
        <f>IF(D89="","",D89+F89)</f>
        <v/>
      </c>
      <c r="H89" s="15">
        <f>IF(A89="","",YEAR(A89))</f>
        <v/>
      </c>
      <c r="I89" s="15">
        <f>IF(A89="","",MONTH(A89))</f>
        <v/>
      </c>
    </row>
    <row r="90">
      <c r="A90" s="70" t="n"/>
      <c r="B90" s="9" t="n"/>
      <c r="C90" s="9" t="n"/>
      <c r="D90" s="71" t="n"/>
      <c r="E90" s="9" t="n"/>
      <c r="F90" s="30">
        <f>IF(D90="","",IF(E90="Sí",ROUND(D90*Configuracion!$B$11,0),0))</f>
        <v/>
      </c>
      <c r="G90" s="30">
        <f>IF(D90="","",D90+F90)</f>
        <v/>
      </c>
      <c r="H90" s="15">
        <f>IF(A90="","",YEAR(A90))</f>
        <v/>
      </c>
      <c r="I90" s="15">
        <f>IF(A90="","",MONTH(A90))</f>
        <v/>
      </c>
    </row>
    <row r="91">
      <c r="A91" s="70" t="n"/>
      <c r="B91" s="9" t="n"/>
      <c r="C91" s="9" t="n"/>
      <c r="D91" s="71" t="n"/>
      <c r="E91" s="9" t="n"/>
      <c r="F91" s="30">
        <f>IF(D91="","",IF(E91="Sí",ROUND(D91*Configuracion!$B$11,0),0))</f>
        <v/>
      </c>
      <c r="G91" s="30">
        <f>IF(D91="","",D91+F91)</f>
        <v/>
      </c>
      <c r="H91" s="15">
        <f>IF(A91="","",YEAR(A91))</f>
        <v/>
      </c>
      <c r="I91" s="15">
        <f>IF(A91="","",MONTH(A91))</f>
        <v/>
      </c>
    </row>
    <row r="92">
      <c r="A92" s="70" t="n"/>
      <c r="B92" s="9" t="n"/>
      <c r="C92" s="9" t="n"/>
      <c r="D92" s="71" t="n"/>
      <c r="E92" s="9" t="n"/>
      <c r="F92" s="30">
        <f>IF(D92="","",IF(E92="Sí",ROUND(D92*Configuracion!$B$11,0),0))</f>
        <v/>
      </c>
      <c r="G92" s="30">
        <f>IF(D92="","",D92+F92)</f>
        <v/>
      </c>
      <c r="H92" s="15">
        <f>IF(A92="","",YEAR(A92))</f>
        <v/>
      </c>
      <c r="I92" s="15">
        <f>IF(A92="","",MONTH(A92))</f>
        <v/>
      </c>
    </row>
    <row r="93">
      <c r="A93" s="70" t="n"/>
      <c r="B93" s="9" t="n"/>
      <c r="C93" s="9" t="n"/>
      <c r="D93" s="71" t="n"/>
      <c r="E93" s="9" t="n"/>
      <c r="F93" s="30">
        <f>IF(D93="","",IF(E93="Sí",ROUND(D93*Configuracion!$B$11,0),0))</f>
        <v/>
      </c>
      <c r="G93" s="30">
        <f>IF(D93="","",D93+F93)</f>
        <v/>
      </c>
      <c r="H93" s="15">
        <f>IF(A93="","",YEAR(A93))</f>
        <v/>
      </c>
      <c r="I93" s="15">
        <f>IF(A93="","",MONTH(A93))</f>
        <v/>
      </c>
    </row>
    <row r="94">
      <c r="A94" s="70" t="n"/>
      <c r="B94" s="9" t="n"/>
      <c r="C94" s="9" t="n"/>
      <c r="D94" s="71" t="n"/>
      <c r="E94" s="9" t="n"/>
      <c r="F94" s="30">
        <f>IF(D94="","",IF(E94="Sí",ROUND(D94*Configuracion!$B$11,0),0))</f>
        <v/>
      </c>
      <c r="G94" s="30">
        <f>IF(D94="","",D94+F94)</f>
        <v/>
      </c>
      <c r="H94" s="15">
        <f>IF(A94="","",YEAR(A94))</f>
        <v/>
      </c>
      <c r="I94" s="15">
        <f>IF(A94="","",MONTH(A94))</f>
        <v/>
      </c>
    </row>
    <row r="95">
      <c r="A95" s="70" t="n"/>
      <c r="B95" s="9" t="n"/>
      <c r="C95" s="9" t="n"/>
      <c r="D95" s="71" t="n"/>
      <c r="E95" s="9" t="n"/>
      <c r="F95" s="30">
        <f>IF(D95="","",IF(E95="Sí",ROUND(D95*Configuracion!$B$11,0),0))</f>
        <v/>
      </c>
      <c r="G95" s="30">
        <f>IF(D95="","",D95+F95)</f>
        <v/>
      </c>
      <c r="H95" s="15">
        <f>IF(A95="","",YEAR(A95))</f>
        <v/>
      </c>
      <c r="I95" s="15">
        <f>IF(A95="","",MONTH(A95))</f>
        <v/>
      </c>
    </row>
    <row r="96">
      <c r="A96" s="70" t="n"/>
      <c r="B96" s="9" t="n"/>
      <c r="C96" s="9" t="n"/>
      <c r="D96" s="71" t="n"/>
      <c r="E96" s="9" t="n"/>
      <c r="F96" s="30">
        <f>IF(D96="","",IF(E96="Sí",ROUND(D96*Configuracion!$B$11,0),0))</f>
        <v/>
      </c>
      <c r="G96" s="30">
        <f>IF(D96="","",D96+F96)</f>
        <v/>
      </c>
      <c r="H96" s="15">
        <f>IF(A96="","",YEAR(A96))</f>
        <v/>
      </c>
      <c r="I96" s="15">
        <f>IF(A96="","",MONTH(A96))</f>
        <v/>
      </c>
    </row>
    <row r="97">
      <c r="A97" s="70" t="n"/>
      <c r="B97" s="9" t="n"/>
      <c r="C97" s="9" t="n"/>
      <c r="D97" s="71" t="n"/>
      <c r="E97" s="9" t="n"/>
      <c r="F97" s="30">
        <f>IF(D97="","",IF(E97="Sí",ROUND(D97*Configuracion!$B$11,0),0))</f>
        <v/>
      </c>
      <c r="G97" s="30">
        <f>IF(D97="","",D97+F97)</f>
        <v/>
      </c>
      <c r="H97" s="15">
        <f>IF(A97="","",YEAR(A97))</f>
        <v/>
      </c>
      <c r="I97" s="15">
        <f>IF(A97="","",MONTH(A97))</f>
        <v/>
      </c>
    </row>
    <row r="98">
      <c r="A98" s="70" t="n"/>
      <c r="B98" s="9" t="n"/>
      <c r="C98" s="9" t="n"/>
      <c r="D98" s="71" t="n"/>
      <c r="E98" s="9" t="n"/>
      <c r="F98" s="30">
        <f>IF(D98="","",IF(E98="Sí",ROUND(D98*Configuracion!$B$11,0),0))</f>
        <v/>
      </c>
      <c r="G98" s="30">
        <f>IF(D98="","",D98+F98)</f>
        <v/>
      </c>
      <c r="H98" s="15">
        <f>IF(A98="","",YEAR(A98))</f>
        <v/>
      </c>
      <c r="I98" s="15">
        <f>IF(A98="","",MONTH(A98))</f>
        <v/>
      </c>
    </row>
    <row r="99">
      <c r="A99" s="70" t="n"/>
      <c r="B99" s="9" t="n"/>
      <c r="C99" s="9" t="n"/>
      <c r="D99" s="71" t="n"/>
      <c r="E99" s="9" t="n"/>
      <c r="F99" s="30">
        <f>IF(D99="","",IF(E99="Sí",ROUND(D99*Configuracion!$B$11,0),0))</f>
        <v/>
      </c>
      <c r="G99" s="30">
        <f>IF(D99="","",D99+F99)</f>
        <v/>
      </c>
      <c r="H99" s="15">
        <f>IF(A99="","",YEAR(A99))</f>
        <v/>
      </c>
      <c r="I99" s="15">
        <f>IF(A99="","",MONTH(A99))</f>
        <v/>
      </c>
    </row>
    <row r="100">
      <c r="A100" s="70" t="n"/>
      <c r="B100" s="9" t="n"/>
      <c r="C100" s="9" t="n"/>
      <c r="D100" s="71" t="n"/>
      <c r="E100" s="9" t="n"/>
      <c r="F100" s="30">
        <f>IF(D100="","",IF(E100="Sí",ROUND(D100*Configuracion!$B$11,0),0))</f>
        <v/>
      </c>
      <c r="G100" s="30">
        <f>IF(D100="","",D100+F100)</f>
        <v/>
      </c>
      <c r="H100" s="15">
        <f>IF(A100="","",YEAR(A100))</f>
        <v/>
      </c>
      <c r="I100" s="15">
        <f>IF(A100="","",MONTH(A100))</f>
        <v/>
      </c>
    </row>
    <row r="101">
      <c r="A101" s="70" t="n"/>
      <c r="B101" s="9" t="n"/>
      <c r="C101" s="9" t="n"/>
      <c r="D101" s="71" t="n"/>
      <c r="E101" s="9" t="n"/>
      <c r="F101" s="30">
        <f>IF(D101="","",IF(E101="Sí",ROUND(D101*Configuracion!$B$11,0),0))</f>
        <v/>
      </c>
      <c r="G101" s="30">
        <f>IF(D101="","",D101+F101)</f>
        <v/>
      </c>
      <c r="H101" s="15">
        <f>IF(A101="","",YEAR(A101))</f>
        <v/>
      </c>
      <c r="I101" s="15">
        <f>IF(A101="","",MONTH(A101))</f>
        <v/>
      </c>
    </row>
    <row r="102">
      <c r="A102" s="70" t="n"/>
      <c r="B102" s="9" t="n"/>
      <c r="C102" s="9" t="n"/>
      <c r="D102" s="71" t="n"/>
      <c r="E102" s="9" t="n"/>
      <c r="F102" s="30">
        <f>IF(D102="","",IF(E102="Sí",ROUND(D102*Configuracion!$B$11,0),0))</f>
        <v/>
      </c>
      <c r="G102" s="30">
        <f>IF(D102="","",D102+F102)</f>
        <v/>
      </c>
      <c r="H102" s="15">
        <f>IF(A102="","",YEAR(A102))</f>
        <v/>
      </c>
      <c r="I102" s="15">
        <f>IF(A102="","",MONTH(A102))</f>
        <v/>
      </c>
    </row>
    <row r="103">
      <c r="A103" s="70" t="n"/>
      <c r="B103" s="9" t="n"/>
      <c r="C103" s="9" t="n"/>
      <c r="D103" s="71" t="n"/>
      <c r="E103" s="9" t="n"/>
      <c r="F103" s="30">
        <f>IF(D103="","",IF(E103="Sí",ROUND(D103*Configuracion!$B$11,0),0))</f>
        <v/>
      </c>
      <c r="G103" s="30">
        <f>IF(D103="","",D103+F103)</f>
        <v/>
      </c>
      <c r="H103" s="15">
        <f>IF(A103="","",YEAR(A103))</f>
        <v/>
      </c>
      <c r="I103" s="15">
        <f>IF(A103="","",MONTH(A103))</f>
        <v/>
      </c>
    </row>
    <row r="104">
      <c r="A104" s="70" t="n"/>
      <c r="B104" s="9" t="n"/>
      <c r="C104" s="9" t="n"/>
      <c r="D104" s="71" t="n"/>
      <c r="E104" s="9" t="n"/>
      <c r="F104" s="30">
        <f>IF(D104="","",IF(E104="Sí",ROUND(D104*Configuracion!$B$11,0),0))</f>
        <v/>
      </c>
      <c r="G104" s="30">
        <f>IF(D104="","",D104+F104)</f>
        <v/>
      </c>
      <c r="H104" s="15">
        <f>IF(A104="","",YEAR(A104))</f>
        <v/>
      </c>
      <c r="I104" s="15">
        <f>IF(A104="","",MONTH(A104))</f>
        <v/>
      </c>
    </row>
    <row r="105">
      <c r="A105" s="70" t="n"/>
      <c r="B105" s="9" t="n"/>
      <c r="C105" s="9" t="n"/>
      <c r="D105" s="71" t="n"/>
      <c r="E105" s="9" t="n"/>
      <c r="F105" s="30">
        <f>IF(D105="","",IF(E105="Sí",ROUND(D105*Configuracion!$B$11,0),0))</f>
        <v/>
      </c>
      <c r="G105" s="30">
        <f>IF(D105="","",D105+F105)</f>
        <v/>
      </c>
      <c r="H105" s="15">
        <f>IF(A105="","",YEAR(A105))</f>
        <v/>
      </c>
      <c r="I105" s="15">
        <f>IF(A105="","",MONTH(A105))</f>
        <v/>
      </c>
    </row>
  </sheetData>
  <autoFilter ref="A5:I105"/>
  <mergeCells count="2">
    <mergeCell ref="A1:I1"/>
    <mergeCell ref="A2:I2"/>
  </mergeCells>
  <dataValidations count="2">
    <dataValidation sqref="B6:B105" showDropDown="0" showInputMessage="1" showErrorMessage="1" allowBlank="1" errorTitle="Valor no válido" error="Use un valor de la lista." promptTitle="Lista" prompt="Elija un valor" type="list">
      <formula1>"Gestión de financiamiento,Transferencia,Arriendo espacio,Otros"</formula1>
    </dataValidation>
    <dataValidation sqref="E6:E105" showDropDown="0" showInputMessage="1" showErrorMessage="1" allowBlank="1" errorTitle="Valor no válido" error="Use un valor de la lista." promptTitle="Lista" prompt="Elija un valor" type="list">
      <formula1>"Sí,No"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>&amp;LControl financiero automotora</oddHeader>
    <oddFooter>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DD6B20"/>
    <outlinePr summaryBelow="1" summaryRight="1"/>
    <pageSetUpPr fitToPage="1"/>
  </sheetPr>
  <dimension ref="A1:R24"/>
  <sheetViews>
    <sheetView showGridLines="0" zoomScale="10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 xml:space="preserve">  Gastos fijos</t>
        </is>
      </c>
    </row>
    <row r="2" ht="20" customHeight="1">
      <c r="A2" s="3" t="inlineStr">
        <is>
          <t xml:space="preserve">  Costos que se pagan aunque no vendas. Completa la columna de cada mes en neto.</t>
        </is>
      </c>
    </row>
    <row r="3">
      <c r="A3" s="6" t="inlineStr">
        <is>
          <t>Los montos de cada mes salen de la hoja Comprobantes (Telegram). Afecto IVA de esta columna es la referencia del concepto.</t>
        </is>
      </c>
    </row>
    <row r="5" ht="32" customHeight="1">
      <c r="A5" s="72" t="inlineStr">
        <is>
          <t>Concepto</t>
        </is>
      </c>
      <c r="B5" s="72" t="inlineStr">
        <is>
          <t>Afecto IVA</t>
        </is>
      </c>
      <c r="C5" s="72" t="inlineStr">
        <is>
          <t>Enero</t>
        </is>
      </c>
      <c r="D5" s="72" t="inlineStr">
        <is>
          <t>Febrero</t>
        </is>
      </c>
      <c r="E5" s="72" t="inlineStr">
        <is>
          <t>Marzo</t>
        </is>
      </c>
      <c r="F5" s="72" t="inlineStr">
        <is>
          <t>Abril</t>
        </is>
      </c>
      <c r="G5" s="72" t="inlineStr">
        <is>
          <t>Mayo</t>
        </is>
      </c>
      <c r="H5" s="72" t="inlineStr">
        <is>
          <t>Junio</t>
        </is>
      </c>
      <c r="I5" s="72" t="inlineStr">
        <is>
          <t>Julio</t>
        </is>
      </c>
      <c r="J5" s="72" t="inlineStr">
        <is>
          <t>Agosto</t>
        </is>
      </c>
      <c r="K5" s="72" t="inlineStr">
        <is>
          <t>Septiembre</t>
        </is>
      </c>
      <c r="L5" s="72" t="inlineStr">
        <is>
          <t>Octubre</t>
        </is>
      </c>
      <c r="M5" s="72" t="inlineStr">
        <is>
          <t>Noviembre</t>
        </is>
      </c>
      <c r="N5" s="72" t="inlineStr">
        <is>
          <t>Diciembre</t>
        </is>
      </c>
      <c r="O5" s="73" t="inlineStr">
        <is>
          <t>Total año</t>
        </is>
      </c>
      <c r="P5" s="73" t="inlineStr">
        <is>
          <t>IVA del año</t>
        </is>
      </c>
      <c r="Q5" s="73" t="inlineStr">
        <is>
          <t>Este mes</t>
        </is>
      </c>
      <c r="R5" s="73" t="inlineStr">
        <is>
          <t>IVA este mes</t>
        </is>
      </c>
    </row>
    <row r="6">
      <c r="A6" s="74" t="inlineStr">
        <is>
          <t>Arriendo local / patio</t>
        </is>
      </c>
      <c r="B6" s="9" t="inlineStr">
        <is>
          <t>No</t>
        </is>
      </c>
      <c r="C6" s="89">
        <f>SUMIFS(Comprobantes!$H$6:$H$2005,Comprobantes!$C$6:$C$2005,"Gasto fijo",Comprobantes!$D$6:$D$2005,A6,Comprobantes!$L$6:$L$2005,Configuracion!$B$7,Comprobantes!$M$6:$M$2005,1,Comprobantes!$O$6:$O$2005,"Confirmado")</f>
        <v/>
      </c>
      <c r="D6" s="89">
        <f>SUMIFS(Comprobantes!$H$6:$H$2005,Comprobantes!$C$6:$C$2005,"Gasto fijo",Comprobantes!$D$6:$D$2005,A6,Comprobantes!$L$6:$L$2005,Configuracion!$B$7,Comprobantes!$M$6:$M$2005,2,Comprobantes!$O$6:$O$2005,"Confirmado")</f>
        <v/>
      </c>
      <c r="E6" s="89">
        <f>SUMIFS(Comprobantes!$H$6:$H$2005,Comprobantes!$C$6:$C$2005,"Gasto fijo",Comprobantes!$D$6:$D$2005,A6,Comprobantes!$L$6:$L$2005,Configuracion!$B$7,Comprobantes!$M$6:$M$2005,3,Comprobantes!$O$6:$O$2005,"Confirmado")</f>
        <v/>
      </c>
      <c r="F6" s="89">
        <f>SUMIFS(Comprobantes!$H$6:$H$2005,Comprobantes!$C$6:$C$2005,"Gasto fijo",Comprobantes!$D$6:$D$2005,A6,Comprobantes!$L$6:$L$2005,Configuracion!$B$7,Comprobantes!$M$6:$M$2005,4,Comprobantes!$O$6:$O$2005,"Confirmado")</f>
        <v/>
      </c>
      <c r="G6" s="89">
        <f>SUMIFS(Comprobantes!$H$6:$H$2005,Comprobantes!$C$6:$C$2005,"Gasto fijo",Comprobantes!$D$6:$D$2005,A6,Comprobantes!$L$6:$L$2005,Configuracion!$B$7,Comprobantes!$M$6:$M$2005,5,Comprobantes!$O$6:$O$2005,"Confirmado")</f>
        <v/>
      </c>
      <c r="H6" s="89">
        <f>SUMIFS(Comprobantes!$H$6:$H$2005,Comprobantes!$C$6:$C$2005,"Gasto fijo",Comprobantes!$D$6:$D$2005,A6,Comprobantes!$L$6:$L$2005,Configuracion!$B$7,Comprobantes!$M$6:$M$2005,6,Comprobantes!$O$6:$O$2005,"Confirmado")</f>
        <v/>
      </c>
      <c r="I6" s="89">
        <f>SUMIFS(Comprobantes!$H$6:$H$2005,Comprobantes!$C$6:$C$2005,"Gasto fijo",Comprobantes!$D$6:$D$2005,A6,Comprobantes!$L$6:$L$2005,Configuracion!$B$7,Comprobantes!$M$6:$M$2005,7,Comprobantes!$O$6:$O$2005,"Confirmado")</f>
        <v/>
      </c>
      <c r="J6" s="89">
        <f>SUMIFS(Comprobantes!$H$6:$H$2005,Comprobantes!$C$6:$C$2005,"Gasto fijo",Comprobantes!$D$6:$D$2005,A6,Comprobantes!$L$6:$L$2005,Configuracion!$B$7,Comprobantes!$M$6:$M$2005,8,Comprobantes!$O$6:$O$2005,"Confirmado")</f>
        <v/>
      </c>
      <c r="K6" s="89">
        <f>SUMIFS(Comprobantes!$H$6:$H$2005,Comprobantes!$C$6:$C$2005,"Gasto fijo",Comprobantes!$D$6:$D$2005,A6,Comprobantes!$L$6:$L$2005,Configuracion!$B$7,Comprobantes!$M$6:$M$2005,9,Comprobantes!$O$6:$O$2005,"Confirmado")</f>
        <v/>
      </c>
      <c r="L6" s="89">
        <f>SUMIFS(Comprobantes!$H$6:$H$2005,Comprobantes!$C$6:$C$2005,"Gasto fijo",Comprobantes!$D$6:$D$2005,A6,Comprobantes!$L$6:$L$2005,Configuracion!$B$7,Comprobantes!$M$6:$M$2005,10,Comprobantes!$O$6:$O$2005,"Confirmado")</f>
        <v/>
      </c>
      <c r="M6" s="89">
        <f>SUMIFS(Comprobantes!$H$6:$H$2005,Comprobantes!$C$6:$C$2005,"Gasto fijo",Comprobantes!$D$6:$D$2005,A6,Comprobantes!$L$6:$L$2005,Configuracion!$B$7,Comprobantes!$M$6:$M$2005,11,Comprobantes!$O$6:$O$2005,"Confirmado")</f>
        <v/>
      </c>
      <c r="N6" s="89">
        <f>SUMIFS(Comprobantes!$H$6:$H$2005,Comprobantes!$C$6:$C$2005,"Gasto fijo",Comprobantes!$D$6:$D$2005,A6,Comprobantes!$L$6:$L$2005,Configuracion!$B$7,Comprobantes!$M$6:$M$2005,12,Comprobantes!$O$6:$O$2005,"Confirmado")</f>
        <v/>
      </c>
      <c r="O6" s="30">
        <f>SUM(C6:N6)</f>
        <v/>
      </c>
      <c r="P6" s="30">
        <f>SUMIFS(Comprobantes!$J$6:$J$2005,Comprobantes!$C$6:$C$2005,"Gasto fijo",Comprobantes!$D$6:$D$2005,A6,Comprobantes!$L$6:$L$2005,Configuracion!$B$7,Comprobantes!$O$6:$O$2005,"Confirmado")</f>
        <v/>
      </c>
      <c r="Q6" s="30">
        <f>IFERROR(INDEX(C6:N6,1,Configuracion!$B$8),0)</f>
        <v/>
      </c>
      <c r="R6" s="30">
        <f>SUMIFS(Comprobantes!$J$6:$J$2005,Comprobantes!$C$6:$C$2005,"Gasto fijo",Comprobantes!$D$6:$D$2005,A6,Comprobantes!$L$6:$L$2005,Configuracion!$B$7,Comprobantes!$M$6:$M$2005,Configuracion!$B$8,Comprobantes!$O$6:$O$2005,"Confirmado")</f>
        <v/>
      </c>
    </row>
    <row r="7">
      <c r="A7" s="74" t="inlineStr">
        <is>
          <t>Gastos comunes</t>
        </is>
      </c>
      <c r="B7" s="9" t="inlineStr">
        <is>
          <t>Sí</t>
        </is>
      </c>
      <c r="C7" s="89">
        <f>SUMIFS(Comprobantes!$H$6:$H$2005,Comprobantes!$C$6:$C$2005,"Gasto fijo",Comprobantes!$D$6:$D$2005,A7,Comprobantes!$L$6:$L$2005,Configuracion!$B$7,Comprobantes!$M$6:$M$2005,1,Comprobantes!$O$6:$O$2005,"Confirmado")</f>
        <v/>
      </c>
      <c r="D7" s="89">
        <f>SUMIFS(Comprobantes!$H$6:$H$2005,Comprobantes!$C$6:$C$2005,"Gasto fijo",Comprobantes!$D$6:$D$2005,A7,Comprobantes!$L$6:$L$2005,Configuracion!$B$7,Comprobantes!$M$6:$M$2005,2,Comprobantes!$O$6:$O$2005,"Confirmado")</f>
        <v/>
      </c>
      <c r="E7" s="89">
        <f>SUMIFS(Comprobantes!$H$6:$H$2005,Comprobantes!$C$6:$C$2005,"Gasto fijo",Comprobantes!$D$6:$D$2005,A7,Comprobantes!$L$6:$L$2005,Configuracion!$B$7,Comprobantes!$M$6:$M$2005,3,Comprobantes!$O$6:$O$2005,"Confirmado")</f>
        <v/>
      </c>
      <c r="F7" s="89">
        <f>SUMIFS(Comprobantes!$H$6:$H$2005,Comprobantes!$C$6:$C$2005,"Gasto fijo",Comprobantes!$D$6:$D$2005,A7,Comprobantes!$L$6:$L$2005,Configuracion!$B$7,Comprobantes!$M$6:$M$2005,4,Comprobantes!$O$6:$O$2005,"Confirmado")</f>
        <v/>
      </c>
      <c r="G7" s="89">
        <f>SUMIFS(Comprobantes!$H$6:$H$2005,Comprobantes!$C$6:$C$2005,"Gasto fijo",Comprobantes!$D$6:$D$2005,A7,Comprobantes!$L$6:$L$2005,Configuracion!$B$7,Comprobantes!$M$6:$M$2005,5,Comprobantes!$O$6:$O$2005,"Confirmado")</f>
        <v/>
      </c>
      <c r="H7" s="89">
        <f>SUMIFS(Comprobantes!$H$6:$H$2005,Comprobantes!$C$6:$C$2005,"Gasto fijo",Comprobantes!$D$6:$D$2005,A7,Comprobantes!$L$6:$L$2005,Configuracion!$B$7,Comprobantes!$M$6:$M$2005,6,Comprobantes!$O$6:$O$2005,"Confirmado")</f>
        <v/>
      </c>
      <c r="I7" s="89">
        <f>SUMIFS(Comprobantes!$H$6:$H$2005,Comprobantes!$C$6:$C$2005,"Gasto fijo",Comprobantes!$D$6:$D$2005,A7,Comprobantes!$L$6:$L$2005,Configuracion!$B$7,Comprobantes!$M$6:$M$2005,7,Comprobantes!$O$6:$O$2005,"Confirmado")</f>
        <v/>
      </c>
      <c r="J7" s="89">
        <f>SUMIFS(Comprobantes!$H$6:$H$2005,Comprobantes!$C$6:$C$2005,"Gasto fijo",Comprobantes!$D$6:$D$2005,A7,Comprobantes!$L$6:$L$2005,Configuracion!$B$7,Comprobantes!$M$6:$M$2005,8,Comprobantes!$O$6:$O$2005,"Confirmado")</f>
        <v/>
      </c>
      <c r="K7" s="89">
        <f>SUMIFS(Comprobantes!$H$6:$H$2005,Comprobantes!$C$6:$C$2005,"Gasto fijo",Comprobantes!$D$6:$D$2005,A7,Comprobantes!$L$6:$L$2005,Configuracion!$B$7,Comprobantes!$M$6:$M$2005,9,Comprobantes!$O$6:$O$2005,"Confirmado")</f>
        <v/>
      </c>
      <c r="L7" s="89">
        <f>SUMIFS(Comprobantes!$H$6:$H$2005,Comprobantes!$C$6:$C$2005,"Gasto fijo",Comprobantes!$D$6:$D$2005,A7,Comprobantes!$L$6:$L$2005,Configuracion!$B$7,Comprobantes!$M$6:$M$2005,10,Comprobantes!$O$6:$O$2005,"Confirmado")</f>
        <v/>
      </c>
      <c r="M7" s="89">
        <f>SUMIFS(Comprobantes!$H$6:$H$2005,Comprobantes!$C$6:$C$2005,"Gasto fijo",Comprobantes!$D$6:$D$2005,A7,Comprobantes!$L$6:$L$2005,Configuracion!$B$7,Comprobantes!$M$6:$M$2005,11,Comprobantes!$O$6:$O$2005,"Confirmado")</f>
        <v/>
      </c>
      <c r="N7" s="89">
        <f>SUMIFS(Comprobantes!$H$6:$H$2005,Comprobantes!$C$6:$C$2005,"Gasto fijo",Comprobantes!$D$6:$D$2005,A7,Comprobantes!$L$6:$L$2005,Configuracion!$B$7,Comprobantes!$M$6:$M$2005,12,Comprobantes!$O$6:$O$2005,"Confirmado")</f>
        <v/>
      </c>
      <c r="O7" s="30">
        <f>SUM(C7:N7)</f>
        <v/>
      </c>
      <c r="P7" s="30">
        <f>SUMIFS(Comprobantes!$J$6:$J$2005,Comprobantes!$C$6:$C$2005,"Gasto fijo",Comprobantes!$D$6:$D$2005,A7,Comprobantes!$L$6:$L$2005,Configuracion!$B$7,Comprobantes!$O$6:$O$2005,"Confirmado")</f>
        <v/>
      </c>
      <c r="Q7" s="30">
        <f>IFERROR(INDEX(C7:N7,1,Configuracion!$B$8),0)</f>
        <v/>
      </c>
      <c r="R7" s="30">
        <f>SUMIFS(Comprobantes!$J$6:$J$2005,Comprobantes!$C$6:$C$2005,"Gasto fijo",Comprobantes!$D$6:$D$2005,A7,Comprobantes!$L$6:$L$2005,Configuracion!$B$7,Comprobantes!$M$6:$M$2005,Configuracion!$B$8,Comprobantes!$O$6:$O$2005,"Confirmado")</f>
        <v/>
      </c>
    </row>
    <row r="8">
      <c r="A8" s="74" t="inlineStr">
        <is>
          <t>Sueldos (líquidos)</t>
        </is>
      </c>
      <c r="B8" s="9" t="inlineStr">
        <is>
          <t>No</t>
        </is>
      </c>
      <c r="C8" s="89">
        <f>SUMIFS(Comprobantes!$H$6:$H$2005,Comprobantes!$C$6:$C$2005,"Gasto fijo",Comprobantes!$D$6:$D$2005,A8,Comprobantes!$L$6:$L$2005,Configuracion!$B$7,Comprobantes!$M$6:$M$2005,1,Comprobantes!$O$6:$O$2005,"Confirmado")</f>
        <v/>
      </c>
      <c r="D8" s="89">
        <f>SUMIFS(Comprobantes!$H$6:$H$2005,Comprobantes!$C$6:$C$2005,"Gasto fijo",Comprobantes!$D$6:$D$2005,A8,Comprobantes!$L$6:$L$2005,Configuracion!$B$7,Comprobantes!$M$6:$M$2005,2,Comprobantes!$O$6:$O$2005,"Confirmado")</f>
        <v/>
      </c>
      <c r="E8" s="89">
        <f>SUMIFS(Comprobantes!$H$6:$H$2005,Comprobantes!$C$6:$C$2005,"Gasto fijo",Comprobantes!$D$6:$D$2005,A8,Comprobantes!$L$6:$L$2005,Configuracion!$B$7,Comprobantes!$M$6:$M$2005,3,Comprobantes!$O$6:$O$2005,"Confirmado")</f>
        <v/>
      </c>
      <c r="F8" s="89">
        <f>SUMIFS(Comprobantes!$H$6:$H$2005,Comprobantes!$C$6:$C$2005,"Gasto fijo",Comprobantes!$D$6:$D$2005,A8,Comprobantes!$L$6:$L$2005,Configuracion!$B$7,Comprobantes!$M$6:$M$2005,4,Comprobantes!$O$6:$O$2005,"Confirmado")</f>
        <v/>
      </c>
      <c r="G8" s="89">
        <f>SUMIFS(Comprobantes!$H$6:$H$2005,Comprobantes!$C$6:$C$2005,"Gasto fijo",Comprobantes!$D$6:$D$2005,A8,Comprobantes!$L$6:$L$2005,Configuracion!$B$7,Comprobantes!$M$6:$M$2005,5,Comprobantes!$O$6:$O$2005,"Confirmado")</f>
        <v/>
      </c>
      <c r="H8" s="89">
        <f>SUMIFS(Comprobantes!$H$6:$H$2005,Comprobantes!$C$6:$C$2005,"Gasto fijo",Comprobantes!$D$6:$D$2005,A8,Comprobantes!$L$6:$L$2005,Configuracion!$B$7,Comprobantes!$M$6:$M$2005,6,Comprobantes!$O$6:$O$2005,"Confirmado")</f>
        <v/>
      </c>
      <c r="I8" s="89">
        <f>SUMIFS(Comprobantes!$H$6:$H$2005,Comprobantes!$C$6:$C$2005,"Gasto fijo",Comprobantes!$D$6:$D$2005,A8,Comprobantes!$L$6:$L$2005,Configuracion!$B$7,Comprobantes!$M$6:$M$2005,7,Comprobantes!$O$6:$O$2005,"Confirmado")</f>
        <v/>
      </c>
      <c r="J8" s="89">
        <f>SUMIFS(Comprobantes!$H$6:$H$2005,Comprobantes!$C$6:$C$2005,"Gasto fijo",Comprobantes!$D$6:$D$2005,A8,Comprobantes!$L$6:$L$2005,Configuracion!$B$7,Comprobantes!$M$6:$M$2005,8,Comprobantes!$O$6:$O$2005,"Confirmado")</f>
        <v/>
      </c>
      <c r="K8" s="89">
        <f>SUMIFS(Comprobantes!$H$6:$H$2005,Comprobantes!$C$6:$C$2005,"Gasto fijo",Comprobantes!$D$6:$D$2005,A8,Comprobantes!$L$6:$L$2005,Configuracion!$B$7,Comprobantes!$M$6:$M$2005,9,Comprobantes!$O$6:$O$2005,"Confirmado")</f>
        <v/>
      </c>
      <c r="L8" s="89">
        <f>SUMIFS(Comprobantes!$H$6:$H$2005,Comprobantes!$C$6:$C$2005,"Gasto fijo",Comprobantes!$D$6:$D$2005,A8,Comprobantes!$L$6:$L$2005,Configuracion!$B$7,Comprobantes!$M$6:$M$2005,10,Comprobantes!$O$6:$O$2005,"Confirmado")</f>
        <v/>
      </c>
      <c r="M8" s="89">
        <f>SUMIFS(Comprobantes!$H$6:$H$2005,Comprobantes!$C$6:$C$2005,"Gasto fijo",Comprobantes!$D$6:$D$2005,A8,Comprobantes!$L$6:$L$2005,Configuracion!$B$7,Comprobantes!$M$6:$M$2005,11,Comprobantes!$O$6:$O$2005,"Confirmado")</f>
        <v/>
      </c>
      <c r="N8" s="89">
        <f>SUMIFS(Comprobantes!$H$6:$H$2005,Comprobantes!$C$6:$C$2005,"Gasto fijo",Comprobantes!$D$6:$D$2005,A8,Comprobantes!$L$6:$L$2005,Configuracion!$B$7,Comprobantes!$M$6:$M$2005,12,Comprobantes!$O$6:$O$2005,"Confirmado")</f>
        <v/>
      </c>
      <c r="O8" s="30">
        <f>SUM(C8:N8)</f>
        <v/>
      </c>
      <c r="P8" s="30">
        <f>SUMIFS(Comprobantes!$J$6:$J$2005,Comprobantes!$C$6:$C$2005,"Gasto fijo",Comprobantes!$D$6:$D$2005,A8,Comprobantes!$L$6:$L$2005,Configuracion!$B$7,Comprobantes!$O$6:$O$2005,"Confirmado")</f>
        <v/>
      </c>
      <c r="Q8" s="30">
        <f>IFERROR(INDEX(C8:N8,1,Configuracion!$B$8),0)</f>
        <v/>
      </c>
      <c r="R8" s="30">
        <f>SUMIFS(Comprobantes!$J$6:$J$2005,Comprobantes!$C$6:$C$2005,"Gasto fijo",Comprobantes!$D$6:$D$2005,A8,Comprobantes!$L$6:$L$2005,Configuracion!$B$7,Comprobantes!$M$6:$M$2005,Configuracion!$B$8,Comprobantes!$O$6:$O$2005,"Confirmado")</f>
        <v/>
      </c>
    </row>
    <row r="9">
      <c r="A9" s="74" t="inlineStr">
        <is>
          <t>Leyes sociales empleador</t>
        </is>
      </c>
      <c r="B9" s="9" t="inlineStr">
        <is>
          <t>No</t>
        </is>
      </c>
      <c r="C9" s="89">
        <f>SUMIFS(Comprobantes!$H$6:$H$2005,Comprobantes!$C$6:$C$2005,"Gasto fijo",Comprobantes!$D$6:$D$2005,A9,Comprobantes!$L$6:$L$2005,Configuracion!$B$7,Comprobantes!$M$6:$M$2005,1,Comprobantes!$O$6:$O$2005,"Confirmado")</f>
        <v/>
      </c>
      <c r="D9" s="89">
        <f>SUMIFS(Comprobantes!$H$6:$H$2005,Comprobantes!$C$6:$C$2005,"Gasto fijo",Comprobantes!$D$6:$D$2005,A9,Comprobantes!$L$6:$L$2005,Configuracion!$B$7,Comprobantes!$M$6:$M$2005,2,Comprobantes!$O$6:$O$2005,"Confirmado")</f>
        <v/>
      </c>
      <c r="E9" s="89">
        <f>SUMIFS(Comprobantes!$H$6:$H$2005,Comprobantes!$C$6:$C$2005,"Gasto fijo",Comprobantes!$D$6:$D$2005,A9,Comprobantes!$L$6:$L$2005,Configuracion!$B$7,Comprobantes!$M$6:$M$2005,3,Comprobantes!$O$6:$O$2005,"Confirmado")</f>
        <v/>
      </c>
      <c r="F9" s="89">
        <f>SUMIFS(Comprobantes!$H$6:$H$2005,Comprobantes!$C$6:$C$2005,"Gasto fijo",Comprobantes!$D$6:$D$2005,A9,Comprobantes!$L$6:$L$2005,Configuracion!$B$7,Comprobantes!$M$6:$M$2005,4,Comprobantes!$O$6:$O$2005,"Confirmado")</f>
        <v/>
      </c>
      <c r="G9" s="89">
        <f>SUMIFS(Comprobantes!$H$6:$H$2005,Comprobantes!$C$6:$C$2005,"Gasto fijo",Comprobantes!$D$6:$D$2005,A9,Comprobantes!$L$6:$L$2005,Configuracion!$B$7,Comprobantes!$M$6:$M$2005,5,Comprobantes!$O$6:$O$2005,"Confirmado")</f>
        <v/>
      </c>
      <c r="H9" s="89">
        <f>SUMIFS(Comprobantes!$H$6:$H$2005,Comprobantes!$C$6:$C$2005,"Gasto fijo",Comprobantes!$D$6:$D$2005,A9,Comprobantes!$L$6:$L$2005,Configuracion!$B$7,Comprobantes!$M$6:$M$2005,6,Comprobantes!$O$6:$O$2005,"Confirmado")</f>
        <v/>
      </c>
      <c r="I9" s="89">
        <f>SUMIFS(Comprobantes!$H$6:$H$2005,Comprobantes!$C$6:$C$2005,"Gasto fijo",Comprobantes!$D$6:$D$2005,A9,Comprobantes!$L$6:$L$2005,Configuracion!$B$7,Comprobantes!$M$6:$M$2005,7,Comprobantes!$O$6:$O$2005,"Confirmado")</f>
        <v/>
      </c>
      <c r="J9" s="89">
        <f>SUMIFS(Comprobantes!$H$6:$H$2005,Comprobantes!$C$6:$C$2005,"Gasto fijo",Comprobantes!$D$6:$D$2005,A9,Comprobantes!$L$6:$L$2005,Configuracion!$B$7,Comprobantes!$M$6:$M$2005,8,Comprobantes!$O$6:$O$2005,"Confirmado")</f>
        <v/>
      </c>
      <c r="K9" s="89">
        <f>SUMIFS(Comprobantes!$H$6:$H$2005,Comprobantes!$C$6:$C$2005,"Gasto fijo",Comprobantes!$D$6:$D$2005,A9,Comprobantes!$L$6:$L$2005,Configuracion!$B$7,Comprobantes!$M$6:$M$2005,9,Comprobantes!$O$6:$O$2005,"Confirmado")</f>
        <v/>
      </c>
      <c r="L9" s="89">
        <f>SUMIFS(Comprobantes!$H$6:$H$2005,Comprobantes!$C$6:$C$2005,"Gasto fijo",Comprobantes!$D$6:$D$2005,A9,Comprobantes!$L$6:$L$2005,Configuracion!$B$7,Comprobantes!$M$6:$M$2005,10,Comprobantes!$O$6:$O$2005,"Confirmado")</f>
        <v/>
      </c>
      <c r="M9" s="89">
        <f>SUMIFS(Comprobantes!$H$6:$H$2005,Comprobantes!$C$6:$C$2005,"Gasto fijo",Comprobantes!$D$6:$D$2005,A9,Comprobantes!$L$6:$L$2005,Configuracion!$B$7,Comprobantes!$M$6:$M$2005,11,Comprobantes!$O$6:$O$2005,"Confirmado")</f>
        <v/>
      </c>
      <c r="N9" s="89">
        <f>SUMIFS(Comprobantes!$H$6:$H$2005,Comprobantes!$C$6:$C$2005,"Gasto fijo",Comprobantes!$D$6:$D$2005,A9,Comprobantes!$L$6:$L$2005,Configuracion!$B$7,Comprobantes!$M$6:$M$2005,12,Comprobantes!$O$6:$O$2005,"Confirmado")</f>
        <v/>
      </c>
      <c r="O9" s="30">
        <f>SUM(C9:N9)</f>
        <v/>
      </c>
      <c r="P9" s="30">
        <f>SUMIFS(Comprobantes!$J$6:$J$2005,Comprobantes!$C$6:$C$2005,"Gasto fijo",Comprobantes!$D$6:$D$2005,A9,Comprobantes!$L$6:$L$2005,Configuracion!$B$7,Comprobantes!$O$6:$O$2005,"Confirmado")</f>
        <v/>
      </c>
      <c r="Q9" s="30">
        <f>IFERROR(INDEX(C9:N9,1,Configuracion!$B$8),0)</f>
        <v/>
      </c>
      <c r="R9" s="30">
        <f>SUMIFS(Comprobantes!$J$6:$J$2005,Comprobantes!$C$6:$C$2005,"Gasto fijo",Comprobantes!$D$6:$D$2005,A9,Comprobantes!$L$6:$L$2005,Configuracion!$B$7,Comprobantes!$M$6:$M$2005,Configuracion!$B$8,Comprobantes!$O$6:$O$2005,"Confirmado")</f>
        <v/>
      </c>
    </row>
    <row r="10">
      <c r="A10" s="74" t="inlineStr">
        <is>
          <t>Honorarios contador</t>
        </is>
      </c>
      <c r="B10" s="9" t="inlineStr">
        <is>
          <t>No</t>
        </is>
      </c>
      <c r="C10" s="89">
        <f>SUMIFS(Comprobantes!$H$6:$H$2005,Comprobantes!$C$6:$C$2005,"Gasto fijo",Comprobantes!$D$6:$D$2005,A10,Comprobantes!$L$6:$L$2005,Configuracion!$B$7,Comprobantes!$M$6:$M$2005,1,Comprobantes!$O$6:$O$2005,"Confirmado")</f>
        <v/>
      </c>
      <c r="D10" s="89">
        <f>SUMIFS(Comprobantes!$H$6:$H$2005,Comprobantes!$C$6:$C$2005,"Gasto fijo",Comprobantes!$D$6:$D$2005,A10,Comprobantes!$L$6:$L$2005,Configuracion!$B$7,Comprobantes!$M$6:$M$2005,2,Comprobantes!$O$6:$O$2005,"Confirmado")</f>
        <v/>
      </c>
      <c r="E10" s="89">
        <f>SUMIFS(Comprobantes!$H$6:$H$2005,Comprobantes!$C$6:$C$2005,"Gasto fijo",Comprobantes!$D$6:$D$2005,A10,Comprobantes!$L$6:$L$2005,Configuracion!$B$7,Comprobantes!$M$6:$M$2005,3,Comprobantes!$O$6:$O$2005,"Confirmado")</f>
        <v/>
      </c>
      <c r="F10" s="89">
        <f>SUMIFS(Comprobantes!$H$6:$H$2005,Comprobantes!$C$6:$C$2005,"Gasto fijo",Comprobantes!$D$6:$D$2005,A10,Comprobantes!$L$6:$L$2005,Configuracion!$B$7,Comprobantes!$M$6:$M$2005,4,Comprobantes!$O$6:$O$2005,"Confirmado")</f>
        <v/>
      </c>
      <c r="G10" s="89">
        <f>SUMIFS(Comprobantes!$H$6:$H$2005,Comprobantes!$C$6:$C$2005,"Gasto fijo",Comprobantes!$D$6:$D$2005,A10,Comprobantes!$L$6:$L$2005,Configuracion!$B$7,Comprobantes!$M$6:$M$2005,5,Comprobantes!$O$6:$O$2005,"Confirmado")</f>
        <v/>
      </c>
      <c r="H10" s="89">
        <f>SUMIFS(Comprobantes!$H$6:$H$2005,Comprobantes!$C$6:$C$2005,"Gasto fijo",Comprobantes!$D$6:$D$2005,A10,Comprobantes!$L$6:$L$2005,Configuracion!$B$7,Comprobantes!$M$6:$M$2005,6,Comprobantes!$O$6:$O$2005,"Confirmado")</f>
        <v/>
      </c>
      <c r="I10" s="89">
        <f>SUMIFS(Comprobantes!$H$6:$H$2005,Comprobantes!$C$6:$C$2005,"Gasto fijo",Comprobantes!$D$6:$D$2005,A10,Comprobantes!$L$6:$L$2005,Configuracion!$B$7,Comprobantes!$M$6:$M$2005,7,Comprobantes!$O$6:$O$2005,"Confirmado")</f>
        <v/>
      </c>
      <c r="J10" s="89">
        <f>SUMIFS(Comprobantes!$H$6:$H$2005,Comprobantes!$C$6:$C$2005,"Gasto fijo",Comprobantes!$D$6:$D$2005,A10,Comprobantes!$L$6:$L$2005,Configuracion!$B$7,Comprobantes!$M$6:$M$2005,8,Comprobantes!$O$6:$O$2005,"Confirmado")</f>
        <v/>
      </c>
      <c r="K10" s="89">
        <f>SUMIFS(Comprobantes!$H$6:$H$2005,Comprobantes!$C$6:$C$2005,"Gasto fijo",Comprobantes!$D$6:$D$2005,A10,Comprobantes!$L$6:$L$2005,Configuracion!$B$7,Comprobantes!$M$6:$M$2005,9,Comprobantes!$O$6:$O$2005,"Confirmado")</f>
        <v/>
      </c>
      <c r="L10" s="89">
        <f>SUMIFS(Comprobantes!$H$6:$H$2005,Comprobantes!$C$6:$C$2005,"Gasto fijo",Comprobantes!$D$6:$D$2005,A10,Comprobantes!$L$6:$L$2005,Configuracion!$B$7,Comprobantes!$M$6:$M$2005,10,Comprobantes!$O$6:$O$2005,"Confirmado")</f>
        <v/>
      </c>
      <c r="M10" s="89">
        <f>SUMIFS(Comprobantes!$H$6:$H$2005,Comprobantes!$C$6:$C$2005,"Gasto fijo",Comprobantes!$D$6:$D$2005,A10,Comprobantes!$L$6:$L$2005,Configuracion!$B$7,Comprobantes!$M$6:$M$2005,11,Comprobantes!$O$6:$O$2005,"Confirmado")</f>
        <v/>
      </c>
      <c r="N10" s="89">
        <f>SUMIFS(Comprobantes!$H$6:$H$2005,Comprobantes!$C$6:$C$2005,"Gasto fijo",Comprobantes!$D$6:$D$2005,A10,Comprobantes!$L$6:$L$2005,Configuracion!$B$7,Comprobantes!$M$6:$M$2005,12,Comprobantes!$O$6:$O$2005,"Confirmado")</f>
        <v/>
      </c>
      <c r="O10" s="30">
        <f>SUM(C10:N10)</f>
        <v/>
      </c>
      <c r="P10" s="30">
        <f>SUMIFS(Comprobantes!$J$6:$J$2005,Comprobantes!$C$6:$C$2005,"Gasto fijo",Comprobantes!$D$6:$D$2005,A10,Comprobantes!$L$6:$L$2005,Configuracion!$B$7,Comprobantes!$O$6:$O$2005,"Confirmado")</f>
        <v/>
      </c>
      <c r="Q10" s="30">
        <f>IFERROR(INDEX(C10:N10,1,Configuracion!$B$8),0)</f>
        <v/>
      </c>
      <c r="R10" s="30">
        <f>SUMIFS(Comprobantes!$J$6:$J$2005,Comprobantes!$C$6:$C$2005,"Gasto fijo",Comprobantes!$D$6:$D$2005,A10,Comprobantes!$L$6:$L$2005,Configuracion!$B$7,Comprobantes!$M$6:$M$2005,Configuracion!$B$8,Comprobantes!$O$6:$O$2005,"Confirmado")</f>
        <v/>
      </c>
    </row>
    <row r="11">
      <c r="A11" s="74" t="inlineStr">
        <is>
          <t>Seguros (local, stock, RC)</t>
        </is>
      </c>
      <c r="B11" s="9" t="inlineStr">
        <is>
          <t>No</t>
        </is>
      </c>
      <c r="C11" s="89">
        <f>SUMIFS(Comprobantes!$H$6:$H$2005,Comprobantes!$C$6:$C$2005,"Gasto fijo",Comprobantes!$D$6:$D$2005,A11,Comprobantes!$L$6:$L$2005,Configuracion!$B$7,Comprobantes!$M$6:$M$2005,1,Comprobantes!$O$6:$O$2005,"Confirmado")</f>
        <v/>
      </c>
      <c r="D11" s="89">
        <f>SUMIFS(Comprobantes!$H$6:$H$2005,Comprobantes!$C$6:$C$2005,"Gasto fijo",Comprobantes!$D$6:$D$2005,A11,Comprobantes!$L$6:$L$2005,Configuracion!$B$7,Comprobantes!$M$6:$M$2005,2,Comprobantes!$O$6:$O$2005,"Confirmado")</f>
        <v/>
      </c>
      <c r="E11" s="89">
        <f>SUMIFS(Comprobantes!$H$6:$H$2005,Comprobantes!$C$6:$C$2005,"Gasto fijo",Comprobantes!$D$6:$D$2005,A11,Comprobantes!$L$6:$L$2005,Configuracion!$B$7,Comprobantes!$M$6:$M$2005,3,Comprobantes!$O$6:$O$2005,"Confirmado")</f>
        <v/>
      </c>
      <c r="F11" s="89">
        <f>SUMIFS(Comprobantes!$H$6:$H$2005,Comprobantes!$C$6:$C$2005,"Gasto fijo",Comprobantes!$D$6:$D$2005,A11,Comprobantes!$L$6:$L$2005,Configuracion!$B$7,Comprobantes!$M$6:$M$2005,4,Comprobantes!$O$6:$O$2005,"Confirmado")</f>
        <v/>
      </c>
      <c r="G11" s="89">
        <f>SUMIFS(Comprobantes!$H$6:$H$2005,Comprobantes!$C$6:$C$2005,"Gasto fijo",Comprobantes!$D$6:$D$2005,A11,Comprobantes!$L$6:$L$2005,Configuracion!$B$7,Comprobantes!$M$6:$M$2005,5,Comprobantes!$O$6:$O$2005,"Confirmado")</f>
        <v/>
      </c>
      <c r="H11" s="89">
        <f>SUMIFS(Comprobantes!$H$6:$H$2005,Comprobantes!$C$6:$C$2005,"Gasto fijo",Comprobantes!$D$6:$D$2005,A11,Comprobantes!$L$6:$L$2005,Configuracion!$B$7,Comprobantes!$M$6:$M$2005,6,Comprobantes!$O$6:$O$2005,"Confirmado")</f>
        <v/>
      </c>
      <c r="I11" s="89">
        <f>SUMIFS(Comprobantes!$H$6:$H$2005,Comprobantes!$C$6:$C$2005,"Gasto fijo",Comprobantes!$D$6:$D$2005,A11,Comprobantes!$L$6:$L$2005,Configuracion!$B$7,Comprobantes!$M$6:$M$2005,7,Comprobantes!$O$6:$O$2005,"Confirmado")</f>
        <v/>
      </c>
      <c r="J11" s="89">
        <f>SUMIFS(Comprobantes!$H$6:$H$2005,Comprobantes!$C$6:$C$2005,"Gasto fijo",Comprobantes!$D$6:$D$2005,A11,Comprobantes!$L$6:$L$2005,Configuracion!$B$7,Comprobantes!$M$6:$M$2005,8,Comprobantes!$O$6:$O$2005,"Confirmado")</f>
        <v/>
      </c>
      <c r="K11" s="89">
        <f>SUMIFS(Comprobantes!$H$6:$H$2005,Comprobantes!$C$6:$C$2005,"Gasto fijo",Comprobantes!$D$6:$D$2005,A11,Comprobantes!$L$6:$L$2005,Configuracion!$B$7,Comprobantes!$M$6:$M$2005,9,Comprobantes!$O$6:$O$2005,"Confirmado")</f>
        <v/>
      </c>
      <c r="L11" s="89">
        <f>SUMIFS(Comprobantes!$H$6:$H$2005,Comprobantes!$C$6:$C$2005,"Gasto fijo",Comprobantes!$D$6:$D$2005,A11,Comprobantes!$L$6:$L$2005,Configuracion!$B$7,Comprobantes!$M$6:$M$2005,10,Comprobantes!$O$6:$O$2005,"Confirmado")</f>
        <v/>
      </c>
      <c r="M11" s="89">
        <f>SUMIFS(Comprobantes!$H$6:$H$2005,Comprobantes!$C$6:$C$2005,"Gasto fijo",Comprobantes!$D$6:$D$2005,A11,Comprobantes!$L$6:$L$2005,Configuracion!$B$7,Comprobantes!$M$6:$M$2005,11,Comprobantes!$O$6:$O$2005,"Confirmado")</f>
        <v/>
      </c>
      <c r="N11" s="89">
        <f>SUMIFS(Comprobantes!$H$6:$H$2005,Comprobantes!$C$6:$C$2005,"Gasto fijo",Comprobantes!$D$6:$D$2005,A11,Comprobantes!$L$6:$L$2005,Configuracion!$B$7,Comprobantes!$M$6:$M$2005,12,Comprobantes!$O$6:$O$2005,"Confirmado")</f>
        <v/>
      </c>
      <c r="O11" s="30">
        <f>SUM(C11:N11)</f>
        <v/>
      </c>
      <c r="P11" s="30">
        <f>SUMIFS(Comprobantes!$J$6:$J$2005,Comprobantes!$C$6:$C$2005,"Gasto fijo",Comprobantes!$D$6:$D$2005,A11,Comprobantes!$L$6:$L$2005,Configuracion!$B$7,Comprobantes!$O$6:$O$2005,"Confirmado")</f>
        <v/>
      </c>
      <c r="Q11" s="30">
        <f>IFERROR(INDEX(C11:N11,1,Configuracion!$B$8),0)</f>
        <v/>
      </c>
      <c r="R11" s="30">
        <f>SUMIFS(Comprobantes!$J$6:$J$2005,Comprobantes!$C$6:$C$2005,"Gasto fijo",Comprobantes!$D$6:$D$2005,A11,Comprobantes!$L$6:$L$2005,Configuracion!$B$7,Comprobantes!$M$6:$M$2005,Configuracion!$B$8,Comprobantes!$O$6:$O$2005,"Confirmado")</f>
        <v/>
      </c>
    </row>
    <row r="12">
      <c r="A12" s="74" t="inlineStr">
        <is>
          <t>Electricidad</t>
        </is>
      </c>
      <c r="B12" s="9" t="inlineStr">
        <is>
          <t>Sí</t>
        </is>
      </c>
      <c r="C12" s="89">
        <f>SUMIFS(Comprobantes!$H$6:$H$2005,Comprobantes!$C$6:$C$2005,"Gasto fijo",Comprobantes!$D$6:$D$2005,A12,Comprobantes!$L$6:$L$2005,Configuracion!$B$7,Comprobantes!$M$6:$M$2005,1,Comprobantes!$O$6:$O$2005,"Confirmado")</f>
        <v/>
      </c>
      <c r="D12" s="89">
        <f>SUMIFS(Comprobantes!$H$6:$H$2005,Comprobantes!$C$6:$C$2005,"Gasto fijo",Comprobantes!$D$6:$D$2005,A12,Comprobantes!$L$6:$L$2005,Configuracion!$B$7,Comprobantes!$M$6:$M$2005,2,Comprobantes!$O$6:$O$2005,"Confirmado")</f>
        <v/>
      </c>
      <c r="E12" s="89">
        <f>SUMIFS(Comprobantes!$H$6:$H$2005,Comprobantes!$C$6:$C$2005,"Gasto fijo",Comprobantes!$D$6:$D$2005,A12,Comprobantes!$L$6:$L$2005,Configuracion!$B$7,Comprobantes!$M$6:$M$2005,3,Comprobantes!$O$6:$O$2005,"Confirmado")</f>
        <v/>
      </c>
      <c r="F12" s="89">
        <f>SUMIFS(Comprobantes!$H$6:$H$2005,Comprobantes!$C$6:$C$2005,"Gasto fijo",Comprobantes!$D$6:$D$2005,A12,Comprobantes!$L$6:$L$2005,Configuracion!$B$7,Comprobantes!$M$6:$M$2005,4,Comprobantes!$O$6:$O$2005,"Confirmado")</f>
        <v/>
      </c>
      <c r="G12" s="89">
        <f>SUMIFS(Comprobantes!$H$6:$H$2005,Comprobantes!$C$6:$C$2005,"Gasto fijo",Comprobantes!$D$6:$D$2005,A12,Comprobantes!$L$6:$L$2005,Configuracion!$B$7,Comprobantes!$M$6:$M$2005,5,Comprobantes!$O$6:$O$2005,"Confirmado")</f>
        <v/>
      </c>
      <c r="H12" s="89">
        <f>SUMIFS(Comprobantes!$H$6:$H$2005,Comprobantes!$C$6:$C$2005,"Gasto fijo",Comprobantes!$D$6:$D$2005,A12,Comprobantes!$L$6:$L$2005,Configuracion!$B$7,Comprobantes!$M$6:$M$2005,6,Comprobantes!$O$6:$O$2005,"Confirmado")</f>
        <v/>
      </c>
      <c r="I12" s="89">
        <f>SUMIFS(Comprobantes!$H$6:$H$2005,Comprobantes!$C$6:$C$2005,"Gasto fijo",Comprobantes!$D$6:$D$2005,A12,Comprobantes!$L$6:$L$2005,Configuracion!$B$7,Comprobantes!$M$6:$M$2005,7,Comprobantes!$O$6:$O$2005,"Confirmado")</f>
        <v/>
      </c>
      <c r="J12" s="89">
        <f>SUMIFS(Comprobantes!$H$6:$H$2005,Comprobantes!$C$6:$C$2005,"Gasto fijo",Comprobantes!$D$6:$D$2005,A12,Comprobantes!$L$6:$L$2005,Configuracion!$B$7,Comprobantes!$M$6:$M$2005,8,Comprobantes!$O$6:$O$2005,"Confirmado")</f>
        <v/>
      </c>
      <c r="K12" s="89">
        <f>SUMIFS(Comprobantes!$H$6:$H$2005,Comprobantes!$C$6:$C$2005,"Gasto fijo",Comprobantes!$D$6:$D$2005,A12,Comprobantes!$L$6:$L$2005,Configuracion!$B$7,Comprobantes!$M$6:$M$2005,9,Comprobantes!$O$6:$O$2005,"Confirmado")</f>
        <v/>
      </c>
      <c r="L12" s="89">
        <f>SUMIFS(Comprobantes!$H$6:$H$2005,Comprobantes!$C$6:$C$2005,"Gasto fijo",Comprobantes!$D$6:$D$2005,A12,Comprobantes!$L$6:$L$2005,Configuracion!$B$7,Comprobantes!$M$6:$M$2005,10,Comprobantes!$O$6:$O$2005,"Confirmado")</f>
        <v/>
      </c>
      <c r="M12" s="89">
        <f>SUMIFS(Comprobantes!$H$6:$H$2005,Comprobantes!$C$6:$C$2005,"Gasto fijo",Comprobantes!$D$6:$D$2005,A12,Comprobantes!$L$6:$L$2005,Configuracion!$B$7,Comprobantes!$M$6:$M$2005,11,Comprobantes!$O$6:$O$2005,"Confirmado")</f>
        <v/>
      </c>
      <c r="N12" s="89">
        <f>SUMIFS(Comprobantes!$H$6:$H$2005,Comprobantes!$C$6:$C$2005,"Gasto fijo",Comprobantes!$D$6:$D$2005,A12,Comprobantes!$L$6:$L$2005,Configuracion!$B$7,Comprobantes!$M$6:$M$2005,12,Comprobantes!$O$6:$O$2005,"Confirmado")</f>
        <v/>
      </c>
      <c r="O12" s="30">
        <f>SUM(C12:N12)</f>
        <v/>
      </c>
      <c r="P12" s="30">
        <f>SUMIFS(Comprobantes!$J$6:$J$2005,Comprobantes!$C$6:$C$2005,"Gasto fijo",Comprobantes!$D$6:$D$2005,A12,Comprobantes!$L$6:$L$2005,Configuracion!$B$7,Comprobantes!$O$6:$O$2005,"Confirmado")</f>
        <v/>
      </c>
      <c r="Q12" s="30">
        <f>IFERROR(INDEX(C12:N12,1,Configuracion!$B$8),0)</f>
        <v/>
      </c>
      <c r="R12" s="30">
        <f>SUMIFS(Comprobantes!$J$6:$J$2005,Comprobantes!$C$6:$C$2005,"Gasto fijo",Comprobantes!$D$6:$D$2005,A12,Comprobantes!$L$6:$L$2005,Configuracion!$B$7,Comprobantes!$M$6:$M$2005,Configuracion!$B$8,Comprobantes!$O$6:$O$2005,"Confirmado")</f>
        <v/>
      </c>
    </row>
    <row r="13">
      <c r="A13" s="74" t="inlineStr">
        <is>
          <t>Agua</t>
        </is>
      </c>
      <c r="B13" s="9" t="inlineStr">
        <is>
          <t>No</t>
        </is>
      </c>
      <c r="C13" s="89">
        <f>SUMIFS(Comprobantes!$H$6:$H$2005,Comprobantes!$C$6:$C$2005,"Gasto fijo",Comprobantes!$D$6:$D$2005,A13,Comprobantes!$L$6:$L$2005,Configuracion!$B$7,Comprobantes!$M$6:$M$2005,1,Comprobantes!$O$6:$O$2005,"Confirmado")</f>
        <v/>
      </c>
      <c r="D13" s="89">
        <f>SUMIFS(Comprobantes!$H$6:$H$2005,Comprobantes!$C$6:$C$2005,"Gasto fijo",Comprobantes!$D$6:$D$2005,A13,Comprobantes!$L$6:$L$2005,Configuracion!$B$7,Comprobantes!$M$6:$M$2005,2,Comprobantes!$O$6:$O$2005,"Confirmado")</f>
        <v/>
      </c>
      <c r="E13" s="89">
        <f>SUMIFS(Comprobantes!$H$6:$H$2005,Comprobantes!$C$6:$C$2005,"Gasto fijo",Comprobantes!$D$6:$D$2005,A13,Comprobantes!$L$6:$L$2005,Configuracion!$B$7,Comprobantes!$M$6:$M$2005,3,Comprobantes!$O$6:$O$2005,"Confirmado")</f>
        <v/>
      </c>
      <c r="F13" s="89">
        <f>SUMIFS(Comprobantes!$H$6:$H$2005,Comprobantes!$C$6:$C$2005,"Gasto fijo",Comprobantes!$D$6:$D$2005,A13,Comprobantes!$L$6:$L$2005,Configuracion!$B$7,Comprobantes!$M$6:$M$2005,4,Comprobantes!$O$6:$O$2005,"Confirmado")</f>
        <v/>
      </c>
      <c r="G13" s="89">
        <f>SUMIFS(Comprobantes!$H$6:$H$2005,Comprobantes!$C$6:$C$2005,"Gasto fijo",Comprobantes!$D$6:$D$2005,A13,Comprobantes!$L$6:$L$2005,Configuracion!$B$7,Comprobantes!$M$6:$M$2005,5,Comprobantes!$O$6:$O$2005,"Confirmado")</f>
        <v/>
      </c>
      <c r="H13" s="89">
        <f>SUMIFS(Comprobantes!$H$6:$H$2005,Comprobantes!$C$6:$C$2005,"Gasto fijo",Comprobantes!$D$6:$D$2005,A13,Comprobantes!$L$6:$L$2005,Configuracion!$B$7,Comprobantes!$M$6:$M$2005,6,Comprobantes!$O$6:$O$2005,"Confirmado")</f>
        <v/>
      </c>
      <c r="I13" s="89">
        <f>SUMIFS(Comprobantes!$H$6:$H$2005,Comprobantes!$C$6:$C$2005,"Gasto fijo",Comprobantes!$D$6:$D$2005,A13,Comprobantes!$L$6:$L$2005,Configuracion!$B$7,Comprobantes!$M$6:$M$2005,7,Comprobantes!$O$6:$O$2005,"Confirmado")</f>
        <v/>
      </c>
      <c r="J13" s="89">
        <f>SUMIFS(Comprobantes!$H$6:$H$2005,Comprobantes!$C$6:$C$2005,"Gasto fijo",Comprobantes!$D$6:$D$2005,A13,Comprobantes!$L$6:$L$2005,Configuracion!$B$7,Comprobantes!$M$6:$M$2005,8,Comprobantes!$O$6:$O$2005,"Confirmado")</f>
        <v/>
      </c>
      <c r="K13" s="89">
        <f>SUMIFS(Comprobantes!$H$6:$H$2005,Comprobantes!$C$6:$C$2005,"Gasto fijo",Comprobantes!$D$6:$D$2005,A13,Comprobantes!$L$6:$L$2005,Configuracion!$B$7,Comprobantes!$M$6:$M$2005,9,Comprobantes!$O$6:$O$2005,"Confirmado")</f>
        <v/>
      </c>
      <c r="L13" s="89">
        <f>SUMIFS(Comprobantes!$H$6:$H$2005,Comprobantes!$C$6:$C$2005,"Gasto fijo",Comprobantes!$D$6:$D$2005,A13,Comprobantes!$L$6:$L$2005,Configuracion!$B$7,Comprobantes!$M$6:$M$2005,10,Comprobantes!$O$6:$O$2005,"Confirmado")</f>
        <v/>
      </c>
      <c r="M13" s="89">
        <f>SUMIFS(Comprobantes!$H$6:$H$2005,Comprobantes!$C$6:$C$2005,"Gasto fijo",Comprobantes!$D$6:$D$2005,A13,Comprobantes!$L$6:$L$2005,Configuracion!$B$7,Comprobantes!$M$6:$M$2005,11,Comprobantes!$O$6:$O$2005,"Confirmado")</f>
        <v/>
      </c>
      <c r="N13" s="89">
        <f>SUMIFS(Comprobantes!$H$6:$H$2005,Comprobantes!$C$6:$C$2005,"Gasto fijo",Comprobantes!$D$6:$D$2005,A13,Comprobantes!$L$6:$L$2005,Configuracion!$B$7,Comprobantes!$M$6:$M$2005,12,Comprobantes!$O$6:$O$2005,"Confirmado")</f>
        <v/>
      </c>
      <c r="O13" s="30">
        <f>SUM(C13:N13)</f>
        <v/>
      </c>
      <c r="P13" s="30">
        <f>SUMIFS(Comprobantes!$J$6:$J$2005,Comprobantes!$C$6:$C$2005,"Gasto fijo",Comprobantes!$D$6:$D$2005,A13,Comprobantes!$L$6:$L$2005,Configuracion!$B$7,Comprobantes!$O$6:$O$2005,"Confirmado")</f>
        <v/>
      </c>
      <c r="Q13" s="30">
        <f>IFERROR(INDEX(C13:N13,1,Configuracion!$B$8),0)</f>
        <v/>
      </c>
      <c r="R13" s="30">
        <f>SUMIFS(Comprobantes!$J$6:$J$2005,Comprobantes!$C$6:$C$2005,"Gasto fijo",Comprobantes!$D$6:$D$2005,A13,Comprobantes!$L$6:$L$2005,Configuracion!$B$7,Comprobantes!$M$6:$M$2005,Configuracion!$B$8,Comprobantes!$O$6:$O$2005,"Confirmado")</f>
        <v/>
      </c>
    </row>
    <row r="14">
      <c r="A14" s="74" t="inlineStr">
        <is>
          <t>Internet y telefonía</t>
        </is>
      </c>
      <c r="B14" s="9" t="inlineStr">
        <is>
          <t>Sí</t>
        </is>
      </c>
      <c r="C14" s="89">
        <f>SUMIFS(Comprobantes!$H$6:$H$2005,Comprobantes!$C$6:$C$2005,"Gasto fijo",Comprobantes!$D$6:$D$2005,A14,Comprobantes!$L$6:$L$2005,Configuracion!$B$7,Comprobantes!$M$6:$M$2005,1,Comprobantes!$O$6:$O$2005,"Confirmado")</f>
        <v/>
      </c>
      <c r="D14" s="89">
        <f>SUMIFS(Comprobantes!$H$6:$H$2005,Comprobantes!$C$6:$C$2005,"Gasto fijo",Comprobantes!$D$6:$D$2005,A14,Comprobantes!$L$6:$L$2005,Configuracion!$B$7,Comprobantes!$M$6:$M$2005,2,Comprobantes!$O$6:$O$2005,"Confirmado")</f>
        <v/>
      </c>
      <c r="E14" s="89">
        <f>SUMIFS(Comprobantes!$H$6:$H$2005,Comprobantes!$C$6:$C$2005,"Gasto fijo",Comprobantes!$D$6:$D$2005,A14,Comprobantes!$L$6:$L$2005,Configuracion!$B$7,Comprobantes!$M$6:$M$2005,3,Comprobantes!$O$6:$O$2005,"Confirmado")</f>
        <v/>
      </c>
      <c r="F14" s="89">
        <f>SUMIFS(Comprobantes!$H$6:$H$2005,Comprobantes!$C$6:$C$2005,"Gasto fijo",Comprobantes!$D$6:$D$2005,A14,Comprobantes!$L$6:$L$2005,Configuracion!$B$7,Comprobantes!$M$6:$M$2005,4,Comprobantes!$O$6:$O$2005,"Confirmado")</f>
        <v/>
      </c>
      <c r="G14" s="89">
        <f>SUMIFS(Comprobantes!$H$6:$H$2005,Comprobantes!$C$6:$C$2005,"Gasto fijo",Comprobantes!$D$6:$D$2005,A14,Comprobantes!$L$6:$L$2005,Configuracion!$B$7,Comprobantes!$M$6:$M$2005,5,Comprobantes!$O$6:$O$2005,"Confirmado")</f>
        <v/>
      </c>
      <c r="H14" s="89">
        <f>SUMIFS(Comprobantes!$H$6:$H$2005,Comprobantes!$C$6:$C$2005,"Gasto fijo",Comprobantes!$D$6:$D$2005,A14,Comprobantes!$L$6:$L$2005,Configuracion!$B$7,Comprobantes!$M$6:$M$2005,6,Comprobantes!$O$6:$O$2005,"Confirmado")</f>
        <v/>
      </c>
      <c r="I14" s="89">
        <f>SUMIFS(Comprobantes!$H$6:$H$2005,Comprobantes!$C$6:$C$2005,"Gasto fijo",Comprobantes!$D$6:$D$2005,A14,Comprobantes!$L$6:$L$2005,Configuracion!$B$7,Comprobantes!$M$6:$M$2005,7,Comprobantes!$O$6:$O$2005,"Confirmado")</f>
        <v/>
      </c>
      <c r="J14" s="89">
        <f>SUMIFS(Comprobantes!$H$6:$H$2005,Comprobantes!$C$6:$C$2005,"Gasto fijo",Comprobantes!$D$6:$D$2005,A14,Comprobantes!$L$6:$L$2005,Configuracion!$B$7,Comprobantes!$M$6:$M$2005,8,Comprobantes!$O$6:$O$2005,"Confirmado")</f>
        <v/>
      </c>
      <c r="K14" s="89">
        <f>SUMIFS(Comprobantes!$H$6:$H$2005,Comprobantes!$C$6:$C$2005,"Gasto fijo",Comprobantes!$D$6:$D$2005,A14,Comprobantes!$L$6:$L$2005,Configuracion!$B$7,Comprobantes!$M$6:$M$2005,9,Comprobantes!$O$6:$O$2005,"Confirmado")</f>
        <v/>
      </c>
      <c r="L14" s="89">
        <f>SUMIFS(Comprobantes!$H$6:$H$2005,Comprobantes!$C$6:$C$2005,"Gasto fijo",Comprobantes!$D$6:$D$2005,A14,Comprobantes!$L$6:$L$2005,Configuracion!$B$7,Comprobantes!$M$6:$M$2005,10,Comprobantes!$O$6:$O$2005,"Confirmado")</f>
        <v/>
      </c>
      <c r="M14" s="89">
        <f>SUMIFS(Comprobantes!$H$6:$H$2005,Comprobantes!$C$6:$C$2005,"Gasto fijo",Comprobantes!$D$6:$D$2005,A14,Comprobantes!$L$6:$L$2005,Configuracion!$B$7,Comprobantes!$M$6:$M$2005,11,Comprobantes!$O$6:$O$2005,"Confirmado")</f>
        <v/>
      </c>
      <c r="N14" s="89">
        <f>SUMIFS(Comprobantes!$H$6:$H$2005,Comprobantes!$C$6:$C$2005,"Gasto fijo",Comprobantes!$D$6:$D$2005,A14,Comprobantes!$L$6:$L$2005,Configuracion!$B$7,Comprobantes!$M$6:$M$2005,12,Comprobantes!$O$6:$O$2005,"Confirmado")</f>
        <v/>
      </c>
      <c r="O14" s="30">
        <f>SUM(C14:N14)</f>
        <v/>
      </c>
      <c r="P14" s="30">
        <f>SUMIFS(Comprobantes!$J$6:$J$2005,Comprobantes!$C$6:$C$2005,"Gasto fijo",Comprobantes!$D$6:$D$2005,A14,Comprobantes!$L$6:$L$2005,Configuracion!$B$7,Comprobantes!$O$6:$O$2005,"Confirmado")</f>
        <v/>
      </c>
      <c r="Q14" s="30">
        <f>IFERROR(INDEX(C14:N14,1,Configuracion!$B$8),0)</f>
        <v/>
      </c>
      <c r="R14" s="30">
        <f>SUMIFS(Comprobantes!$J$6:$J$2005,Comprobantes!$C$6:$C$2005,"Gasto fijo",Comprobantes!$D$6:$D$2005,A14,Comprobantes!$L$6:$L$2005,Configuracion!$B$7,Comprobantes!$M$6:$M$2005,Configuracion!$B$8,Comprobantes!$O$6:$O$2005,"Confirmado")</f>
        <v/>
      </c>
    </row>
    <row r="15">
      <c r="A15" s="74" t="inlineStr">
        <is>
          <t>Alarma / seguridad</t>
        </is>
      </c>
      <c r="B15" s="9" t="inlineStr">
        <is>
          <t>Sí</t>
        </is>
      </c>
      <c r="C15" s="89">
        <f>SUMIFS(Comprobantes!$H$6:$H$2005,Comprobantes!$C$6:$C$2005,"Gasto fijo",Comprobantes!$D$6:$D$2005,A15,Comprobantes!$L$6:$L$2005,Configuracion!$B$7,Comprobantes!$M$6:$M$2005,1,Comprobantes!$O$6:$O$2005,"Confirmado")</f>
        <v/>
      </c>
      <c r="D15" s="89">
        <f>SUMIFS(Comprobantes!$H$6:$H$2005,Comprobantes!$C$6:$C$2005,"Gasto fijo",Comprobantes!$D$6:$D$2005,A15,Comprobantes!$L$6:$L$2005,Configuracion!$B$7,Comprobantes!$M$6:$M$2005,2,Comprobantes!$O$6:$O$2005,"Confirmado")</f>
        <v/>
      </c>
      <c r="E15" s="89">
        <f>SUMIFS(Comprobantes!$H$6:$H$2005,Comprobantes!$C$6:$C$2005,"Gasto fijo",Comprobantes!$D$6:$D$2005,A15,Comprobantes!$L$6:$L$2005,Configuracion!$B$7,Comprobantes!$M$6:$M$2005,3,Comprobantes!$O$6:$O$2005,"Confirmado")</f>
        <v/>
      </c>
      <c r="F15" s="89">
        <f>SUMIFS(Comprobantes!$H$6:$H$2005,Comprobantes!$C$6:$C$2005,"Gasto fijo",Comprobantes!$D$6:$D$2005,A15,Comprobantes!$L$6:$L$2005,Configuracion!$B$7,Comprobantes!$M$6:$M$2005,4,Comprobantes!$O$6:$O$2005,"Confirmado")</f>
        <v/>
      </c>
      <c r="G15" s="89">
        <f>SUMIFS(Comprobantes!$H$6:$H$2005,Comprobantes!$C$6:$C$2005,"Gasto fijo",Comprobantes!$D$6:$D$2005,A15,Comprobantes!$L$6:$L$2005,Configuracion!$B$7,Comprobantes!$M$6:$M$2005,5,Comprobantes!$O$6:$O$2005,"Confirmado")</f>
        <v/>
      </c>
      <c r="H15" s="89">
        <f>SUMIFS(Comprobantes!$H$6:$H$2005,Comprobantes!$C$6:$C$2005,"Gasto fijo",Comprobantes!$D$6:$D$2005,A15,Comprobantes!$L$6:$L$2005,Configuracion!$B$7,Comprobantes!$M$6:$M$2005,6,Comprobantes!$O$6:$O$2005,"Confirmado")</f>
        <v/>
      </c>
      <c r="I15" s="89">
        <f>SUMIFS(Comprobantes!$H$6:$H$2005,Comprobantes!$C$6:$C$2005,"Gasto fijo",Comprobantes!$D$6:$D$2005,A15,Comprobantes!$L$6:$L$2005,Configuracion!$B$7,Comprobantes!$M$6:$M$2005,7,Comprobantes!$O$6:$O$2005,"Confirmado")</f>
        <v/>
      </c>
      <c r="J15" s="89">
        <f>SUMIFS(Comprobantes!$H$6:$H$2005,Comprobantes!$C$6:$C$2005,"Gasto fijo",Comprobantes!$D$6:$D$2005,A15,Comprobantes!$L$6:$L$2005,Configuracion!$B$7,Comprobantes!$M$6:$M$2005,8,Comprobantes!$O$6:$O$2005,"Confirmado")</f>
        <v/>
      </c>
      <c r="K15" s="89">
        <f>SUMIFS(Comprobantes!$H$6:$H$2005,Comprobantes!$C$6:$C$2005,"Gasto fijo",Comprobantes!$D$6:$D$2005,A15,Comprobantes!$L$6:$L$2005,Configuracion!$B$7,Comprobantes!$M$6:$M$2005,9,Comprobantes!$O$6:$O$2005,"Confirmado")</f>
        <v/>
      </c>
      <c r="L15" s="89">
        <f>SUMIFS(Comprobantes!$H$6:$H$2005,Comprobantes!$C$6:$C$2005,"Gasto fijo",Comprobantes!$D$6:$D$2005,A15,Comprobantes!$L$6:$L$2005,Configuracion!$B$7,Comprobantes!$M$6:$M$2005,10,Comprobantes!$O$6:$O$2005,"Confirmado")</f>
        <v/>
      </c>
      <c r="M15" s="89">
        <f>SUMIFS(Comprobantes!$H$6:$H$2005,Comprobantes!$C$6:$C$2005,"Gasto fijo",Comprobantes!$D$6:$D$2005,A15,Comprobantes!$L$6:$L$2005,Configuracion!$B$7,Comprobantes!$M$6:$M$2005,11,Comprobantes!$O$6:$O$2005,"Confirmado")</f>
        <v/>
      </c>
      <c r="N15" s="89">
        <f>SUMIFS(Comprobantes!$H$6:$H$2005,Comprobantes!$C$6:$C$2005,"Gasto fijo",Comprobantes!$D$6:$D$2005,A15,Comprobantes!$L$6:$L$2005,Configuracion!$B$7,Comprobantes!$M$6:$M$2005,12,Comprobantes!$O$6:$O$2005,"Confirmado")</f>
        <v/>
      </c>
      <c r="O15" s="30">
        <f>SUM(C15:N15)</f>
        <v/>
      </c>
      <c r="P15" s="30">
        <f>SUMIFS(Comprobantes!$J$6:$J$2005,Comprobantes!$C$6:$C$2005,"Gasto fijo",Comprobantes!$D$6:$D$2005,A15,Comprobantes!$L$6:$L$2005,Configuracion!$B$7,Comprobantes!$O$6:$O$2005,"Confirmado")</f>
        <v/>
      </c>
      <c r="Q15" s="30">
        <f>IFERROR(INDEX(C15:N15,1,Configuracion!$B$8),0)</f>
        <v/>
      </c>
      <c r="R15" s="30">
        <f>SUMIFS(Comprobantes!$J$6:$J$2005,Comprobantes!$C$6:$C$2005,"Gasto fijo",Comprobantes!$D$6:$D$2005,A15,Comprobantes!$L$6:$L$2005,Configuracion!$B$7,Comprobantes!$M$6:$M$2005,Configuracion!$B$8,Comprobantes!$O$6:$O$2005,"Confirmado")</f>
        <v/>
      </c>
    </row>
    <row r="16">
      <c r="A16" s="74" t="inlineStr">
        <is>
          <t>Aseo</t>
        </is>
      </c>
      <c r="B16" s="9" t="inlineStr">
        <is>
          <t>Sí</t>
        </is>
      </c>
      <c r="C16" s="89">
        <f>SUMIFS(Comprobantes!$H$6:$H$2005,Comprobantes!$C$6:$C$2005,"Gasto fijo",Comprobantes!$D$6:$D$2005,A16,Comprobantes!$L$6:$L$2005,Configuracion!$B$7,Comprobantes!$M$6:$M$2005,1,Comprobantes!$O$6:$O$2005,"Confirmado")</f>
        <v/>
      </c>
      <c r="D16" s="89">
        <f>SUMIFS(Comprobantes!$H$6:$H$2005,Comprobantes!$C$6:$C$2005,"Gasto fijo",Comprobantes!$D$6:$D$2005,A16,Comprobantes!$L$6:$L$2005,Configuracion!$B$7,Comprobantes!$M$6:$M$2005,2,Comprobantes!$O$6:$O$2005,"Confirmado")</f>
        <v/>
      </c>
      <c r="E16" s="89">
        <f>SUMIFS(Comprobantes!$H$6:$H$2005,Comprobantes!$C$6:$C$2005,"Gasto fijo",Comprobantes!$D$6:$D$2005,A16,Comprobantes!$L$6:$L$2005,Configuracion!$B$7,Comprobantes!$M$6:$M$2005,3,Comprobantes!$O$6:$O$2005,"Confirmado")</f>
        <v/>
      </c>
      <c r="F16" s="89">
        <f>SUMIFS(Comprobantes!$H$6:$H$2005,Comprobantes!$C$6:$C$2005,"Gasto fijo",Comprobantes!$D$6:$D$2005,A16,Comprobantes!$L$6:$L$2005,Configuracion!$B$7,Comprobantes!$M$6:$M$2005,4,Comprobantes!$O$6:$O$2005,"Confirmado")</f>
        <v/>
      </c>
      <c r="G16" s="89">
        <f>SUMIFS(Comprobantes!$H$6:$H$2005,Comprobantes!$C$6:$C$2005,"Gasto fijo",Comprobantes!$D$6:$D$2005,A16,Comprobantes!$L$6:$L$2005,Configuracion!$B$7,Comprobantes!$M$6:$M$2005,5,Comprobantes!$O$6:$O$2005,"Confirmado")</f>
        <v/>
      </c>
      <c r="H16" s="89">
        <f>SUMIFS(Comprobantes!$H$6:$H$2005,Comprobantes!$C$6:$C$2005,"Gasto fijo",Comprobantes!$D$6:$D$2005,A16,Comprobantes!$L$6:$L$2005,Configuracion!$B$7,Comprobantes!$M$6:$M$2005,6,Comprobantes!$O$6:$O$2005,"Confirmado")</f>
        <v/>
      </c>
      <c r="I16" s="89">
        <f>SUMIFS(Comprobantes!$H$6:$H$2005,Comprobantes!$C$6:$C$2005,"Gasto fijo",Comprobantes!$D$6:$D$2005,A16,Comprobantes!$L$6:$L$2005,Configuracion!$B$7,Comprobantes!$M$6:$M$2005,7,Comprobantes!$O$6:$O$2005,"Confirmado")</f>
        <v/>
      </c>
      <c r="J16" s="89">
        <f>SUMIFS(Comprobantes!$H$6:$H$2005,Comprobantes!$C$6:$C$2005,"Gasto fijo",Comprobantes!$D$6:$D$2005,A16,Comprobantes!$L$6:$L$2005,Configuracion!$B$7,Comprobantes!$M$6:$M$2005,8,Comprobantes!$O$6:$O$2005,"Confirmado")</f>
        <v/>
      </c>
      <c r="K16" s="89">
        <f>SUMIFS(Comprobantes!$H$6:$H$2005,Comprobantes!$C$6:$C$2005,"Gasto fijo",Comprobantes!$D$6:$D$2005,A16,Comprobantes!$L$6:$L$2005,Configuracion!$B$7,Comprobantes!$M$6:$M$2005,9,Comprobantes!$O$6:$O$2005,"Confirmado")</f>
        <v/>
      </c>
      <c r="L16" s="89">
        <f>SUMIFS(Comprobantes!$H$6:$H$2005,Comprobantes!$C$6:$C$2005,"Gasto fijo",Comprobantes!$D$6:$D$2005,A16,Comprobantes!$L$6:$L$2005,Configuracion!$B$7,Comprobantes!$M$6:$M$2005,10,Comprobantes!$O$6:$O$2005,"Confirmado")</f>
        <v/>
      </c>
      <c r="M16" s="89">
        <f>SUMIFS(Comprobantes!$H$6:$H$2005,Comprobantes!$C$6:$C$2005,"Gasto fijo",Comprobantes!$D$6:$D$2005,A16,Comprobantes!$L$6:$L$2005,Configuracion!$B$7,Comprobantes!$M$6:$M$2005,11,Comprobantes!$O$6:$O$2005,"Confirmado")</f>
        <v/>
      </c>
      <c r="N16" s="89">
        <f>SUMIFS(Comprobantes!$H$6:$H$2005,Comprobantes!$C$6:$C$2005,"Gasto fijo",Comprobantes!$D$6:$D$2005,A16,Comprobantes!$L$6:$L$2005,Configuracion!$B$7,Comprobantes!$M$6:$M$2005,12,Comprobantes!$O$6:$O$2005,"Confirmado")</f>
        <v/>
      </c>
      <c r="O16" s="30">
        <f>SUM(C16:N16)</f>
        <v/>
      </c>
      <c r="P16" s="30">
        <f>SUMIFS(Comprobantes!$J$6:$J$2005,Comprobantes!$C$6:$C$2005,"Gasto fijo",Comprobantes!$D$6:$D$2005,A16,Comprobantes!$L$6:$L$2005,Configuracion!$B$7,Comprobantes!$O$6:$O$2005,"Confirmado")</f>
        <v/>
      </c>
      <c r="Q16" s="30">
        <f>IFERROR(INDEX(C16:N16,1,Configuracion!$B$8),0)</f>
        <v/>
      </c>
      <c r="R16" s="30">
        <f>SUMIFS(Comprobantes!$J$6:$J$2005,Comprobantes!$C$6:$C$2005,"Gasto fijo",Comprobantes!$D$6:$D$2005,A16,Comprobantes!$L$6:$L$2005,Configuracion!$B$7,Comprobantes!$M$6:$M$2005,Configuracion!$B$8,Comprobantes!$O$6:$O$2005,"Confirmado")</f>
        <v/>
      </c>
    </row>
    <row r="17">
      <c r="A17" s="74" t="inlineStr">
        <is>
          <t>Patente municipal</t>
        </is>
      </c>
      <c r="B17" s="9" t="inlineStr">
        <is>
          <t>No</t>
        </is>
      </c>
      <c r="C17" s="89">
        <f>SUMIFS(Comprobantes!$H$6:$H$2005,Comprobantes!$C$6:$C$2005,"Gasto fijo",Comprobantes!$D$6:$D$2005,A17,Comprobantes!$L$6:$L$2005,Configuracion!$B$7,Comprobantes!$M$6:$M$2005,1,Comprobantes!$O$6:$O$2005,"Confirmado")</f>
        <v/>
      </c>
      <c r="D17" s="89">
        <f>SUMIFS(Comprobantes!$H$6:$H$2005,Comprobantes!$C$6:$C$2005,"Gasto fijo",Comprobantes!$D$6:$D$2005,A17,Comprobantes!$L$6:$L$2005,Configuracion!$B$7,Comprobantes!$M$6:$M$2005,2,Comprobantes!$O$6:$O$2005,"Confirmado")</f>
        <v/>
      </c>
      <c r="E17" s="89">
        <f>SUMIFS(Comprobantes!$H$6:$H$2005,Comprobantes!$C$6:$C$2005,"Gasto fijo",Comprobantes!$D$6:$D$2005,A17,Comprobantes!$L$6:$L$2005,Configuracion!$B$7,Comprobantes!$M$6:$M$2005,3,Comprobantes!$O$6:$O$2005,"Confirmado")</f>
        <v/>
      </c>
      <c r="F17" s="89">
        <f>SUMIFS(Comprobantes!$H$6:$H$2005,Comprobantes!$C$6:$C$2005,"Gasto fijo",Comprobantes!$D$6:$D$2005,A17,Comprobantes!$L$6:$L$2005,Configuracion!$B$7,Comprobantes!$M$6:$M$2005,4,Comprobantes!$O$6:$O$2005,"Confirmado")</f>
        <v/>
      </c>
      <c r="G17" s="89">
        <f>SUMIFS(Comprobantes!$H$6:$H$2005,Comprobantes!$C$6:$C$2005,"Gasto fijo",Comprobantes!$D$6:$D$2005,A17,Comprobantes!$L$6:$L$2005,Configuracion!$B$7,Comprobantes!$M$6:$M$2005,5,Comprobantes!$O$6:$O$2005,"Confirmado")</f>
        <v/>
      </c>
      <c r="H17" s="89">
        <f>SUMIFS(Comprobantes!$H$6:$H$2005,Comprobantes!$C$6:$C$2005,"Gasto fijo",Comprobantes!$D$6:$D$2005,A17,Comprobantes!$L$6:$L$2005,Configuracion!$B$7,Comprobantes!$M$6:$M$2005,6,Comprobantes!$O$6:$O$2005,"Confirmado")</f>
        <v/>
      </c>
      <c r="I17" s="89">
        <f>SUMIFS(Comprobantes!$H$6:$H$2005,Comprobantes!$C$6:$C$2005,"Gasto fijo",Comprobantes!$D$6:$D$2005,A17,Comprobantes!$L$6:$L$2005,Configuracion!$B$7,Comprobantes!$M$6:$M$2005,7,Comprobantes!$O$6:$O$2005,"Confirmado")</f>
        <v/>
      </c>
      <c r="J17" s="89">
        <f>SUMIFS(Comprobantes!$H$6:$H$2005,Comprobantes!$C$6:$C$2005,"Gasto fijo",Comprobantes!$D$6:$D$2005,A17,Comprobantes!$L$6:$L$2005,Configuracion!$B$7,Comprobantes!$M$6:$M$2005,8,Comprobantes!$O$6:$O$2005,"Confirmado")</f>
        <v/>
      </c>
      <c r="K17" s="89">
        <f>SUMIFS(Comprobantes!$H$6:$H$2005,Comprobantes!$C$6:$C$2005,"Gasto fijo",Comprobantes!$D$6:$D$2005,A17,Comprobantes!$L$6:$L$2005,Configuracion!$B$7,Comprobantes!$M$6:$M$2005,9,Comprobantes!$O$6:$O$2005,"Confirmado")</f>
        <v/>
      </c>
      <c r="L17" s="89">
        <f>SUMIFS(Comprobantes!$H$6:$H$2005,Comprobantes!$C$6:$C$2005,"Gasto fijo",Comprobantes!$D$6:$D$2005,A17,Comprobantes!$L$6:$L$2005,Configuracion!$B$7,Comprobantes!$M$6:$M$2005,10,Comprobantes!$O$6:$O$2005,"Confirmado")</f>
        <v/>
      </c>
      <c r="M17" s="89">
        <f>SUMIFS(Comprobantes!$H$6:$H$2005,Comprobantes!$C$6:$C$2005,"Gasto fijo",Comprobantes!$D$6:$D$2005,A17,Comprobantes!$L$6:$L$2005,Configuracion!$B$7,Comprobantes!$M$6:$M$2005,11,Comprobantes!$O$6:$O$2005,"Confirmado")</f>
        <v/>
      </c>
      <c r="N17" s="89">
        <f>SUMIFS(Comprobantes!$H$6:$H$2005,Comprobantes!$C$6:$C$2005,"Gasto fijo",Comprobantes!$D$6:$D$2005,A17,Comprobantes!$L$6:$L$2005,Configuracion!$B$7,Comprobantes!$M$6:$M$2005,12,Comprobantes!$O$6:$O$2005,"Confirmado")</f>
        <v/>
      </c>
      <c r="O17" s="30">
        <f>SUM(C17:N17)</f>
        <v/>
      </c>
      <c r="P17" s="30">
        <f>SUMIFS(Comprobantes!$J$6:$J$2005,Comprobantes!$C$6:$C$2005,"Gasto fijo",Comprobantes!$D$6:$D$2005,A17,Comprobantes!$L$6:$L$2005,Configuracion!$B$7,Comprobantes!$O$6:$O$2005,"Confirmado")</f>
        <v/>
      </c>
      <c r="Q17" s="30">
        <f>IFERROR(INDEX(C17:N17,1,Configuracion!$B$8),0)</f>
        <v/>
      </c>
      <c r="R17" s="30">
        <f>SUMIFS(Comprobantes!$J$6:$J$2005,Comprobantes!$C$6:$C$2005,"Gasto fijo",Comprobantes!$D$6:$D$2005,A17,Comprobantes!$L$6:$L$2005,Configuracion!$B$7,Comprobantes!$M$6:$M$2005,Configuracion!$B$8,Comprobantes!$O$6:$O$2005,"Confirmado")</f>
        <v/>
      </c>
    </row>
    <row r="18">
      <c r="A18" s="74" t="inlineStr">
        <is>
          <t>Software / facturación electrónica</t>
        </is>
      </c>
      <c r="B18" s="9" t="inlineStr">
        <is>
          <t>Sí</t>
        </is>
      </c>
      <c r="C18" s="89">
        <f>SUMIFS(Comprobantes!$H$6:$H$2005,Comprobantes!$C$6:$C$2005,"Gasto fijo",Comprobantes!$D$6:$D$2005,A18,Comprobantes!$L$6:$L$2005,Configuracion!$B$7,Comprobantes!$M$6:$M$2005,1,Comprobantes!$O$6:$O$2005,"Confirmado")</f>
        <v/>
      </c>
      <c r="D18" s="89">
        <f>SUMIFS(Comprobantes!$H$6:$H$2005,Comprobantes!$C$6:$C$2005,"Gasto fijo",Comprobantes!$D$6:$D$2005,A18,Comprobantes!$L$6:$L$2005,Configuracion!$B$7,Comprobantes!$M$6:$M$2005,2,Comprobantes!$O$6:$O$2005,"Confirmado")</f>
        <v/>
      </c>
      <c r="E18" s="89">
        <f>SUMIFS(Comprobantes!$H$6:$H$2005,Comprobantes!$C$6:$C$2005,"Gasto fijo",Comprobantes!$D$6:$D$2005,A18,Comprobantes!$L$6:$L$2005,Configuracion!$B$7,Comprobantes!$M$6:$M$2005,3,Comprobantes!$O$6:$O$2005,"Confirmado")</f>
        <v/>
      </c>
      <c r="F18" s="89">
        <f>SUMIFS(Comprobantes!$H$6:$H$2005,Comprobantes!$C$6:$C$2005,"Gasto fijo",Comprobantes!$D$6:$D$2005,A18,Comprobantes!$L$6:$L$2005,Configuracion!$B$7,Comprobantes!$M$6:$M$2005,4,Comprobantes!$O$6:$O$2005,"Confirmado")</f>
        <v/>
      </c>
      <c r="G18" s="89">
        <f>SUMIFS(Comprobantes!$H$6:$H$2005,Comprobantes!$C$6:$C$2005,"Gasto fijo",Comprobantes!$D$6:$D$2005,A18,Comprobantes!$L$6:$L$2005,Configuracion!$B$7,Comprobantes!$M$6:$M$2005,5,Comprobantes!$O$6:$O$2005,"Confirmado")</f>
        <v/>
      </c>
      <c r="H18" s="89">
        <f>SUMIFS(Comprobantes!$H$6:$H$2005,Comprobantes!$C$6:$C$2005,"Gasto fijo",Comprobantes!$D$6:$D$2005,A18,Comprobantes!$L$6:$L$2005,Configuracion!$B$7,Comprobantes!$M$6:$M$2005,6,Comprobantes!$O$6:$O$2005,"Confirmado")</f>
        <v/>
      </c>
      <c r="I18" s="89">
        <f>SUMIFS(Comprobantes!$H$6:$H$2005,Comprobantes!$C$6:$C$2005,"Gasto fijo",Comprobantes!$D$6:$D$2005,A18,Comprobantes!$L$6:$L$2005,Configuracion!$B$7,Comprobantes!$M$6:$M$2005,7,Comprobantes!$O$6:$O$2005,"Confirmado")</f>
        <v/>
      </c>
      <c r="J18" s="89">
        <f>SUMIFS(Comprobantes!$H$6:$H$2005,Comprobantes!$C$6:$C$2005,"Gasto fijo",Comprobantes!$D$6:$D$2005,A18,Comprobantes!$L$6:$L$2005,Configuracion!$B$7,Comprobantes!$M$6:$M$2005,8,Comprobantes!$O$6:$O$2005,"Confirmado")</f>
        <v/>
      </c>
      <c r="K18" s="89">
        <f>SUMIFS(Comprobantes!$H$6:$H$2005,Comprobantes!$C$6:$C$2005,"Gasto fijo",Comprobantes!$D$6:$D$2005,A18,Comprobantes!$L$6:$L$2005,Configuracion!$B$7,Comprobantes!$M$6:$M$2005,9,Comprobantes!$O$6:$O$2005,"Confirmado")</f>
        <v/>
      </c>
      <c r="L18" s="89">
        <f>SUMIFS(Comprobantes!$H$6:$H$2005,Comprobantes!$C$6:$C$2005,"Gasto fijo",Comprobantes!$D$6:$D$2005,A18,Comprobantes!$L$6:$L$2005,Configuracion!$B$7,Comprobantes!$M$6:$M$2005,10,Comprobantes!$O$6:$O$2005,"Confirmado")</f>
        <v/>
      </c>
      <c r="M18" s="89">
        <f>SUMIFS(Comprobantes!$H$6:$H$2005,Comprobantes!$C$6:$C$2005,"Gasto fijo",Comprobantes!$D$6:$D$2005,A18,Comprobantes!$L$6:$L$2005,Configuracion!$B$7,Comprobantes!$M$6:$M$2005,11,Comprobantes!$O$6:$O$2005,"Confirmado")</f>
        <v/>
      </c>
      <c r="N18" s="89">
        <f>SUMIFS(Comprobantes!$H$6:$H$2005,Comprobantes!$C$6:$C$2005,"Gasto fijo",Comprobantes!$D$6:$D$2005,A18,Comprobantes!$L$6:$L$2005,Configuracion!$B$7,Comprobantes!$M$6:$M$2005,12,Comprobantes!$O$6:$O$2005,"Confirmado")</f>
        <v/>
      </c>
      <c r="O18" s="30">
        <f>SUM(C18:N18)</f>
        <v/>
      </c>
      <c r="P18" s="30">
        <f>SUMIFS(Comprobantes!$J$6:$J$2005,Comprobantes!$C$6:$C$2005,"Gasto fijo",Comprobantes!$D$6:$D$2005,A18,Comprobantes!$L$6:$L$2005,Configuracion!$B$7,Comprobantes!$O$6:$O$2005,"Confirmado")</f>
        <v/>
      </c>
      <c r="Q18" s="30">
        <f>IFERROR(INDEX(C18:N18,1,Configuracion!$B$8),0)</f>
        <v/>
      </c>
      <c r="R18" s="30">
        <f>SUMIFS(Comprobantes!$J$6:$J$2005,Comprobantes!$C$6:$C$2005,"Gasto fijo",Comprobantes!$D$6:$D$2005,A18,Comprobantes!$L$6:$L$2005,Configuracion!$B$7,Comprobantes!$M$6:$M$2005,Configuracion!$B$8,Comprobantes!$O$6:$O$2005,"Confirmado")</f>
        <v/>
      </c>
    </row>
    <row r="19">
      <c r="A19" s="74" t="inlineStr">
        <is>
          <t>Mantención de instalaciones</t>
        </is>
      </c>
      <c r="B19" s="9" t="inlineStr">
        <is>
          <t>Sí</t>
        </is>
      </c>
      <c r="C19" s="89">
        <f>SUMIFS(Comprobantes!$H$6:$H$2005,Comprobantes!$C$6:$C$2005,"Gasto fijo",Comprobantes!$D$6:$D$2005,A19,Comprobantes!$L$6:$L$2005,Configuracion!$B$7,Comprobantes!$M$6:$M$2005,1,Comprobantes!$O$6:$O$2005,"Confirmado")</f>
        <v/>
      </c>
      <c r="D19" s="89">
        <f>SUMIFS(Comprobantes!$H$6:$H$2005,Comprobantes!$C$6:$C$2005,"Gasto fijo",Comprobantes!$D$6:$D$2005,A19,Comprobantes!$L$6:$L$2005,Configuracion!$B$7,Comprobantes!$M$6:$M$2005,2,Comprobantes!$O$6:$O$2005,"Confirmado")</f>
        <v/>
      </c>
      <c r="E19" s="89">
        <f>SUMIFS(Comprobantes!$H$6:$H$2005,Comprobantes!$C$6:$C$2005,"Gasto fijo",Comprobantes!$D$6:$D$2005,A19,Comprobantes!$L$6:$L$2005,Configuracion!$B$7,Comprobantes!$M$6:$M$2005,3,Comprobantes!$O$6:$O$2005,"Confirmado")</f>
        <v/>
      </c>
      <c r="F19" s="89">
        <f>SUMIFS(Comprobantes!$H$6:$H$2005,Comprobantes!$C$6:$C$2005,"Gasto fijo",Comprobantes!$D$6:$D$2005,A19,Comprobantes!$L$6:$L$2005,Configuracion!$B$7,Comprobantes!$M$6:$M$2005,4,Comprobantes!$O$6:$O$2005,"Confirmado")</f>
        <v/>
      </c>
      <c r="G19" s="89">
        <f>SUMIFS(Comprobantes!$H$6:$H$2005,Comprobantes!$C$6:$C$2005,"Gasto fijo",Comprobantes!$D$6:$D$2005,A19,Comprobantes!$L$6:$L$2005,Configuracion!$B$7,Comprobantes!$M$6:$M$2005,5,Comprobantes!$O$6:$O$2005,"Confirmado")</f>
        <v/>
      </c>
      <c r="H19" s="89">
        <f>SUMIFS(Comprobantes!$H$6:$H$2005,Comprobantes!$C$6:$C$2005,"Gasto fijo",Comprobantes!$D$6:$D$2005,A19,Comprobantes!$L$6:$L$2005,Configuracion!$B$7,Comprobantes!$M$6:$M$2005,6,Comprobantes!$O$6:$O$2005,"Confirmado")</f>
        <v/>
      </c>
      <c r="I19" s="89">
        <f>SUMIFS(Comprobantes!$H$6:$H$2005,Comprobantes!$C$6:$C$2005,"Gasto fijo",Comprobantes!$D$6:$D$2005,A19,Comprobantes!$L$6:$L$2005,Configuracion!$B$7,Comprobantes!$M$6:$M$2005,7,Comprobantes!$O$6:$O$2005,"Confirmado")</f>
        <v/>
      </c>
      <c r="J19" s="89">
        <f>SUMIFS(Comprobantes!$H$6:$H$2005,Comprobantes!$C$6:$C$2005,"Gasto fijo",Comprobantes!$D$6:$D$2005,A19,Comprobantes!$L$6:$L$2005,Configuracion!$B$7,Comprobantes!$M$6:$M$2005,8,Comprobantes!$O$6:$O$2005,"Confirmado")</f>
        <v/>
      </c>
      <c r="K19" s="89">
        <f>SUMIFS(Comprobantes!$H$6:$H$2005,Comprobantes!$C$6:$C$2005,"Gasto fijo",Comprobantes!$D$6:$D$2005,A19,Comprobantes!$L$6:$L$2005,Configuracion!$B$7,Comprobantes!$M$6:$M$2005,9,Comprobantes!$O$6:$O$2005,"Confirmado")</f>
        <v/>
      </c>
      <c r="L19" s="89">
        <f>SUMIFS(Comprobantes!$H$6:$H$2005,Comprobantes!$C$6:$C$2005,"Gasto fijo",Comprobantes!$D$6:$D$2005,A19,Comprobantes!$L$6:$L$2005,Configuracion!$B$7,Comprobantes!$M$6:$M$2005,10,Comprobantes!$O$6:$O$2005,"Confirmado")</f>
        <v/>
      </c>
      <c r="M19" s="89">
        <f>SUMIFS(Comprobantes!$H$6:$H$2005,Comprobantes!$C$6:$C$2005,"Gasto fijo",Comprobantes!$D$6:$D$2005,A19,Comprobantes!$L$6:$L$2005,Configuracion!$B$7,Comprobantes!$M$6:$M$2005,11,Comprobantes!$O$6:$O$2005,"Confirmado")</f>
        <v/>
      </c>
      <c r="N19" s="89">
        <f>SUMIFS(Comprobantes!$H$6:$H$2005,Comprobantes!$C$6:$C$2005,"Gasto fijo",Comprobantes!$D$6:$D$2005,A19,Comprobantes!$L$6:$L$2005,Configuracion!$B$7,Comprobantes!$M$6:$M$2005,12,Comprobantes!$O$6:$O$2005,"Confirmado")</f>
        <v/>
      </c>
      <c r="O19" s="30">
        <f>SUM(C19:N19)</f>
        <v/>
      </c>
      <c r="P19" s="30">
        <f>SUMIFS(Comprobantes!$J$6:$J$2005,Comprobantes!$C$6:$C$2005,"Gasto fijo",Comprobantes!$D$6:$D$2005,A19,Comprobantes!$L$6:$L$2005,Configuracion!$B$7,Comprobantes!$O$6:$O$2005,"Confirmado")</f>
        <v/>
      </c>
      <c r="Q19" s="30">
        <f>IFERROR(INDEX(C19:N19,1,Configuracion!$B$8),0)</f>
        <v/>
      </c>
      <c r="R19" s="30">
        <f>SUMIFS(Comprobantes!$J$6:$J$2005,Comprobantes!$C$6:$C$2005,"Gasto fijo",Comprobantes!$D$6:$D$2005,A19,Comprobantes!$L$6:$L$2005,Configuracion!$B$7,Comprobantes!$M$6:$M$2005,Configuracion!$B$8,Comprobantes!$O$6:$O$2005,"Confirmado")</f>
        <v/>
      </c>
    </row>
    <row r="20">
      <c r="A20" s="74" t="inlineStr">
        <is>
          <t>Publicidad fija (portales, redes)</t>
        </is>
      </c>
      <c r="B20" s="9" t="inlineStr">
        <is>
          <t>Sí</t>
        </is>
      </c>
      <c r="C20" s="89">
        <f>SUMIFS(Comprobantes!$H$6:$H$2005,Comprobantes!$C$6:$C$2005,"Gasto fijo",Comprobantes!$D$6:$D$2005,A20,Comprobantes!$L$6:$L$2005,Configuracion!$B$7,Comprobantes!$M$6:$M$2005,1,Comprobantes!$O$6:$O$2005,"Confirmado")</f>
        <v/>
      </c>
      <c r="D20" s="89">
        <f>SUMIFS(Comprobantes!$H$6:$H$2005,Comprobantes!$C$6:$C$2005,"Gasto fijo",Comprobantes!$D$6:$D$2005,A20,Comprobantes!$L$6:$L$2005,Configuracion!$B$7,Comprobantes!$M$6:$M$2005,2,Comprobantes!$O$6:$O$2005,"Confirmado")</f>
        <v/>
      </c>
      <c r="E20" s="89">
        <f>SUMIFS(Comprobantes!$H$6:$H$2005,Comprobantes!$C$6:$C$2005,"Gasto fijo",Comprobantes!$D$6:$D$2005,A20,Comprobantes!$L$6:$L$2005,Configuracion!$B$7,Comprobantes!$M$6:$M$2005,3,Comprobantes!$O$6:$O$2005,"Confirmado")</f>
        <v/>
      </c>
      <c r="F20" s="89">
        <f>SUMIFS(Comprobantes!$H$6:$H$2005,Comprobantes!$C$6:$C$2005,"Gasto fijo",Comprobantes!$D$6:$D$2005,A20,Comprobantes!$L$6:$L$2005,Configuracion!$B$7,Comprobantes!$M$6:$M$2005,4,Comprobantes!$O$6:$O$2005,"Confirmado")</f>
        <v/>
      </c>
      <c r="G20" s="89">
        <f>SUMIFS(Comprobantes!$H$6:$H$2005,Comprobantes!$C$6:$C$2005,"Gasto fijo",Comprobantes!$D$6:$D$2005,A20,Comprobantes!$L$6:$L$2005,Configuracion!$B$7,Comprobantes!$M$6:$M$2005,5,Comprobantes!$O$6:$O$2005,"Confirmado")</f>
        <v/>
      </c>
      <c r="H20" s="89">
        <f>SUMIFS(Comprobantes!$H$6:$H$2005,Comprobantes!$C$6:$C$2005,"Gasto fijo",Comprobantes!$D$6:$D$2005,A20,Comprobantes!$L$6:$L$2005,Configuracion!$B$7,Comprobantes!$M$6:$M$2005,6,Comprobantes!$O$6:$O$2005,"Confirmado")</f>
        <v/>
      </c>
      <c r="I20" s="89">
        <f>SUMIFS(Comprobantes!$H$6:$H$2005,Comprobantes!$C$6:$C$2005,"Gasto fijo",Comprobantes!$D$6:$D$2005,A20,Comprobantes!$L$6:$L$2005,Configuracion!$B$7,Comprobantes!$M$6:$M$2005,7,Comprobantes!$O$6:$O$2005,"Confirmado")</f>
        <v/>
      </c>
      <c r="J20" s="89">
        <f>SUMIFS(Comprobantes!$H$6:$H$2005,Comprobantes!$C$6:$C$2005,"Gasto fijo",Comprobantes!$D$6:$D$2005,A20,Comprobantes!$L$6:$L$2005,Configuracion!$B$7,Comprobantes!$M$6:$M$2005,8,Comprobantes!$O$6:$O$2005,"Confirmado")</f>
        <v/>
      </c>
      <c r="K20" s="89">
        <f>SUMIFS(Comprobantes!$H$6:$H$2005,Comprobantes!$C$6:$C$2005,"Gasto fijo",Comprobantes!$D$6:$D$2005,A20,Comprobantes!$L$6:$L$2005,Configuracion!$B$7,Comprobantes!$M$6:$M$2005,9,Comprobantes!$O$6:$O$2005,"Confirmado")</f>
        <v/>
      </c>
      <c r="L20" s="89">
        <f>SUMIFS(Comprobantes!$H$6:$H$2005,Comprobantes!$C$6:$C$2005,"Gasto fijo",Comprobantes!$D$6:$D$2005,A20,Comprobantes!$L$6:$L$2005,Configuracion!$B$7,Comprobantes!$M$6:$M$2005,10,Comprobantes!$O$6:$O$2005,"Confirmado")</f>
        <v/>
      </c>
      <c r="M20" s="89">
        <f>SUMIFS(Comprobantes!$H$6:$H$2005,Comprobantes!$C$6:$C$2005,"Gasto fijo",Comprobantes!$D$6:$D$2005,A20,Comprobantes!$L$6:$L$2005,Configuracion!$B$7,Comprobantes!$M$6:$M$2005,11,Comprobantes!$O$6:$O$2005,"Confirmado")</f>
        <v/>
      </c>
      <c r="N20" s="89">
        <f>SUMIFS(Comprobantes!$H$6:$H$2005,Comprobantes!$C$6:$C$2005,"Gasto fijo",Comprobantes!$D$6:$D$2005,A20,Comprobantes!$L$6:$L$2005,Configuracion!$B$7,Comprobantes!$M$6:$M$2005,12,Comprobantes!$O$6:$O$2005,"Confirmado")</f>
        <v/>
      </c>
      <c r="O20" s="30">
        <f>SUM(C20:N20)</f>
        <v/>
      </c>
      <c r="P20" s="30">
        <f>SUMIFS(Comprobantes!$J$6:$J$2005,Comprobantes!$C$6:$C$2005,"Gasto fijo",Comprobantes!$D$6:$D$2005,A20,Comprobantes!$L$6:$L$2005,Configuracion!$B$7,Comprobantes!$O$6:$O$2005,"Confirmado")</f>
        <v/>
      </c>
      <c r="Q20" s="30">
        <f>IFERROR(INDEX(C20:N20,1,Configuracion!$B$8),0)</f>
        <v/>
      </c>
      <c r="R20" s="30">
        <f>SUMIFS(Comprobantes!$J$6:$J$2005,Comprobantes!$C$6:$C$2005,"Gasto fijo",Comprobantes!$D$6:$D$2005,A20,Comprobantes!$L$6:$L$2005,Configuracion!$B$7,Comprobantes!$M$6:$M$2005,Configuracion!$B$8,Comprobantes!$O$6:$O$2005,"Confirmado")</f>
        <v/>
      </c>
    </row>
    <row r="21">
      <c r="A21" s="74" t="inlineStr">
        <is>
          <t>Contribuciones</t>
        </is>
      </c>
      <c r="B21" s="9" t="inlineStr">
        <is>
          <t>No</t>
        </is>
      </c>
      <c r="C21" s="89">
        <f>SUMIFS(Comprobantes!$H$6:$H$2005,Comprobantes!$C$6:$C$2005,"Gasto fijo",Comprobantes!$D$6:$D$2005,A21,Comprobantes!$L$6:$L$2005,Configuracion!$B$7,Comprobantes!$M$6:$M$2005,1,Comprobantes!$O$6:$O$2005,"Confirmado")</f>
        <v/>
      </c>
      <c r="D21" s="89">
        <f>SUMIFS(Comprobantes!$H$6:$H$2005,Comprobantes!$C$6:$C$2005,"Gasto fijo",Comprobantes!$D$6:$D$2005,A21,Comprobantes!$L$6:$L$2005,Configuracion!$B$7,Comprobantes!$M$6:$M$2005,2,Comprobantes!$O$6:$O$2005,"Confirmado")</f>
        <v/>
      </c>
      <c r="E21" s="89">
        <f>SUMIFS(Comprobantes!$H$6:$H$2005,Comprobantes!$C$6:$C$2005,"Gasto fijo",Comprobantes!$D$6:$D$2005,A21,Comprobantes!$L$6:$L$2005,Configuracion!$B$7,Comprobantes!$M$6:$M$2005,3,Comprobantes!$O$6:$O$2005,"Confirmado")</f>
        <v/>
      </c>
      <c r="F21" s="89">
        <f>SUMIFS(Comprobantes!$H$6:$H$2005,Comprobantes!$C$6:$C$2005,"Gasto fijo",Comprobantes!$D$6:$D$2005,A21,Comprobantes!$L$6:$L$2005,Configuracion!$B$7,Comprobantes!$M$6:$M$2005,4,Comprobantes!$O$6:$O$2005,"Confirmado")</f>
        <v/>
      </c>
      <c r="G21" s="89">
        <f>SUMIFS(Comprobantes!$H$6:$H$2005,Comprobantes!$C$6:$C$2005,"Gasto fijo",Comprobantes!$D$6:$D$2005,A21,Comprobantes!$L$6:$L$2005,Configuracion!$B$7,Comprobantes!$M$6:$M$2005,5,Comprobantes!$O$6:$O$2005,"Confirmado")</f>
        <v/>
      </c>
      <c r="H21" s="89">
        <f>SUMIFS(Comprobantes!$H$6:$H$2005,Comprobantes!$C$6:$C$2005,"Gasto fijo",Comprobantes!$D$6:$D$2005,A21,Comprobantes!$L$6:$L$2005,Configuracion!$B$7,Comprobantes!$M$6:$M$2005,6,Comprobantes!$O$6:$O$2005,"Confirmado")</f>
        <v/>
      </c>
      <c r="I21" s="89">
        <f>SUMIFS(Comprobantes!$H$6:$H$2005,Comprobantes!$C$6:$C$2005,"Gasto fijo",Comprobantes!$D$6:$D$2005,A21,Comprobantes!$L$6:$L$2005,Configuracion!$B$7,Comprobantes!$M$6:$M$2005,7,Comprobantes!$O$6:$O$2005,"Confirmado")</f>
        <v/>
      </c>
      <c r="J21" s="89">
        <f>SUMIFS(Comprobantes!$H$6:$H$2005,Comprobantes!$C$6:$C$2005,"Gasto fijo",Comprobantes!$D$6:$D$2005,A21,Comprobantes!$L$6:$L$2005,Configuracion!$B$7,Comprobantes!$M$6:$M$2005,8,Comprobantes!$O$6:$O$2005,"Confirmado")</f>
        <v/>
      </c>
      <c r="K21" s="89">
        <f>SUMIFS(Comprobantes!$H$6:$H$2005,Comprobantes!$C$6:$C$2005,"Gasto fijo",Comprobantes!$D$6:$D$2005,A21,Comprobantes!$L$6:$L$2005,Configuracion!$B$7,Comprobantes!$M$6:$M$2005,9,Comprobantes!$O$6:$O$2005,"Confirmado")</f>
        <v/>
      </c>
      <c r="L21" s="89">
        <f>SUMIFS(Comprobantes!$H$6:$H$2005,Comprobantes!$C$6:$C$2005,"Gasto fijo",Comprobantes!$D$6:$D$2005,A21,Comprobantes!$L$6:$L$2005,Configuracion!$B$7,Comprobantes!$M$6:$M$2005,10,Comprobantes!$O$6:$O$2005,"Confirmado")</f>
        <v/>
      </c>
      <c r="M21" s="89">
        <f>SUMIFS(Comprobantes!$H$6:$H$2005,Comprobantes!$C$6:$C$2005,"Gasto fijo",Comprobantes!$D$6:$D$2005,A21,Comprobantes!$L$6:$L$2005,Configuracion!$B$7,Comprobantes!$M$6:$M$2005,11,Comprobantes!$O$6:$O$2005,"Confirmado")</f>
        <v/>
      </c>
      <c r="N21" s="89">
        <f>SUMIFS(Comprobantes!$H$6:$H$2005,Comprobantes!$C$6:$C$2005,"Gasto fijo",Comprobantes!$D$6:$D$2005,A21,Comprobantes!$L$6:$L$2005,Configuracion!$B$7,Comprobantes!$M$6:$M$2005,12,Comprobantes!$O$6:$O$2005,"Confirmado")</f>
        <v/>
      </c>
      <c r="O21" s="30">
        <f>SUM(C21:N21)</f>
        <v/>
      </c>
      <c r="P21" s="30">
        <f>SUMIFS(Comprobantes!$J$6:$J$2005,Comprobantes!$C$6:$C$2005,"Gasto fijo",Comprobantes!$D$6:$D$2005,A21,Comprobantes!$L$6:$L$2005,Configuracion!$B$7,Comprobantes!$O$6:$O$2005,"Confirmado")</f>
        <v/>
      </c>
      <c r="Q21" s="30">
        <f>IFERROR(INDEX(C21:N21,1,Configuracion!$B$8),0)</f>
        <v/>
      </c>
      <c r="R21" s="30">
        <f>SUMIFS(Comprobantes!$J$6:$J$2005,Comprobantes!$C$6:$C$2005,"Gasto fijo",Comprobantes!$D$6:$D$2005,A21,Comprobantes!$L$6:$L$2005,Configuracion!$B$7,Comprobantes!$M$6:$M$2005,Configuracion!$B$8,Comprobantes!$O$6:$O$2005,"Confirmado")</f>
        <v/>
      </c>
    </row>
    <row r="22">
      <c r="A22" s="74" t="inlineStr">
        <is>
          <t>Caja chica</t>
        </is>
      </c>
      <c r="B22" s="9" t="inlineStr">
        <is>
          <t>Sí</t>
        </is>
      </c>
      <c r="C22" s="89">
        <f>SUMIFS(Comprobantes!$H$6:$H$2005,Comprobantes!$C$6:$C$2005,"Gasto fijo",Comprobantes!$D$6:$D$2005,A22,Comprobantes!$L$6:$L$2005,Configuracion!$B$7,Comprobantes!$M$6:$M$2005,1,Comprobantes!$O$6:$O$2005,"Confirmado")</f>
        <v/>
      </c>
      <c r="D22" s="89">
        <f>SUMIFS(Comprobantes!$H$6:$H$2005,Comprobantes!$C$6:$C$2005,"Gasto fijo",Comprobantes!$D$6:$D$2005,A22,Comprobantes!$L$6:$L$2005,Configuracion!$B$7,Comprobantes!$M$6:$M$2005,2,Comprobantes!$O$6:$O$2005,"Confirmado")</f>
        <v/>
      </c>
      <c r="E22" s="89">
        <f>SUMIFS(Comprobantes!$H$6:$H$2005,Comprobantes!$C$6:$C$2005,"Gasto fijo",Comprobantes!$D$6:$D$2005,A22,Comprobantes!$L$6:$L$2005,Configuracion!$B$7,Comprobantes!$M$6:$M$2005,3,Comprobantes!$O$6:$O$2005,"Confirmado")</f>
        <v/>
      </c>
      <c r="F22" s="89">
        <f>SUMIFS(Comprobantes!$H$6:$H$2005,Comprobantes!$C$6:$C$2005,"Gasto fijo",Comprobantes!$D$6:$D$2005,A22,Comprobantes!$L$6:$L$2005,Configuracion!$B$7,Comprobantes!$M$6:$M$2005,4,Comprobantes!$O$6:$O$2005,"Confirmado")</f>
        <v/>
      </c>
      <c r="G22" s="89">
        <f>SUMIFS(Comprobantes!$H$6:$H$2005,Comprobantes!$C$6:$C$2005,"Gasto fijo",Comprobantes!$D$6:$D$2005,A22,Comprobantes!$L$6:$L$2005,Configuracion!$B$7,Comprobantes!$M$6:$M$2005,5,Comprobantes!$O$6:$O$2005,"Confirmado")</f>
        <v/>
      </c>
      <c r="H22" s="89">
        <f>SUMIFS(Comprobantes!$H$6:$H$2005,Comprobantes!$C$6:$C$2005,"Gasto fijo",Comprobantes!$D$6:$D$2005,A22,Comprobantes!$L$6:$L$2005,Configuracion!$B$7,Comprobantes!$M$6:$M$2005,6,Comprobantes!$O$6:$O$2005,"Confirmado")</f>
        <v/>
      </c>
      <c r="I22" s="89">
        <f>SUMIFS(Comprobantes!$H$6:$H$2005,Comprobantes!$C$6:$C$2005,"Gasto fijo",Comprobantes!$D$6:$D$2005,A22,Comprobantes!$L$6:$L$2005,Configuracion!$B$7,Comprobantes!$M$6:$M$2005,7,Comprobantes!$O$6:$O$2005,"Confirmado")</f>
        <v/>
      </c>
      <c r="J22" s="89">
        <f>SUMIFS(Comprobantes!$H$6:$H$2005,Comprobantes!$C$6:$C$2005,"Gasto fijo",Comprobantes!$D$6:$D$2005,A22,Comprobantes!$L$6:$L$2005,Configuracion!$B$7,Comprobantes!$M$6:$M$2005,8,Comprobantes!$O$6:$O$2005,"Confirmado")</f>
        <v/>
      </c>
      <c r="K22" s="89">
        <f>SUMIFS(Comprobantes!$H$6:$H$2005,Comprobantes!$C$6:$C$2005,"Gasto fijo",Comprobantes!$D$6:$D$2005,A22,Comprobantes!$L$6:$L$2005,Configuracion!$B$7,Comprobantes!$M$6:$M$2005,9,Comprobantes!$O$6:$O$2005,"Confirmado")</f>
        <v/>
      </c>
      <c r="L22" s="89">
        <f>SUMIFS(Comprobantes!$H$6:$H$2005,Comprobantes!$C$6:$C$2005,"Gasto fijo",Comprobantes!$D$6:$D$2005,A22,Comprobantes!$L$6:$L$2005,Configuracion!$B$7,Comprobantes!$M$6:$M$2005,10,Comprobantes!$O$6:$O$2005,"Confirmado")</f>
        <v/>
      </c>
      <c r="M22" s="89">
        <f>SUMIFS(Comprobantes!$H$6:$H$2005,Comprobantes!$C$6:$C$2005,"Gasto fijo",Comprobantes!$D$6:$D$2005,A22,Comprobantes!$L$6:$L$2005,Configuracion!$B$7,Comprobantes!$M$6:$M$2005,11,Comprobantes!$O$6:$O$2005,"Confirmado")</f>
        <v/>
      </c>
      <c r="N22" s="89">
        <f>SUMIFS(Comprobantes!$H$6:$H$2005,Comprobantes!$C$6:$C$2005,"Gasto fijo",Comprobantes!$D$6:$D$2005,A22,Comprobantes!$L$6:$L$2005,Configuracion!$B$7,Comprobantes!$M$6:$M$2005,12,Comprobantes!$O$6:$O$2005,"Confirmado")</f>
        <v/>
      </c>
      <c r="O22" s="30">
        <f>SUM(C22:N22)</f>
        <v/>
      </c>
      <c r="P22" s="30">
        <f>SUMIFS(Comprobantes!$J$6:$J$2005,Comprobantes!$C$6:$C$2005,"Gasto fijo",Comprobantes!$D$6:$D$2005,A22,Comprobantes!$L$6:$L$2005,Configuracion!$B$7,Comprobantes!$O$6:$O$2005,"Confirmado")</f>
        <v/>
      </c>
      <c r="Q22" s="30">
        <f>IFERROR(INDEX(C22:N22,1,Configuracion!$B$8),0)</f>
        <v/>
      </c>
      <c r="R22" s="30">
        <f>SUMIFS(Comprobantes!$J$6:$J$2005,Comprobantes!$C$6:$C$2005,"Gasto fijo",Comprobantes!$D$6:$D$2005,A22,Comprobantes!$L$6:$L$2005,Configuracion!$B$7,Comprobantes!$M$6:$M$2005,Configuracion!$B$8,Comprobantes!$O$6:$O$2005,"Confirmado")</f>
        <v/>
      </c>
    </row>
    <row r="23">
      <c r="A23" s="74" t="inlineStr">
        <is>
          <t>Otros gastos fijos</t>
        </is>
      </c>
      <c r="B23" s="9" t="inlineStr">
        <is>
          <t>Sí</t>
        </is>
      </c>
      <c r="C23" s="89">
        <f>SUMIFS(Comprobantes!$H$6:$H$2005,Comprobantes!$C$6:$C$2005,"Gasto fijo",Comprobantes!$D$6:$D$2005,A23,Comprobantes!$L$6:$L$2005,Configuracion!$B$7,Comprobantes!$M$6:$M$2005,1,Comprobantes!$O$6:$O$2005,"Confirmado")</f>
        <v/>
      </c>
      <c r="D23" s="89">
        <f>SUMIFS(Comprobantes!$H$6:$H$2005,Comprobantes!$C$6:$C$2005,"Gasto fijo",Comprobantes!$D$6:$D$2005,A23,Comprobantes!$L$6:$L$2005,Configuracion!$B$7,Comprobantes!$M$6:$M$2005,2,Comprobantes!$O$6:$O$2005,"Confirmado")</f>
        <v/>
      </c>
      <c r="E23" s="89">
        <f>SUMIFS(Comprobantes!$H$6:$H$2005,Comprobantes!$C$6:$C$2005,"Gasto fijo",Comprobantes!$D$6:$D$2005,A23,Comprobantes!$L$6:$L$2005,Configuracion!$B$7,Comprobantes!$M$6:$M$2005,3,Comprobantes!$O$6:$O$2005,"Confirmado")</f>
        <v/>
      </c>
      <c r="F23" s="89">
        <f>SUMIFS(Comprobantes!$H$6:$H$2005,Comprobantes!$C$6:$C$2005,"Gasto fijo",Comprobantes!$D$6:$D$2005,A23,Comprobantes!$L$6:$L$2005,Configuracion!$B$7,Comprobantes!$M$6:$M$2005,4,Comprobantes!$O$6:$O$2005,"Confirmado")</f>
        <v/>
      </c>
      <c r="G23" s="89">
        <f>SUMIFS(Comprobantes!$H$6:$H$2005,Comprobantes!$C$6:$C$2005,"Gasto fijo",Comprobantes!$D$6:$D$2005,A23,Comprobantes!$L$6:$L$2005,Configuracion!$B$7,Comprobantes!$M$6:$M$2005,5,Comprobantes!$O$6:$O$2005,"Confirmado")</f>
        <v/>
      </c>
      <c r="H23" s="89">
        <f>SUMIFS(Comprobantes!$H$6:$H$2005,Comprobantes!$C$6:$C$2005,"Gasto fijo",Comprobantes!$D$6:$D$2005,A23,Comprobantes!$L$6:$L$2005,Configuracion!$B$7,Comprobantes!$M$6:$M$2005,6,Comprobantes!$O$6:$O$2005,"Confirmado")</f>
        <v/>
      </c>
      <c r="I23" s="89">
        <f>SUMIFS(Comprobantes!$H$6:$H$2005,Comprobantes!$C$6:$C$2005,"Gasto fijo",Comprobantes!$D$6:$D$2005,A23,Comprobantes!$L$6:$L$2005,Configuracion!$B$7,Comprobantes!$M$6:$M$2005,7,Comprobantes!$O$6:$O$2005,"Confirmado")</f>
        <v/>
      </c>
      <c r="J23" s="89">
        <f>SUMIFS(Comprobantes!$H$6:$H$2005,Comprobantes!$C$6:$C$2005,"Gasto fijo",Comprobantes!$D$6:$D$2005,A23,Comprobantes!$L$6:$L$2005,Configuracion!$B$7,Comprobantes!$M$6:$M$2005,8,Comprobantes!$O$6:$O$2005,"Confirmado")</f>
        <v/>
      </c>
      <c r="K23" s="89">
        <f>SUMIFS(Comprobantes!$H$6:$H$2005,Comprobantes!$C$6:$C$2005,"Gasto fijo",Comprobantes!$D$6:$D$2005,A23,Comprobantes!$L$6:$L$2005,Configuracion!$B$7,Comprobantes!$M$6:$M$2005,9,Comprobantes!$O$6:$O$2005,"Confirmado")</f>
        <v/>
      </c>
      <c r="L23" s="89">
        <f>SUMIFS(Comprobantes!$H$6:$H$2005,Comprobantes!$C$6:$C$2005,"Gasto fijo",Comprobantes!$D$6:$D$2005,A23,Comprobantes!$L$6:$L$2005,Configuracion!$B$7,Comprobantes!$M$6:$M$2005,10,Comprobantes!$O$6:$O$2005,"Confirmado")</f>
        <v/>
      </c>
      <c r="M23" s="89">
        <f>SUMIFS(Comprobantes!$H$6:$H$2005,Comprobantes!$C$6:$C$2005,"Gasto fijo",Comprobantes!$D$6:$D$2005,A23,Comprobantes!$L$6:$L$2005,Configuracion!$B$7,Comprobantes!$M$6:$M$2005,11,Comprobantes!$O$6:$O$2005,"Confirmado")</f>
        <v/>
      </c>
      <c r="N23" s="89">
        <f>SUMIFS(Comprobantes!$H$6:$H$2005,Comprobantes!$C$6:$C$2005,"Gasto fijo",Comprobantes!$D$6:$D$2005,A23,Comprobantes!$L$6:$L$2005,Configuracion!$B$7,Comprobantes!$M$6:$M$2005,12,Comprobantes!$O$6:$O$2005,"Confirmado")</f>
        <v/>
      </c>
      <c r="O23" s="30">
        <f>SUM(C23:N23)</f>
        <v/>
      </c>
      <c r="P23" s="30">
        <f>SUMIFS(Comprobantes!$J$6:$J$2005,Comprobantes!$C$6:$C$2005,"Gasto fijo",Comprobantes!$D$6:$D$2005,A23,Comprobantes!$L$6:$L$2005,Configuracion!$B$7,Comprobantes!$O$6:$O$2005,"Confirmado")</f>
        <v/>
      </c>
      <c r="Q23" s="30">
        <f>IFERROR(INDEX(C23:N23,1,Configuracion!$B$8),0)</f>
        <v/>
      </c>
      <c r="R23" s="30">
        <f>SUMIFS(Comprobantes!$J$6:$J$2005,Comprobantes!$C$6:$C$2005,"Gasto fijo",Comprobantes!$D$6:$D$2005,A23,Comprobantes!$L$6:$L$2005,Configuracion!$B$7,Comprobantes!$M$6:$M$2005,Configuracion!$B$8,Comprobantes!$O$6:$O$2005,"Confirmado")</f>
        <v/>
      </c>
    </row>
    <row r="24">
      <c r="A24" s="42" t="inlineStr">
        <is>
          <t>TOTAL</t>
        </is>
      </c>
      <c r="B24" s="42" t="n"/>
      <c r="C24" s="68">
        <f>SUM(C6:C23)</f>
        <v/>
      </c>
      <c r="D24" s="68">
        <f>SUM(D6:D23)</f>
        <v/>
      </c>
      <c r="E24" s="68">
        <f>SUM(E6:E23)</f>
        <v/>
      </c>
      <c r="F24" s="68">
        <f>SUM(F6:F23)</f>
        <v/>
      </c>
      <c r="G24" s="68">
        <f>SUM(G6:G23)</f>
        <v/>
      </c>
      <c r="H24" s="68">
        <f>SUM(H6:H23)</f>
        <v/>
      </c>
      <c r="I24" s="68">
        <f>SUM(I6:I23)</f>
        <v/>
      </c>
      <c r="J24" s="68">
        <f>SUM(J6:J23)</f>
        <v/>
      </c>
      <c r="K24" s="68">
        <f>SUM(K6:K23)</f>
        <v/>
      </c>
      <c r="L24" s="68">
        <f>SUM(L6:L23)</f>
        <v/>
      </c>
      <c r="M24" s="68">
        <f>SUM(M6:M23)</f>
        <v/>
      </c>
      <c r="N24" s="68">
        <f>SUM(N6:N23)</f>
        <v/>
      </c>
      <c r="O24" s="68">
        <f>SUM(O6:O23)</f>
        <v/>
      </c>
      <c r="P24" s="68">
        <f>SUM(P6:P23)</f>
        <v/>
      </c>
      <c r="Q24" s="68">
        <f>SUM(Q6:Q23)</f>
        <v/>
      </c>
      <c r="R24" s="68">
        <f>SUM(R6:R23)</f>
        <v/>
      </c>
    </row>
  </sheetData>
  <autoFilter ref="A5:R23"/>
  <mergeCells count="3">
    <mergeCell ref="A3:R3"/>
    <mergeCell ref="A2:R2"/>
    <mergeCell ref="A1:R1"/>
  </mergeCells>
  <dataValidations count="1">
    <dataValidation sqref="B6:B23" showDropDown="0" showInputMessage="1" showErrorMessage="1" allowBlank="1" errorTitle="Valor no válido" error="Use un valor de la lista." promptTitle="Lista" prompt="Elija un valor" type="list">
      <formula1>"Sí,No"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>&amp;LControl financiero automotora</oddHeader>
    <oddFooter>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DD6B20"/>
    <outlinePr summaryBelow="1" summaryRight="1"/>
    <pageSetUpPr fitToPage="1"/>
  </sheetPr>
  <dimension ref="A1:R21"/>
  <sheetViews>
    <sheetView showGridLines="0" zoomScale="10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 xml:space="preserve">  Gastos variables</t>
        </is>
      </c>
    </row>
    <row r="2" ht="20" customHeight="1">
      <c r="A2" s="3" t="inlineStr">
        <is>
          <t xml:space="preserve">  Costos que suben cuando hay más movimiento. Las comisiones de vendedores se toman de Ventas_Autos, no las dupliques aquí.</t>
        </is>
      </c>
    </row>
    <row r="3">
      <c r="A3" s="6" t="inlineStr">
        <is>
          <t>Escribe montos NETOS (sin IVA) en cada mes. Afecto IVA = Sí solo si el documento trae IVA recuperable. Sueldos, arriendo de inmueble y seguros suelen ir en No.</t>
        </is>
      </c>
    </row>
    <row r="5" ht="32" customHeight="1">
      <c r="A5" s="72" t="inlineStr">
        <is>
          <t>Concepto</t>
        </is>
      </c>
      <c r="B5" s="72" t="inlineStr">
        <is>
          <t>Afecto IVA</t>
        </is>
      </c>
      <c r="C5" s="72" t="inlineStr">
        <is>
          <t>Enero</t>
        </is>
      </c>
      <c r="D5" s="72" t="inlineStr">
        <is>
          <t>Febrero</t>
        </is>
      </c>
      <c r="E5" s="72" t="inlineStr">
        <is>
          <t>Marzo</t>
        </is>
      </c>
      <c r="F5" s="72" t="inlineStr">
        <is>
          <t>Abril</t>
        </is>
      </c>
      <c r="G5" s="72" t="inlineStr">
        <is>
          <t>Mayo</t>
        </is>
      </c>
      <c r="H5" s="72" t="inlineStr">
        <is>
          <t>Junio</t>
        </is>
      </c>
      <c r="I5" s="72" t="inlineStr">
        <is>
          <t>Julio</t>
        </is>
      </c>
      <c r="J5" s="72" t="inlineStr">
        <is>
          <t>Agosto</t>
        </is>
      </c>
      <c r="K5" s="72" t="inlineStr">
        <is>
          <t>Septiembre</t>
        </is>
      </c>
      <c r="L5" s="72" t="inlineStr">
        <is>
          <t>Octubre</t>
        </is>
      </c>
      <c r="M5" s="72" t="inlineStr">
        <is>
          <t>Noviembre</t>
        </is>
      </c>
      <c r="N5" s="72" t="inlineStr">
        <is>
          <t>Diciembre</t>
        </is>
      </c>
      <c r="O5" s="73" t="inlineStr">
        <is>
          <t>Total año</t>
        </is>
      </c>
      <c r="P5" s="73" t="inlineStr">
        <is>
          <t>IVA del año</t>
        </is>
      </c>
      <c r="Q5" s="73" t="inlineStr">
        <is>
          <t>Este mes</t>
        </is>
      </c>
      <c r="R5" s="73" t="inlineStr">
        <is>
          <t>IVA este mes</t>
        </is>
      </c>
    </row>
    <row r="6">
      <c r="A6" s="74" t="inlineStr">
        <is>
          <t>Publicidad de campañas</t>
        </is>
      </c>
      <c r="B6" s="9" t="inlineStr">
        <is>
          <t>Sí</t>
        </is>
      </c>
      <c r="C6" s="89">
        <f>SUMIFS(Comprobantes!$H$6:$H$2005,Comprobantes!$C$6:$C$2005,"Gasto variable",Comprobantes!$D$6:$D$2005,A6,Comprobantes!$L$6:$L$2005,Configuracion!$B$7,Comprobantes!$M$6:$M$2005,1,Comprobantes!$O$6:$O$2005,"Confirmado")</f>
        <v/>
      </c>
      <c r="D6" s="89">
        <f>SUMIFS(Comprobantes!$H$6:$H$2005,Comprobantes!$C$6:$C$2005,"Gasto variable",Comprobantes!$D$6:$D$2005,A6,Comprobantes!$L$6:$L$2005,Configuracion!$B$7,Comprobantes!$M$6:$M$2005,2,Comprobantes!$O$6:$O$2005,"Confirmado")</f>
        <v/>
      </c>
      <c r="E6" s="89">
        <f>SUMIFS(Comprobantes!$H$6:$H$2005,Comprobantes!$C$6:$C$2005,"Gasto variable",Comprobantes!$D$6:$D$2005,A6,Comprobantes!$L$6:$L$2005,Configuracion!$B$7,Comprobantes!$M$6:$M$2005,3,Comprobantes!$O$6:$O$2005,"Confirmado")</f>
        <v/>
      </c>
      <c r="F6" s="89">
        <f>SUMIFS(Comprobantes!$H$6:$H$2005,Comprobantes!$C$6:$C$2005,"Gasto variable",Comprobantes!$D$6:$D$2005,A6,Comprobantes!$L$6:$L$2005,Configuracion!$B$7,Comprobantes!$M$6:$M$2005,4,Comprobantes!$O$6:$O$2005,"Confirmado")</f>
        <v/>
      </c>
      <c r="G6" s="89">
        <f>SUMIFS(Comprobantes!$H$6:$H$2005,Comprobantes!$C$6:$C$2005,"Gasto variable",Comprobantes!$D$6:$D$2005,A6,Comprobantes!$L$6:$L$2005,Configuracion!$B$7,Comprobantes!$M$6:$M$2005,5,Comprobantes!$O$6:$O$2005,"Confirmado")</f>
        <v/>
      </c>
      <c r="H6" s="89">
        <f>SUMIFS(Comprobantes!$H$6:$H$2005,Comprobantes!$C$6:$C$2005,"Gasto variable",Comprobantes!$D$6:$D$2005,A6,Comprobantes!$L$6:$L$2005,Configuracion!$B$7,Comprobantes!$M$6:$M$2005,6,Comprobantes!$O$6:$O$2005,"Confirmado")</f>
        <v/>
      </c>
      <c r="I6" s="89">
        <f>SUMIFS(Comprobantes!$H$6:$H$2005,Comprobantes!$C$6:$C$2005,"Gasto variable",Comprobantes!$D$6:$D$2005,A6,Comprobantes!$L$6:$L$2005,Configuracion!$B$7,Comprobantes!$M$6:$M$2005,7,Comprobantes!$O$6:$O$2005,"Confirmado")</f>
        <v/>
      </c>
      <c r="J6" s="89">
        <f>SUMIFS(Comprobantes!$H$6:$H$2005,Comprobantes!$C$6:$C$2005,"Gasto variable",Comprobantes!$D$6:$D$2005,A6,Comprobantes!$L$6:$L$2005,Configuracion!$B$7,Comprobantes!$M$6:$M$2005,8,Comprobantes!$O$6:$O$2005,"Confirmado")</f>
        <v/>
      </c>
      <c r="K6" s="89">
        <f>SUMIFS(Comprobantes!$H$6:$H$2005,Comprobantes!$C$6:$C$2005,"Gasto variable",Comprobantes!$D$6:$D$2005,A6,Comprobantes!$L$6:$L$2005,Configuracion!$B$7,Comprobantes!$M$6:$M$2005,9,Comprobantes!$O$6:$O$2005,"Confirmado")</f>
        <v/>
      </c>
      <c r="L6" s="89">
        <f>SUMIFS(Comprobantes!$H$6:$H$2005,Comprobantes!$C$6:$C$2005,"Gasto variable",Comprobantes!$D$6:$D$2005,A6,Comprobantes!$L$6:$L$2005,Configuracion!$B$7,Comprobantes!$M$6:$M$2005,10,Comprobantes!$O$6:$O$2005,"Confirmado")</f>
        <v/>
      </c>
      <c r="M6" s="89">
        <f>SUMIFS(Comprobantes!$H$6:$H$2005,Comprobantes!$C$6:$C$2005,"Gasto variable",Comprobantes!$D$6:$D$2005,A6,Comprobantes!$L$6:$L$2005,Configuracion!$B$7,Comprobantes!$M$6:$M$2005,11,Comprobantes!$O$6:$O$2005,"Confirmado")</f>
        <v/>
      </c>
      <c r="N6" s="89">
        <f>SUMIFS(Comprobantes!$H$6:$H$2005,Comprobantes!$C$6:$C$2005,"Gasto variable",Comprobantes!$D$6:$D$2005,A6,Comprobantes!$L$6:$L$2005,Configuracion!$B$7,Comprobantes!$M$6:$M$2005,12,Comprobantes!$O$6:$O$2005,"Confirmado")</f>
        <v/>
      </c>
      <c r="O6" s="30">
        <f>SUM(C6:N6)</f>
        <v/>
      </c>
      <c r="P6" s="30">
        <f>SUMIFS(Comprobantes!$J$6:$J$2005,Comprobantes!$C$6:$C$2005,"Gasto variable",Comprobantes!$D$6:$D$2005,A6,Comprobantes!$L$6:$L$2005,Configuracion!$B$7,Comprobantes!$O$6:$O$2005,"Confirmado")</f>
        <v/>
      </c>
      <c r="Q6" s="30">
        <f>IFERROR(INDEX(C6:N6,1,Configuracion!$B$8),0)</f>
        <v/>
      </c>
      <c r="R6" s="30">
        <f>SUMIFS(Comprobantes!$J$6:$J$2005,Comprobantes!$C$6:$C$2005,"Gasto variable",Comprobantes!$D$6:$D$2005,A6,Comprobantes!$L$6:$L$2005,Configuracion!$B$7,Comprobantes!$M$6:$M$2005,Configuracion!$B$8,Comprobantes!$O$6:$O$2005,"Confirmado")</f>
        <v/>
      </c>
    </row>
    <row r="7">
      <c r="A7" s="74" t="inlineStr">
        <is>
          <t>Preparación y detailing</t>
        </is>
      </c>
      <c r="B7" s="9" t="inlineStr">
        <is>
          <t>Sí</t>
        </is>
      </c>
      <c r="C7" s="89">
        <f>SUMIFS(Comprobantes!$H$6:$H$2005,Comprobantes!$C$6:$C$2005,"Gasto variable",Comprobantes!$D$6:$D$2005,A7,Comprobantes!$L$6:$L$2005,Configuracion!$B$7,Comprobantes!$M$6:$M$2005,1,Comprobantes!$O$6:$O$2005,"Confirmado")</f>
        <v/>
      </c>
      <c r="D7" s="89">
        <f>SUMIFS(Comprobantes!$H$6:$H$2005,Comprobantes!$C$6:$C$2005,"Gasto variable",Comprobantes!$D$6:$D$2005,A7,Comprobantes!$L$6:$L$2005,Configuracion!$B$7,Comprobantes!$M$6:$M$2005,2,Comprobantes!$O$6:$O$2005,"Confirmado")</f>
        <v/>
      </c>
      <c r="E7" s="89">
        <f>SUMIFS(Comprobantes!$H$6:$H$2005,Comprobantes!$C$6:$C$2005,"Gasto variable",Comprobantes!$D$6:$D$2005,A7,Comprobantes!$L$6:$L$2005,Configuracion!$B$7,Comprobantes!$M$6:$M$2005,3,Comprobantes!$O$6:$O$2005,"Confirmado")</f>
        <v/>
      </c>
      <c r="F7" s="89">
        <f>SUMIFS(Comprobantes!$H$6:$H$2005,Comprobantes!$C$6:$C$2005,"Gasto variable",Comprobantes!$D$6:$D$2005,A7,Comprobantes!$L$6:$L$2005,Configuracion!$B$7,Comprobantes!$M$6:$M$2005,4,Comprobantes!$O$6:$O$2005,"Confirmado")</f>
        <v/>
      </c>
      <c r="G7" s="89">
        <f>SUMIFS(Comprobantes!$H$6:$H$2005,Comprobantes!$C$6:$C$2005,"Gasto variable",Comprobantes!$D$6:$D$2005,A7,Comprobantes!$L$6:$L$2005,Configuracion!$B$7,Comprobantes!$M$6:$M$2005,5,Comprobantes!$O$6:$O$2005,"Confirmado")</f>
        <v/>
      </c>
      <c r="H7" s="89">
        <f>SUMIFS(Comprobantes!$H$6:$H$2005,Comprobantes!$C$6:$C$2005,"Gasto variable",Comprobantes!$D$6:$D$2005,A7,Comprobantes!$L$6:$L$2005,Configuracion!$B$7,Comprobantes!$M$6:$M$2005,6,Comprobantes!$O$6:$O$2005,"Confirmado")</f>
        <v/>
      </c>
      <c r="I7" s="89">
        <f>SUMIFS(Comprobantes!$H$6:$H$2005,Comprobantes!$C$6:$C$2005,"Gasto variable",Comprobantes!$D$6:$D$2005,A7,Comprobantes!$L$6:$L$2005,Configuracion!$B$7,Comprobantes!$M$6:$M$2005,7,Comprobantes!$O$6:$O$2005,"Confirmado")</f>
        <v/>
      </c>
      <c r="J7" s="89">
        <f>SUMIFS(Comprobantes!$H$6:$H$2005,Comprobantes!$C$6:$C$2005,"Gasto variable",Comprobantes!$D$6:$D$2005,A7,Comprobantes!$L$6:$L$2005,Configuracion!$B$7,Comprobantes!$M$6:$M$2005,8,Comprobantes!$O$6:$O$2005,"Confirmado")</f>
        <v/>
      </c>
      <c r="K7" s="89">
        <f>SUMIFS(Comprobantes!$H$6:$H$2005,Comprobantes!$C$6:$C$2005,"Gasto variable",Comprobantes!$D$6:$D$2005,A7,Comprobantes!$L$6:$L$2005,Configuracion!$B$7,Comprobantes!$M$6:$M$2005,9,Comprobantes!$O$6:$O$2005,"Confirmado")</f>
        <v/>
      </c>
      <c r="L7" s="89">
        <f>SUMIFS(Comprobantes!$H$6:$H$2005,Comprobantes!$C$6:$C$2005,"Gasto variable",Comprobantes!$D$6:$D$2005,A7,Comprobantes!$L$6:$L$2005,Configuracion!$B$7,Comprobantes!$M$6:$M$2005,10,Comprobantes!$O$6:$O$2005,"Confirmado")</f>
        <v/>
      </c>
      <c r="M7" s="89">
        <f>SUMIFS(Comprobantes!$H$6:$H$2005,Comprobantes!$C$6:$C$2005,"Gasto variable",Comprobantes!$D$6:$D$2005,A7,Comprobantes!$L$6:$L$2005,Configuracion!$B$7,Comprobantes!$M$6:$M$2005,11,Comprobantes!$O$6:$O$2005,"Confirmado")</f>
        <v/>
      </c>
      <c r="N7" s="89">
        <f>SUMIFS(Comprobantes!$H$6:$H$2005,Comprobantes!$C$6:$C$2005,"Gasto variable",Comprobantes!$D$6:$D$2005,A7,Comprobantes!$L$6:$L$2005,Configuracion!$B$7,Comprobantes!$M$6:$M$2005,12,Comprobantes!$O$6:$O$2005,"Confirmado")</f>
        <v/>
      </c>
      <c r="O7" s="30">
        <f>SUM(C7:N7)</f>
        <v/>
      </c>
      <c r="P7" s="30">
        <f>SUMIFS(Comprobantes!$J$6:$J$2005,Comprobantes!$C$6:$C$2005,"Gasto variable",Comprobantes!$D$6:$D$2005,A7,Comprobantes!$L$6:$L$2005,Configuracion!$B$7,Comprobantes!$O$6:$O$2005,"Confirmado")</f>
        <v/>
      </c>
      <c r="Q7" s="30">
        <f>IFERROR(INDEX(C7:N7,1,Configuracion!$B$8),0)</f>
        <v/>
      </c>
      <c r="R7" s="30">
        <f>SUMIFS(Comprobantes!$J$6:$J$2005,Comprobantes!$C$6:$C$2005,"Gasto variable",Comprobantes!$D$6:$D$2005,A7,Comprobantes!$L$6:$L$2005,Configuracion!$B$7,Comprobantes!$M$6:$M$2005,Configuracion!$B$8,Comprobantes!$O$6:$O$2005,"Confirmado")</f>
        <v/>
      </c>
    </row>
    <row r="8">
      <c r="A8" s="74" t="inlineStr">
        <is>
          <t>Traslado / flete de vehículos</t>
        </is>
      </c>
      <c r="B8" s="9" t="inlineStr">
        <is>
          <t>Sí</t>
        </is>
      </c>
      <c r="C8" s="89">
        <f>SUMIFS(Comprobantes!$H$6:$H$2005,Comprobantes!$C$6:$C$2005,"Gasto variable",Comprobantes!$D$6:$D$2005,A8,Comprobantes!$L$6:$L$2005,Configuracion!$B$7,Comprobantes!$M$6:$M$2005,1,Comprobantes!$O$6:$O$2005,"Confirmado")</f>
        <v/>
      </c>
      <c r="D8" s="89">
        <f>SUMIFS(Comprobantes!$H$6:$H$2005,Comprobantes!$C$6:$C$2005,"Gasto variable",Comprobantes!$D$6:$D$2005,A8,Comprobantes!$L$6:$L$2005,Configuracion!$B$7,Comprobantes!$M$6:$M$2005,2,Comprobantes!$O$6:$O$2005,"Confirmado")</f>
        <v/>
      </c>
      <c r="E8" s="89">
        <f>SUMIFS(Comprobantes!$H$6:$H$2005,Comprobantes!$C$6:$C$2005,"Gasto variable",Comprobantes!$D$6:$D$2005,A8,Comprobantes!$L$6:$L$2005,Configuracion!$B$7,Comprobantes!$M$6:$M$2005,3,Comprobantes!$O$6:$O$2005,"Confirmado")</f>
        <v/>
      </c>
      <c r="F8" s="89">
        <f>SUMIFS(Comprobantes!$H$6:$H$2005,Comprobantes!$C$6:$C$2005,"Gasto variable",Comprobantes!$D$6:$D$2005,A8,Comprobantes!$L$6:$L$2005,Configuracion!$B$7,Comprobantes!$M$6:$M$2005,4,Comprobantes!$O$6:$O$2005,"Confirmado")</f>
        <v/>
      </c>
      <c r="G8" s="89">
        <f>SUMIFS(Comprobantes!$H$6:$H$2005,Comprobantes!$C$6:$C$2005,"Gasto variable",Comprobantes!$D$6:$D$2005,A8,Comprobantes!$L$6:$L$2005,Configuracion!$B$7,Comprobantes!$M$6:$M$2005,5,Comprobantes!$O$6:$O$2005,"Confirmado")</f>
        <v/>
      </c>
      <c r="H8" s="89">
        <f>SUMIFS(Comprobantes!$H$6:$H$2005,Comprobantes!$C$6:$C$2005,"Gasto variable",Comprobantes!$D$6:$D$2005,A8,Comprobantes!$L$6:$L$2005,Configuracion!$B$7,Comprobantes!$M$6:$M$2005,6,Comprobantes!$O$6:$O$2005,"Confirmado")</f>
        <v/>
      </c>
      <c r="I8" s="89">
        <f>SUMIFS(Comprobantes!$H$6:$H$2005,Comprobantes!$C$6:$C$2005,"Gasto variable",Comprobantes!$D$6:$D$2005,A8,Comprobantes!$L$6:$L$2005,Configuracion!$B$7,Comprobantes!$M$6:$M$2005,7,Comprobantes!$O$6:$O$2005,"Confirmado")</f>
        <v/>
      </c>
      <c r="J8" s="89">
        <f>SUMIFS(Comprobantes!$H$6:$H$2005,Comprobantes!$C$6:$C$2005,"Gasto variable",Comprobantes!$D$6:$D$2005,A8,Comprobantes!$L$6:$L$2005,Configuracion!$B$7,Comprobantes!$M$6:$M$2005,8,Comprobantes!$O$6:$O$2005,"Confirmado")</f>
        <v/>
      </c>
      <c r="K8" s="89">
        <f>SUMIFS(Comprobantes!$H$6:$H$2005,Comprobantes!$C$6:$C$2005,"Gasto variable",Comprobantes!$D$6:$D$2005,A8,Comprobantes!$L$6:$L$2005,Configuracion!$B$7,Comprobantes!$M$6:$M$2005,9,Comprobantes!$O$6:$O$2005,"Confirmado")</f>
        <v/>
      </c>
      <c r="L8" s="89">
        <f>SUMIFS(Comprobantes!$H$6:$H$2005,Comprobantes!$C$6:$C$2005,"Gasto variable",Comprobantes!$D$6:$D$2005,A8,Comprobantes!$L$6:$L$2005,Configuracion!$B$7,Comprobantes!$M$6:$M$2005,10,Comprobantes!$O$6:$O$2005,"Confirmado")</f>
        <v/>
      </c>
      <c r="M8" s="89">
        <f>SUMIFS(Comprobantes!$H$6:$H$2005,Comprobantes!$C$6:$C$2005,"Gasto variable",Comprobantes!$D$6:$D$2005,A8,Comprobantes!$L$6:$L$2005,Configuracion!$B$7,Comprobantes!$M$6:$M$2005,11,Comprobantes!$O$6:$O$2005,"Confirmado")</f>
        <v/>
      </c>
      <c r="N8" s="89">
        <f>SUMIFS(Comprobantes!$H$6:$H$2005,Comprobantes!$C$6:$C$2005,"Gasto variable",Comprobantes!$D$6:$D$2005,A8,Comprobantes!$L$6:$L$2005,Configuracion!$B$7,Comprobantes!$M$6:$M$2005,12,Comprobantes!$O$6:$O$2005,"Confirmado")</f>
        <v/>
      </c>
      <c r="O8" s="30">
        <f>SUM(C8:N8)</f>
        <v/>
      </c>
      <c r="P8" s="30">
        <f>SUMIFS(Comprobantes!$J$6:$J$2005,Comprobantes!$C$6:$C$2005,"Gasto variable",Comprobantes!$D$6:$D$2005,A8,Comprobantes!$L$6:$L$2005,Configuracion!$B$7,Comprobantes!$O$6:$O$2005,"Confirmado")</f>
        <v/>
      </c>
      <c r="Q8" s="30">
        <f>IFERROR(INDEX(C8:N8,1,Configuracion!$B$8),0)</f>
        <v/>
      </c>
      <c r="R8" s="30">
        <f>SUMIFS(Comprobantes!$J$6:$J$2005,Comprobantes!$C$6:$C$2005,"Gasto variable",Comprobantes!$D$6:$D$2005,A8,Comprobantes!$L$6:$L$2005,Configuracion!$B$7,Comprobantes!$M$6:$M$2005,Configuracion!$B$8,Comprobantes!$O$6:$O$2005,"Confirmado")</f>
        <v/>
      </c>
    </row>
    <row r="9">
      <c r="A9" s="74" t="inlineStr">
        <is>
          <t>Combustible</t>
        </is>
      </c>
      <c r="B9" s="9" t="inlineStr">
        <is>
          <t>Sí</t>
        </is>
      </c>
      <c r="C9" s="89">
        <f>SUMIFS(Comprobantes!$H$6:$H$2005,Comprobantes!$C$6:$C$2005,"Gasto variable",Comprobantes!$D$6:$D$2005,A9,Comprobantes!$L$6:$L$2005,Configuracion!$B$7,Comprobantes!$M$6:$M$2005,1,Comprobantes!$O$6:$O$2005,"Confirmado")</f>
        <v/>
      </c>
      <c r="D9" s="89">
        <f>SUMIFS(Comprobantes!$H$6:$H$2005,Comprobantes!$C$6:$C$2005,"Gasto variable",Comprobantes!$D$6:$D$2005,A9,Comprobantes!$L$6:$L$2005,Configuracion!$B$7,Comprobantes!$M$6:$M$2005,2,Comprobantes!$O$6:$O$2005,"Confirmado")</f>
        <v/>
      </c>
      <c r="E9" s="89">
        <f>SUMIFS(Comprobantes!$H$6:$H$2005,Comprobantes!$C$6:$C$2005,"Gasto variable",Comprobantes!$D$6:$D$2005,A9,Comprobantes!$L$6:$L$2005,Configuracion!$B$7,Comprobantes!$M$6:$M$2005,3,Comprobantes!$O$6:$O$2005,"Confirmado")</f>
        <v/>
      </c>
      <c r="F9" s="89">
        <f>SUMIFS(Comprobantes!$H$6:$H$2005,Comprobantes!$C$6:$C$2005,"Gasto variable",Comprobantes!$D$6:$D$2005,A9,Comprobantes!$L$6:$L$2005,Configuracion!$B$7,Comprobantes!$M$6:$M$2005,4,Comprobantes!$O$6:$O$2005,"Confirmado")</f>
        <v/>
      </c>
      <c r="G9" s="89">
        <f>SUMIFS(Comprobantes!$H$6:$H$2005,Comprobantes!$C$6:$C$2005,"Gasto variable",Comprobantes!$D$6:$D$2005,A9,Comprobantes!$L$6:$L$2005,Configuracion!$B$7,Comprobantes!$M$6:$M$2005,5,Comprobantes!$O$6:$O$2005,"Confirmado")</f>
        <v/>
      </c>
      <c r="H9" s="89">
        <f>SUMIFS(Comprobantes!$H$6:$H$2005,Comprobantes!$C$6:$C$2005,"Gasto variable",Comprobantes!$D$6:$D$2005,A9,Comprobantes!$L$6:$L$2005,Configuracion!$B$7,Comprobantes!$M$6:$M$2005,6,Comprobantes!$O$6:$O$2005,"Confirmado")</f>
        <v/>
      </c>
      <c r="I9" s="89">
        <f>SUMIFS(Comprobantes!$H$6:$H$2005,Comprobantes!$C$6:$C$2005,"Gasto variable",Comprobantes!$D$6:$D$2005,A9,Comprobantes!$L$6:$L$2005,Configuracion!$B$7,Comprobantes!$M$6:$M$2005,7,Comprobantes!$O$6:$O$2005,"Confirmado")</f>
        <v/>
      </c>
      <c r="J9" s="89">
        <f>SUMIFS(Comprobantes!$H$6:$H$2005,Comprobantes!$C$6:$C$2005,"Gasto variable",Comprobantes!$D$6:$D$2005,A9,Comprobantes!$L$6:$L$2005,Configuracion!$B$7,Comprobantes!$M$6:$M$2005,8,Comprobantes!$O$6:$O$2005,"Confirmado")</f>
        <v/>
      </c>
      <c r="K9" s="89">
        <f>SUMIFS(Comprobantes!$H$6:$H$2005,Comprobantes!$C$6:$C$2005,"Gasto variable",Comprobantes!$D$6:$D$2005,A9,Comprobantes!$L$6:$L$2005,Configuracion!$B$7,Comprobantes!$M$6:$M$2005,9,Comprobantes!$O$6:$O$2005,"Confirmado")</f>
        <v/>
      </c>
      <c r="L9" s="89">
        <f>SUMIFS(Comprobantes!$H$6:$H$2005,Comprobantes!$C$6:$C$2005,"Gasto variable",Comprobantes!$D$6:$D$2005,A9,Comprobantes!$L$6:$L$2005,Configuracion!$B$7,Comprobantes!$M$6:$M$2005,10,Comprobantes!$O$6:$O$2005,"Confirmado")</f>
        <v/>
      </c>
      <c r="M9" s="89">
        <f>SUMIFS(Comprobantes!$H$6:$H$2005,Comprobantes!$C$6:$C$2005,"Gasto variable",Comprobantes!$D$6:$D$2005,A9,Comprobantes!$L$6:$L$2005,Configuracion!$B$7,Comprobantes!$M$6:$M$2005,11,Comprobantes!$O$6:$O$2005,"Confirmado")</f>
        <v/>
      </c>
      <c r="N9" s="89">
        <f>SUMIFS(Comprobantes!$H$6:$H$2005,Comprobantes!$C$6:$C$2005,"Gasto variable",Comprobantes!$D$6:$D$2005,A9,Comprobantes!$L$6:$L$2005,Configuracion!$B$7,Comprobantes!$M$6:$M$2005,12,Comprobantes!$O$6:$O$2005,"Confirmado")</f>
        <v/>
      </c>
      <c r="O9" s="30">
        <f>SUM(C9:N9)</f>
        <v/>
      </c>
      <c r="P9" s="30">
        <f>SUMIFS(Comprobantes!$J$6:$J$2005,Comprobantes!$C$6:$C$2005,"Gasto variable",Comprobantes!$D$6:$D$2005,A9,Comprobantes!$L$6:$L$2005,Configuracion!$B$7,Comprobantes!$O$6:$O$2005,"Confirmado")</f>
        <v/>
      </c>
      <c r="Q9" s="30">
        <f>IFERROR(INDEX(C9:N9,1,Configuracion!$B$8),0)</f>
        <v/>
      </c>
      <c r="R9" s="30">
        <f>SUMIFS(Comprobantes!$J$6:$J$2005,Comprobantes!$C$6:$C$2005,"Gasto variable",Comprobantes!$D$6:$D$2005,A9,Comprobantes!$L$6:$L$2005,Configuracion!$B$7,Comprobantes!$M$6:$M$2005,Configuracion!$B$8,Comprobantes!$O$6:$O$2005,"Confirmado")</f>
        <v/>
      </c>
    </row>
    <row r="10">
      <c r="A10" s="74" t="inlineStr">
        <is>
          <t>Garantía y postventa</t>
        </is>
      </c>
      <c r="B10" s="9" t="inlineStr">
        <is>
          <t>Sí</t>
        </is>
      </c>
      <c r="C10" s="89">
        <f>SUMIFS(Comprobantes!$H$6:$H$2005,Comprobantes!$C$6:$C$2005,"Gasto variable",Comprobantes!$D$6:$D$2005,A10,Comprobantes!$L$6:$L$2005,Configuracion!$B$7,Comprobantes!$M$6:$M$2005,1,Comprobantes!$O$6:$O$2005,"Confirmado")</f>
        <v/>
      </c>
      <c r="D10" s="89">
        <f>SUMIFS(Comprobantes!$H$6:$H$2005,Comprobantes!$C$6:$C$2005,"Gasto variable",Comprobantes!$D$6:$D$2005,A10,Comprobantes!$L$6:$L$2005,Configuracion!$B$7,Comprobantes!$M$6:$M$2005,2,Comprobantes!$O$6:$O$2005,"Confirmado")</f>
        <v/>
      </c>
      <c r="E10" s="89">
        <f>SUMIFS(Comprobantes!$H$6:$H$2005,Comprobantes!$C$6:$C$2005,"Gasto variable",Comprobantes!$D$6:$D$2005,A10,Comprobantes!$L$6:$L$2005,Configuracion!$B$7,Comprobantes!$M$6:$M$2005,3,Comprobantes!$O$6:$O$2005,"Confirmado")</f>
        <v/>
      </c>
      <c r="F10" s="89">
        <f>SUMIFS(Comprobantes!$H$6:$H$2005,Comprobantes!$C$6:$C$2005,"Gasto variable",Comprobantes!$D$6:$D$2005,A10,Comprobantes!$L$6:$L$2005,Configuracion!$B$7,Comprobantes!$M$6:$M$2005,4,Comprobantes!$O$6:$O$2005,"Confirmado")</f>
        <v/>
      </c>
      <c r="G10" s="89">
        <f>SUMIFS(Comprobantes!$H$6:$H$2005,Comprobantes!$C$6:$C$2005,"Gasto variable",Comprobantes!$D$6:$D$2005,A10,Comprobantes!$L$6:$L$2005,Configuracion!$B$7,Comprobantes!$M$6:$M$2005,5,Comprobantes!$O$6:$O$2005,"Confirmado")</f>
        <v/>
      </c>
      <c r="H10" s="89">
        <f>SUMIFS(Comprobantes!$H$6:$H$2005,Comprobantes!$C$6:$C$2005,"Gasto variable",Comprobantes!$D$6:$D$2005,A10,Comprobantes!$L$6:$L$2005,Configuracion!$B$7,Comprobantes!$M$6:$M$2005,6,Comprobantes!$O$6:$O$2005,"Confirmado")</f>
        <v/>
      </c>
      <c r="I10" s="89">
        <f>SUMIFS(Comprobantes!$H$6:$H$2005,Comprobantes!$C$6:$C$2005,"Gasto variable",Comprobantes!$D$6:$D$2005,A10,Comprobantes!$L$6:$L$2005,Configuracion!$B$7,Comprobantes!$M$6:$M$2005,7,Comprobantes!$O$6:$O$2005,"Confirmado")</f>
        <v/>
      </c>
      <c r="J10" s="89">
        <f>SUMIFS(Comprobantes!$H$6:$H$2005,Comprobantes!$C$6:$C$2005,"Gasto variable",Comprobantes!$D$6:$D$2005,A10,Comprobantes!$L$6:$L$2005,Configuracion!$B$7,Comprobantes!$M$6:$M$2005,8,Comprobantes!$O$6:$O$2005,"Confirmado")</f>
        <v/>
      </c>
      <c r="K10" s="89">
        <f>SUMIFS(Comprobantes!$H$6:$H$2005,Comprobantes!$C$6:$C$2005,"Gasto variable",Comprobantes!$D$6:$D$2005,A10,Comprobantes!$L$6:$L$2005,Configuracion!$B$7,Comprobantes!$M$6:$M$2005,9,Comprobantes!$O$6:$O$2005,"Confirmado")</f>
        <v/>
      </c>
      <c r="L10" s="89">
        <f>SUMIFS(Comprobantes!$H$6:$H$2005,Comprobantes!$C$6:$C$2005,"Gasto variable",Comprobantes!$D$6:$D$2005,A10,Comprobantes!$L$6:$L$2005,Configuracion!$B$7,Comprobantes!$M$6:$M$2005,10,Comprobantes!$O$6:$O$2005,"Confirmado")</f>
        <v/>
      </c>
      <c r="M10" s="89">
        <f>SUMIFS(Comprobantes!$H$6:$H$2005,Comprobantes!$C$6:$C$2005,"Gasto variable",Comprobantes!$D$6:$D$2005,A10,Comprobantes!$L$6:$L$2005,Configuracion!$B$7,Comprobantes!$M$6:$M$2005,11,Comprobantes!$O$6:$O$2005,"Confirmado")</f>
        <v/>
      </c>
      <c r="N10" s="89">
        <f>SUMIFS(Comprobantes!$H$6:$H$2005,Comprobantes!$C$6:$C$2005,"Gasto variable",Comprobantes!$D$6:$D$2005,A10,Comprobantes!$L$6:$L$2005,Configuracion!$B$7,Comprobantes!$M$6:$M$2005,12,Comprobantes!$O$6:$O$2005,"Confirmado")</f>
        <v/>
      </c>
      <c r="O10" s="30">
        <f>SUM(C10:N10)</f>
        <v/>
      </c>
      <c r="P10" s="30">
        <f>SUMIFS(Comprobantes!$J$6:$J$2005,Comprobantes!$C$6:$C$2005,"Gasto variable",Comprobantes!$D$6:$D$2005,A10,Comprobantes!$L$6:$L$2005,Configuracion!$B$7,Comprobantes!$O$6:$O$2005,"Confirmado")</f>
        <v/>
      </c>
      <c r="Q10" s="30">
        <f>IFERROR(INDEX(C10:N10,1,Configuracion!$B$8),0)</f>
        <v/>
      </c>
      <c r="R10" s="30">
        <f>SUMIFS(Comprobantes!$J$6:$J$2005,Comprobantes!$C$6:$C$2005,"Gasto variable",Comprobantes!$D$6:$D$2005,A10,Comprobantes!$L$6:$L$2005,Configuracion!$B$7,Comprobantes!$M$6:$M$2005,Configuracion!$B$8,Comprobantes!$O$6:$O$2005,"Confirmado")</f>
        <v/>
      </c>
    </row>
    <row r="11">
      <c r="A11" s="74" t="inlineStr">
        <is>
          <t>Transferencia / notaría / TAG</t>
        </is>
      </c>
      <c r="B11" s="9" t="inlineStr">
        <is>
          <t>No</t>
        </is>
      </c>
      <c r="C11" s="89">
        <f>SUMIFS(Comprobantes!$H$6:$H$2005,Comprobantes!$C$6:$C$2005,"Gasto variable",Comprobantes!$D$6:$D$2005,A11,Comprobantes!$L$6:$L$2005,Configuracion!$B$7,Comprobantes!$M$6:$M$2005,1,Comprobantes!$O$6:$O$2005,"Confirmado")</f>
        <v/>
      </c>
      <c r="D11" s="89">
        <f>SUMIFS(Comprobantes!$H$6:$H$2005,Comprobantes!$C$6:$C$2005,"Gasto variable",Comprobantes!$D$6:$D$2005,A11,Comprobantes!$L$6:$L$2005,Configuracion!$B$7,Comprobantes!$M$6:$M$2005,2,Comprobantes!$O$6:$O$2005,"Confirmado")</f>
        <v/>
      </c>
      <c r="E11" s="89">
        <f>SUMIFS(Comprobantes!$H$6:$H$2005,Comprobantes!$C$6:$C$2005,"Gasto variable",Comprobantes!$D$6:$D$2005,A11,Comprobantes!$L$6:$L$2005,Configuracion!$B$7,Comprobantes!$M$6:$M$2005,3,Comprobantes!$O$6:$O$2005,"Confirmado")</f>
        <v/>
      </c>
      <c r="F11" s="89">
        <f>SUMIFS(Comprobantes!$H$6:$H$2005,Comprobantes!$C$6:$C$2005,"Gasto variable",Comprobantes!$D$6:$D$2005,A11,Comprobantes!$L$6:$L$2005,Configuracion!$B$7,Comprobantes!$M$6:$M$2005,4,Comprobantes!$O$6:$O$2005,"Confirmado")</f>
        <v/>
      </c>
      <c r="G11" s="89">
        <f>SUMIFS(Comprobantes!$H$6:$H$2005,Comprobantes!$C$6:$C$2005,"Gasto variable",Comprobantes!$D$6:$D$2005,A11,Comprobantes!$L$6:$L$2005,Configuracion!$B$7,Comprobantes!$M$6:$M$2005,5,Comprobantes!$O$6:$O$2005,"Confirmado")</f>
        <v/>
      </c>
      <c r="H11" s="89">
        <f>SUMIFS(Comprobantes!$H$6:$H$2005,Comprobantes!$C$6:$C$2005,"Gasto variable",Comprobantes!$D$6:$D$2005,A11,Comprobantes!$L$6:$L$2005,Configuracion!$B$7,Comprobantes!$M$6:$M$2005,6,Comprobantes!$O$6:$O$2005,"Confirmado")</f>
        <v/>
      </c>
      <c r="I11" s="89">
        <f>SUMIFS(Comprobantes!$H$6:$H$2005,Comprobantes!$C$6:$C$2005,"Gasto variable",Comprobantes!$D$6:$D$2005,A11,Comprobantes!$L$6:$L$2005,Configuracion!$B$7,Comprobantes!$M$6:$M$2005,7,Comprobantes!$O$6:$O$2005,"Confirmado")</f>
        <v/>
      </c>
      <c r="J11" s="89">
        <f>SUMIFS(Comprobantes!$H$6:$H$2005,Comprobantes!$C$6:$C$2005,"Gasto variable",Comprobantes!$D$6:$D$2005,A11,Comprobantes!$L$6:$L$2005,Configuracion!$B$7,Comprobantes!$M$6:$M$2005,8,Comprobantes!$O$6:$O$2005,"Confirmado")</f>
        <v/>
      </c>
      <c r="K11" s="89">
        <f>SUMIFS(Comprobantes!$H$6:$H$2005,Comprobantes!$C$6:$C$2005,"Gasto variable",Comprobantes!$D$6:$D$2005,A11,Comprobantes!$L$6:$L$2005,Configuracion!$B$7,Comprobantes!$M$6:$M$2005,9,Comprobantes!$O$6:$O$2005,"Confirmado")</f>
        <v/>
      </c>
      <c r="L11" s="89">
        <f>SUMIFS(Comprobantes!$H$6:$H$2005,Comprobantes!$C$6:$C$2005,"Gasto variable",Comprobantes!$D$6:$D$2005,A11,Comprobantes!$L$6:$L$2005,Configuracion!$B$7,Comprobantes!$M$6:$M$2005,10,Comprobantes!$O$6:$O$2005,"Confirmado")</f>
        <v/>
      </c>
      <c r="M11" s="89">
        <f>SUMIFS(Comprobantes!$H$6:$H$2005,Comprobantes!$C$6:$C$2005,"Gasto variable",Comprobantes!$D$6:$D$2005,A11,Comprobantes!$L$6:$L$2005,Configuracion!$B$7,Comprobantes!$M$6:$M$2005,11,Comprobantes!$O$6:$O$2005,"Confirmado")</f>
        <v/>
      </c>
      <c r="N11" s="89">
        <f>SUMIFS(Comprobantes!$H$6:$H$2005,Comprobantes!$C$6:$C$2005,"Gasto variable",Comprobantes!$D$6:$D$2005,A11,Comprobantes!$L$6:$L$2005,Configuracion!$B$7,Comprobantes!$M$6:$M$2005,12,Comprobantes!$O$6:$O$2005,"Confirmado")</f>
        <v/>
      </c>
      <c r="O11" s="30">
        <f>SUM(C11:N11)</f>
        <v/>
      </c>
      <c r="P11" s="30">
        <f>SUMIFS(Comprobantes!$J$6:$J$2005,Comprobantes!$C$6:$C$2005,"Gasto variable",Comprobantes!$D$6:$D$2005,A11,Comprobantes!$L$6:$L$2005,Configuracion!$B$7,Comprobantes!$O$6:$O$2005,"Confirmado")</f>
        <v/>
      </c>
      <c r="Q11" s="30">
        <f>IFERROR(INDEX(C11:N11,1,Configuracion!$B$8),0)</f>
        <v/>
      </c>
      <c r="R11" s="30">
        <f>SUMIFS(Comprobantes!$J$6:$J$2005,Comprobantes!$C$6:$C$2005,"Gasto variable",Comprobantes!$D$6:$D$2005,A11,Comprobantes!$L$6:$L$2005,Configuracion!$B$7,Comprobantes!$M$6:$M$2005,Configuracion!$B$8,Comprobantes!$O$6:$O$2005,"Confirmado")</f>
        <v/>
      </c>
    </row>
    <row r="12">
      <c r="A12" s="74" t="inlineStr">
        <is>
          <t>Intereses y gastos bancarios</t>
        </is>
      </c>
      <c r="B12" s="9" t="inlineStr">
        <is>
          <t>No</t>
        </is>
      </c>
      <c r="C12" s="89">
        <f>SUMIFS(Comprobantes!$H$6:$H$2005,Comprobantes!$C$6:$C$2005,"Gasto variable",Comprobantes!$D$6:$D$2005,A12,Comprobantes!$L$6:$L$2005,Configuracion!$B$7,Comprobantes!$M$6:$M$2005,1,Comprobantes!$O$6:$O$2005,"Confirmado")</f>
        <v/>
      </c>
      <c r="D12" s="89">
        <f>SUMIFS(Comprobantes!$H$6:$H$2005,Comprobantes!$C$6:$C$2005,"Gasto variable",Comprobantes!$D$6:$D$2005,A12,Comprobantes!$L$6:$L$2005,Configuracion!$B$7,Comprobantes!$M$6:$M$2005,2,Comprobantes!$O$6:$O$2005,"Confirmado")</f>
        <v/>
      </c>
      <c r="E12" s="89">
        <f>SUMIFS(Comprobantes!$H$6:$H$2005,Comprobantes!$C$6:$C$2005,"Gasto variable",Comprobantes!$D$6:$D$2005,A12,Comprobantes!$L$6:$L$2005,Configuracion!$B$7,Comprobantes!$M$6:$M$2005,3,Comprobantes!$O$6:$O$2005,"Confirmado")</f>
        <v/>
      </c>
      <c r="F12" s="89">
        <f>SUMIFS(Comprobantes!$H$6:$H$2005,Comprobantes!$C$6:$C$2005,"Gasto variable",Comprobantes!$D$6:$D$2005,A12,Comprobantes!$L$6:$L$2005,Configuracion!$B$7,Comprobantes!$M$6:$M$2005,4,Comprobantes!$O$6:$O$2005,"Confirmado")</f>
        <v/>
      </c>
      <c r="G12" s="89">
        <f>SUMIFS(Comprobantes!$H$6:$H$2005,Comprobantes!$C$6:$C$2005,"Gasto variable",Comprobantes!$D$6:$D$2005,A12,Comprobantes!$L$6:$L$2005,Configuracion!$B$7,Comprobantes!$M$6:$M$2005,5,Comprobantes!$O$6:$O$2005,"Confirmado")</f>
        <v/>
      </c>
      <c r="H12" s="89">
        <f>SUMIFS(Comprobantes!$H$6:$H$2005,Comprobantes!$C$6:$C$2005,"Gasto variable",Comprobantes!$D$6:$D$2005,A12,Comprobantes!$L$6:$L$2005,Configuracion!$B$7,Comprobantes!$M$6:$M$2005,6,Comprobantes!$O$6:$O$2005,"Confirmado")</f>
        <v/>
      </c>
      <c r="I12" s="89">
        <f>SUMIFS(Comprobantes!$H$6:$H$2005,Comprobantes!$C$6:$C$2005,"Gasto variable",Comprobantes!$D$6:$D$2005,A12,Comprobantes!$L$6:$L$2005,Configuracion!$B$7,Comprobantes!$M$6:$M$2005,7,Comprobantes!$O$6:$O$2005,"Confirmado")</f>
        <v/>
      </c>
      <c r="J12" s="89">
        <f>SUMIFS(Comprobantes!$H$6:$H$2005,Comprobantes!$C$6:$C$2005,"Gasto variable",Comprobantes!$D$6:$D$2005,A12,Comprobantes!$L$6:$L$2005,Configuracion!$B$7,Comprobantes!$M$6:$M$2005,8,Comprobantes!$O$6:$O$2005,"Confirmado")</f>
        <v/>
      </c>
      <c r="K12" s="89">
        <f>SUMIFS(Comprobantes!$H$6:$H$2005,Comprobantes!$C$6:$C$2005,"Gasto variable",Comprobantes!$D$6:$D$2005,A12,Comprobantes!$L$6:$L$2005,Configuracion!$B$7,Comprobantes!$M$6:$M$2005,9,Comprobantes!$O$6:$O$2005,"Confirmado")</f>
        <v/>
      </c>
      <c r="L12" s="89">
        <f>SUMIFS(Comprobantes!$H$6:$H$2005,Comprobantes!$C$6:$C$2005,"Gasto variable",Comprobantes!$D$6:$D$2005,A12,Comprobantes!$L$6:$L$2005,Configuracion!$B$7,Comprobantes!$M$6:$M$2005,10,Comprobantes!$O$6:$O$2005,"Confirmado")</f>
        <v/>
      </c>
      <c r="M12" s="89">
        <f>SUMIFS(Comprobantes!$H$6:$H$2005,Comprobantes!$C$6:$C$2005,"Gasto variable",Comprobantes!$D$6:$D$2005,A12,Comprobantes!$L$6:$L$2005,Configuracion!$B$7,Comprobantes!$M$6:$M$2005,11,Comprobantes!$O$6:$O$2005,"Confirmado")</f>
        <v/>
      </c>
      <c r="N12" s="89">
        <f>SUMIFS(Comprobantes!$H$6:$H$2005,Comprobantes!$C$6:$C$2005,"Gasto variable",Comprobantes!$D$6:$D$2005,A12,Comprobantes!$L$6:$L$2005,Configuracion!$B$7,Comprobantes!$M$6:$M$2005,12,Comprobantes!$O$6:$O$2005,"Confirmado")</f>
        <v/>
      </c>
      <c r="O12" s="30">
        <f>SUM(C12:N12)</f>
        <v/>
      </c>
      <c r="P12" s="30">
        <f>SUMIFS(Comprobantes!$J$6:$J$2005,Comprobantes!$C$6:$C$2005,"Gasto variable",Comprobantes!$D$6:$D$2005,A12,Comprobantes!$L$6:$L$2005,Configuracion!$B$7,Comprobantes!$O$6:$O$2005,"Confirmado")</f>
        <v/>
      </c>
      <c r="Q12" s="30">
        <f>IFERROR(INDEX(C12:N12,1,Configuracion!$B$8),0)</f>
        <v/>
      </c>
      <c r="R12" s="30">
        <f>SUMIFS(Comprobantes!$J$6:$J$2005,Comprobantes!$C$6:$C$2005,"Gasto variable",Comprobantes!$D$6:$D$2005,A12,Comprobantes!$L$6:$L$2005,Configuracion!$B$7,Comprobantes!$M$6:$M$2005,Configuracion!$B$8,Comprobantes!$O$6:$O$2005,"Confirmado")</f>
        <v/>
      </c>
    </row>
    <row r="13">
      <c r="A13" s="74" t="inlineStr">
        <is>
          <t>Comisiones Transbank / Webpay</t>
        </is>
      </c>
      <c r="B13" s="9" t="inlineStr">
        <is>
          <t>Sí</t>
        </is>
      </c>
      <c r="C13" s="89">
        <f>SUMIFS(Comprobantes!$H$6:$H$2005,Comprobantes!$C$6:$C$2005,"Gasto variable",Comprobantes!$D$6:$D$2005,A13,Comprobantes!$L$6:$L$2005,Configuracion!$B$7,Comprobantes!$M$6:$M$2005,1,Comprobantes!$O$6:$O$2005,"Confirmado")</f>
        <v/>
      </c>
      <c r="D13" s="89">
        <f>SUMIFS(Comprobantes!$H$6:$H$2005,Comprobantes!$C$6:$C$2005,"Gasto variable",Comprobantes!$D$6:$D$2005,A13,Comprobantes!$L$6:$L$2005,Configuracion!$B$7,Comprobantes!$M$6:$M$2005,2,Comprobantes!$O$6:$O$2005,"Confirmado")</f>
        <v/>
      </c>
      <c r="E13" s="89">
        <f>SUMIFS(Comprobantes!$H$6:$H$2005,Comprobantes!$C$6:$C$2005,"Gasto variable",Comprobantes!$D$6:$D$2005,A13,Comprobantes!$L$6:$L$2005,Configuracion!$B$7,Comprobantes!$M$6:$M$2005,3,Comprobantes!$O$6:$O$2005,"Confirmado")</f>
        <v/>
      </c>
      <c r="F13" s="89">
        <f>SUMIFS(Comprobantes!$H$6:$H$2005,Comprobantes!$C$6:$C$2005,"Gasto variable",Comprobantes!$D$6:$D$2005,A13,Comprobantes!$L$6:$L$2005,Configuracion!$B$7,Comprobantes!$M$6:$M$2005,4,Comprobantes!$O$6:$O$2005,"Confirmado")</f>
        <v/>
      </c>
      <c r="G13" s="89">
        <f>SUMIFS(Comprobantes!$H$6:$H$2005,Comprobantes!$C$6:$C$2005,"Gasto variable",Comprobantes!$D$6:$D$2005,A13,Comprobantes!$L$6:$L$2005,Configuracion!$B$7,Comprobantes!$M$6:$M$2005,5,Comprobantes!$O$6:$O$2005,"Confirmado")</f>
        <v/>
      </c>
      <c r="H13" s="89">
        <f>SUMIFS(Comprobantes!$H$6:$H$2005,Comprobantes!$C$6:$C$2005,"Gasto variable",Comprobantes!$D$6:$D$2005,A13,Comprobantes!$L$6:$L$2005,Configuracion!$B$7,Comprobantes!$M$6:$M$2005,6,Comprobantes!$O$6:$O$2005,"Confirmado")</f>
        <v/>
      </c>
      <c r="I13" s="89">
        <f>SUMIFS(Comprobantes!$H$6:$H$2005,Comprobantes!$C$6:$C$2005,"Gasto variable",Comprobantes!$D$6:$D$2005,A13,Comprobantes!$L$6:$L$2005,Configuracion!$B$7,Comprobantes!$M$6:$M$2005,7,Comprobantes!$O$6:$O$2005,"Confirmado")</f>
        <v/>
      </c>
      <c r="J13" s="89">
        <f>SUMIFS(Comprobantes!$H$6:$H$2005,Comprobantes!$C$6:$C$2005,"Gasto variable",Comprobantes!$D$6:$D$2005,A13,Comprobantes!$L$6:$L$2005,Configuracion!$B$7,Comprobantes!$M$6:$M$2005,8,Comprobantes!$O$6:$O$2005,"Confirmado")</f>
        <v/>
      </c>
      <c r="K13" s="89">
        <f>SUMIFS(Comprobantes!$H$6:$H$2005,Comprobantes!$C$6:$C$2005,"Gasto variable",Comprobantes!$D$6:$D$2005,A13,Comprobantes!$L$6:$L$2005,Configuracion!$B$7,Comprobantes!$M$6:$M$2005,9,Comprobantes!$O$6:$O$2005,"Confirmado")</f>
        <v/>
      </c>
      <c r="L13" s="89">
        <f>SUMIFS(Comprobantes!$H$6:$H$2005,Comprobantes!$C$6:$C$2005,"Gasto variable",Comprobantes!$D$6:$D$2005,A13,Comprobantes!$L$6:$L$2005,Configuracion!$B$7,Comprobantes!$M$6:$M$2005,10,Comprobantes!$O$6:$O$2005,"Confirmado")</f>
        <v/>
      </c>
      <c r="M13" s="89">
        <f>SUMIFS(Comprobantes!$H$6:$H$2005,Comprobantes!$C$6:$C$2005,"Gasto variable",Comprobantes!$D$6:$D$2005,A13,Comprobantes!$L$6:$L$2005,Configuracion!$B$7,Comprobantes!$M$6:$M$2005,11,Comprobantes!$O$6:$O$2005,"Confirmado")</f>
        <v/>
      </c>
      <c r="N13" s="89">
        <f>SUMIFS(Comprobantes!$H$6:$H$2005,Comprobantes!$C$6:$C$2005,"Gasto variable",Comprobantes!$D$6:$D$2005,A13,Comprobantes!$L$6:$L$2005,Configuracion!$B$7,Comprobantes!$M$6:$M$2005,12,Comprobantes!$O$6:$O$2005,"Confirmado")</f>
        <v/>
      </c>
      <c r="O13" s="30">
        <f>SUM(C13:N13)</f>
        <v/>
      </c>
      <c r="P13" s="30">
        <f>SUMIFS(Comprobantes!$J$6:$J$2005,Comprobantes!$C$6:$C$2005,"Gasto variable",Comprobantes!$D$6:$D$2005,A13,Comprobantes!$L$6:$L$2005,Configuracion!$B$7,Comprobantes!$O$6:$O$2005,"Confirmado")</f>
        <v/>
      </c>
      <c r="Q13" s="30">
        <f>IFERROR(INDEX(C13:N13,1,Configuracion!$B$8),0)</f>
        <v/>
      </c>
      <c r="R13" s="30">
        <f>SUMIFS(Comprobantes!$J$6:$J$2005,Comprobantes!$C$6:$C$2005,"Gasto variable",Comprobantes!$D$6:$D$2005,A13,Comprobantes!$L$6:$L$2005,Configuracion!$B$7,Comprobantes!$M$6:$M$2005,Configuracion!$B$8,Comprobantes!$O$6:$O$2005,"Confirmado")</f>
        <v/>
      </c>
    </row>
    <row r="14">
      <c r="A14" s="74" t="inlineStr">
        <is>
          <t>Insumos de taller no cobrados</t>
        </is>
      </c>
      <c r="B14" s="9" t="inlineStr">
        <is>
          <t>Sí</t>
        </is>
      </c>
      <c r="C14" s="89">
        <f>SUMIFS(Comprobantes!$H$6:$H$2005,Comprobantes!$C$6:$C$2005,"Gasto variable",Comprobantes!$D$6:$D$2005,A14,Comprobantes!$L$6:$L$2005,Configuracion!$B$7,Comprobantes!$M$6:$M$2005,1,Comprobantes!$O$6:$O$2005,"Confirmado")</f>
        <v/>
      </c>
      <c r="D14" s="89">
        <f>SUMIFS(Comprobantes!$H$6:$H$2005,Comprobantes!$C$6:$C$2005,"Gasto variable",Comprobantes!$D$6:$D$2005,A14,Comprobantes!$L$6:$L$2005,Configuracion!$B$7,Comprobantes!$M$6:$M$2005,2,Comprobantes!$O$6:$O$2005,"Confirmado")</f>
        <v/>
      </c>
      <c r="E14" s="89">
        <f>SUMIFS(Comprobantes!$H$6:$H$2005,Comprobantes!$C$6:$C$2005,"Gasto variable",Comprobantes!$D$6:$D$2005,A14,Comprobantes!$L$6:$L$2005,Configuracion!$B$7,Comprobantes!$M$6:$M$2005,3,Comprobantes!$O$6:$O$2005,"Confirmado")</f>
        <v/>
      </c>
      <c r="F14" s="89">
        <f>SUMIFS(Comprobantes!$H$6:$H$2005,Comprobantes!$C$6:$C$2005,"Gasto variable",Comprobantes!$D$6:$D$2005,A14,Comprobantes!$L$6:$L$2005,Configuracion!$B$7,Comprobantes!$M$6:$M$2005,4,Comprobantes!$O$6:$O$2005,"Confirmado")</f>
        <v/>
      </c>
      <c r="G14" s="89">
        <f>SUMIFS(Comprobantes!$H$6:$H$2005,Comprobantes!$C$6:$C$2005,"Gasto variable",Comprobantes!$D$6:$D$2005,A14,Comprobantes!$L$6:$L$2005,Configuracion!$B$7,Comprobantes!$M$6:$M$2005,5,Comprobantes!$O$6:$O$2005,"Confirmado")</f>
        <v/>
      </c>
      <c r="H14" s="89">
        <f>SUMIFS(Comprobantes!$H$6:$H$2005,Comprobantes!$C$6:$C$2005,"Gasto variable",Comprobantes!$D$6:$D$2005,A14,Comprobantes!$L$6:$L$2005,Configuracion!$B$7,Comprobantes!$M$6:$M$2005,6,Comprobantes!$O$6:$O$2005,"Confirmado")</f>
        <v/>
      </c>
      <c r="I14" s="89">
        <f>SUMIFS(Comprobantes!$H$6:$H$2005,Comprobantes!$C$6:$C$2005,"Gasto variable",Comprobantes!$D$6:$D$2005,A14,Comprobantes!$L$6:$L$2005,Configuracion!$B$7,Comprobantes!$M$6:$M$2005,7,Comprobantes!$O$6:$O$2005,"Confirmado")</f>
        <v/>
      </c>
      <c r="J14" s="89">
        <f>SUMIFS(Comprobantes!$H$6:$H$2005,Comprobantes!$C$6:$C$2005,"Gasto variable",Comprobantes!$D$6:$D$2005,A14,Comprobantes!$L$6:$L$2005,Configuracion!$B$7,Comprobantes!$M$6:$M$2005,8,Comprobantes!$O$6:$O$2005,"Confirmado")</f>
        <v/>
      </c>
      <c r="K14" s="89">
        <f>SUMIFS(Comprobantes!$H$6:$H$2005,Comprobantes!$C$6:$C$2005,"Gasto variable",Comprobantes!$D$6:$D$2005,A14,Comprobantes!$L$6:$L$2005,Configuracion!$B$7,Comprobantes!$M$6:$M$2005,9,Comprobantes!$O$6:$O$2005,"Confirmado")</f>
        <v/>
      </c>
      <c r="L14" s="89">
        <f>SUMIFS(Comprobantes!$H$6:$H$2005,Comprobantes!$C$6:$C$2005,"Gasto variable",Comprobantes!$D$6:$D$2005,A14,Comprobantes!$L$6:$L$2005,Configuracion!$B$7,Comprobantes!$M$6:$M$2005,10,Comprobantes!$O$6:$O$2005,"Confirmado")</f>
        <v/>
      </c>
      <c r="M14" s="89">
        <f>SUMIFS(Comprobantes!$H$6:$H$2005,Comprobantes!$C$6:$C$2005,"Gasto variable",Comprobantes!$D$6:$D$2005,A14,Comprobantes!$L$6:$L$2005,Configuracion!$B$7,Comprobantes!$M$6:$M$2005,11,Comprobantes!$O$6:$O$2005,"Confirmado")</f>
        <v/>
      </c>
      <c r="N14" s="89">
        <f>SUMIFS(Comprobantes!$H$6:$H$2005,Comprobantes!$C$6:$C$2005,"Gasto variable",Comprobantes!$D$6:$D$2005,A14,Comprobantes!$L$6:$L$2005,Configuracion!$B$7,Comprobantes!$M$6:$M$2005,12,Comprobantes!$O$6:$O$2005,"Confirmado")</f>
        <v/>
      </c>
      <c r="O14" s="30">
        <f>SUM(C14:N14)</f>
        <v/>
      </c>
      <c r="P14" s="30">
        <f>SUMIFS(Comprobantes!$J$6:$J$2005,Comprobantes!$C$6:$C$2005,"Gasto variable",Comprobantes!$D$6:$D$2005,A14,Comprobantes!$L$6:$L$2005,Configuracion!$B$7,Comprobantes!$O$6:$O$2005,"Confirmado")</f>
        <v/>
      </c>
      <c r="Q14" s="30">
        <f>IFERROR(INDEX(C14:N14,1,Configuracion!$B$8),0)</f>
        <v/>
      </c>
      <c r="R14" s="30">
        <f>SUMIFS(Comprobantes!$J$6:$J$2005,Comprobantes!$C$6:$C$2005,"Gasto variable",Comprobantes!$D$6:$D$2005,A14,Comprobantes!$L$6:$L$2005,Configuracion!$B$7,Comprobantes!$M$6:$M$2005,Configuracion!$B$8,Comprobantes!$O$6:$O$2005,"Confirmado")</f>
        <v/>
      </c>
    </row>
    <row r="15">
      <c r="A15" s="74" t="inlineStr">
        <is>
          <t>Viáticos</t>
        </is>
      </c>
      <c r="B15" s="9" t="inlineStr">
        <is>
          <t>No</t>
        </is>
      </c>
      <c r="C15" s="89">
        <f>SUMIFS(Comprobantes!$H$6:$H$2005,Comprobantes!$C$6:$C$2005,"Gasto variable",Comprobantes!$D$6:$D$2005,A15,Comprobantes!$L$6:$L$2005,Configuracion!$B$7,Comprobantes!$M$6:$M$2005,1,Comprobantes!$O$6:$O$2005,"Confirmado")</f>
        <v/>
      </c>
      <c r="D15" s="89">
        <f>SUMIFS(Comprobantes!$H$6:$H$2005,Comprobantes!$C$6:$C$2005,"Gasto variable",Comprobantes!$D$6:$D$2005,A15,Comprobantes!$L$6:$L$2005,Configuracion!$B$7,Comprobantes!$M$6:$M$2005,2,Comprobantes!$O$6:$O$2005,"Confirmado")</f>
        <v/>
      </c>
      <c r="E15" s="89">
        <f>SUMIFS(Comprobantes!$H$6:$H$2005,Comprobantes!$C$6:$C$2005,"Gasto variable",Comprobantes!$D$6:$D$2005,A15,Comprobantes!$L$6:$L$2005,Configuracion!$B$7,Comprobantes!$M$6:$M$2005,3,Comprobantes!$O$6:$O$2005,"Confirmado")</f>
        <v/>
      </c>
      <c r="F15" s="89">
        <f>SUMIFS(Comprobantes!$H$6:$H$2005,Comprobantes!$C$6:$C$2005,"Gasto variable",Comprobantes!$D$6:$D$2005,A15,Comprobantes!$L$6:$L$2005,Configuracion!$B$7,Comprobantes!$M$6:$M$2005,4,Comprobantes!$O$6:$O$2005,"Confirmado")</f>
        <v/>
      </c>
      <c r="G15" s="89">
        <f>SUMIFS(Comprobantes!$H$6:$H$2005,Comprobantes!$C$6:$C$2005,"Gasto variable",Comprobantes!$D$6:$D$2005,A15,Comprobantes!$L$6:$L$2005,Configuracion!$B$7,Comprobantes!$M$6:$M$2005,5,Comprobantes!$O$6:$O$2005,"Confirmado")</f>
        <v/>
      </c>
      <c r="H15" s="89">
        <f>SUMIFS(Comprobantes!$H$6:$H$2005,Comprobantes!$C$6:$C$2005,"Gasto variable",Comprobantes!$D$6:$D$2005,A15,Comprobantes!$L$6:$L$2005,Configuracion!$B$7,Comprobantes!$M$6:$M$2005,6,Comprobantes!$O$6:$O$2005,"Confirmado")</f>
        <v/>
      </c>
      <c r="I15" s="89">
        <f>SUMIFS(Comprobantes!$H$6:$H$2005,Comprobantes!$C$6:$C$2005,"Gasto variable",Comprobantes!$D$6:$D$2005,A15,Comprobantes!$L$6:$L$2005,Configuracion!$B$7,Comprobantes!$M$6:$M$2005,7,Comprobantes!$O$6:$O$2005,"Confirmado")</f>
        <v/>
      </c>
      <c r="J15" s="89">
        <f>SUMIFS(Comprobantes!$H$6:$H$2005,Comprobantes!$C$6:$C$2005,"Gasto variable",Comprobantes!$D$6:$D$2005,A15,Comprobantes!$L$6:$L$2005,Configuracion!$B$7,Comprobantes!$M$6:$M$2005,8,Comprobantes!$O$6:$O$2005,"Confirmado")</f>
        <v/>
      </c>
      <c r="K15" s="89">
        <f>SUMIFS(Comprobantes!$H$6:$H$2005,Comprobantes!$C$6:$C$2005,"Gasto variable",Comprobantes!$D$6:$D$2005,A15,Comprobantes!$L$6:$L$2005,Configuracion!$B$7,Comprobantes!$M$6:$M$2005,9,Comprobantes!$O$6:$O$2005,"Confirmado")</f>
        <v/>
      </c>
      <c r="L15" s="89">
        <f>SUMIFS(Comprobantes!$H$6:$H$2005,Comprobantes!$C$6:$C$2005,"Gasto variable",Comprobantes!$D$6:$D$2005,A15,Comprobantes!$L$6:$L$2005,Configuracion!$B$7,Comprobantes!$M$6:$M$2005,10,Comprobantes!$O$6:$O$2005,"Confirmado")</f>
        <v/>
      </c>
      <c r="M15" s="89">
        <f>SUMIFS(Comprobantes!$H$6:$H$2005,Comprobantes!$C$6:$C$2005,"Gasto variable",Comprobantes!$D$6:$D$2005,A15,Comprobantes!$L$6:$L$2005,Configuracion!$B$7,Comprobantes!$M$6:$M$2005,11,Comprobantes!$O$6:$O$2005,"Confirmado")</f>
        <v/>
      </c>
      <c r="N15" s="89">
        <f>SUMIFS(Comprobantes!$H$6:$H$2005,Comprobantes!$C$6:$C$2005,"Gasto variable",Comprobantes!$D$6:$D$2005,A15,Comprobantes!$L$6:$L$2005,Configuracion!$B$7,Comprobantes!$M$6:$M$2005,12,Comprobantes!$O$6:$O$2005,"Confirmado")</f>
        <v/>
      </c>
      <c r="O15" s="30">
        <f>SUM(C15:N15)</f>
        <v/>
      </c>
      <c r="P15" s="30">
        <f>SUMIFS(Comprobantes!$J$6:$J$2005,Comprobantes!$C$6:$C$2005,"Gasto variable",Comprobantes!$D$6:$D$2005,A15,Comprobantes!$L$6:$L$2005,Configuracion!$B$7,Comprobantes!$O$6:$O$2005,"Confirmado")</f>
        <v/>
      </c>
      <c r="Q15" s="30">
        <f>IFERROR(INDEX(C15:N15,1,Configuracion!$B$8),0)</f>
        <v/>
      </c>
      <c r="R15" s="30">
        <f>SUMIFS(Comprobantes!$J$6:$J$2005,Comprobantes!$C$6:$C$2005,"Gasto variable",Comprobantes!$D$6:$D$2005,A15,Comprobantes!$L$6:$L$2005,Configuracion!$B$7,Comprobantes!$M$6:$M$2005,Configuracion!$B$8,Comprobantes!$O$6:$O$2005,"Confirmado")</f>
        <v/>
      </c>
    </row>
    <row r="16">
      <c r="A16" s="74" t="inlineStr">
        <is>
          <t>Multas e imprevistos</t>
        </is>
      </c>
      <c r="B16" s="9" t="inlineStr">
        <is>
          <t>No</t>
        </is>
      </c>
      <c r="C16" s="89">
        <f>SUMIFS(Comprobantes!$H$6:$H$2005,Comprobantes!$C$6:$C$2005,"Gasto variable",Comprobantes!$D$6:$D$2005,A16,Comprobantes!$L$6:$L$2005,Configuracion!$B$7,Comprobantes!$M$6:$M$2005,1,Comprobantes!$O$6:$O$2005,"Confirmado")</f>
        <v/>
      </c>
      <c r="D16" s="89">
        <f>SUMIFS(Comprobantes!$H$6:$H$2005,Comprobantes!$C$6:$C$2005,"Gasto variable",Comprobantes!$D$6:$D$2005,A16,Comprobantes!$L$6:$L$2005,Configuracion!$B$7,Comprobantes!$M$6:$M$2005,2,Comprobantes!$O$6:$O$2005,"Confirmado")</f>
        <v/>
      </c>
      <c r="E16" s="89">
        <f>SUMIFS(Comprobantes!$H$6:$H$2005,Comprobantes!$C$6:$C$2005,"Gasto variable",Comprobantes!$D$6:$D$2005,A16,Comprobantes!$L$6:$L$2005,Configuracion!$B$7,Comprobantes!$M$6:$M$2005,3,Comprobantes!$O$6:$O$2005,"Confirmado")</f>
        <v/>
      </c>
      <c r="F16" s="89">
        <f>SUMIFS(Comprobantes!$H$6:$H$2005,Comprobantes!$C$6:$C$2005,"Gasto variable",Comprobantes!$D$6:$D$2005,A16,Comprobantes!$L$6:$L$2005,Configuracion!$B$7,Comprobantes!$M$6:$M$2005,4,Comprobantes!$O$6:$O$2005,"Confirmado")</f>
        <v/>
      </c>
      <c r="G16" s="89">
        <f>SUMIFS(Comprobantes!$H$6:$H$2005,Comprobantes!$C$6:$C$2005,"Gasto variable",Comprobantes!$D$6:$D$2005,A16,Comprobantes!$L$6:$L$2005,Configuracion!$B$7,Comprobantes!$M$6:$M$2005,5,Comprobantes!$O$6:$O$2005,"Confirmado")</f>
        <v/>
      </c>
      <c r="H16" s="89">
        <f>SUMIFS(Comprobantes!$H$6:$H$2005,Comprobantes!$C$6:$C$2005,"Gasto variable",Comprobantes!$D$6:$D$2005,A16,Comprobantes!$L$6:$L$2005,Configuracion!$B$7,Comprobantes!$M$6:$M$2005,6,Comprobantes!$O$6:$O$2005,"Confirmado")</f>
        <v/>
      </c>
      <c r="I16" s="89">
        <f>SUMIFS(Comprobantes!$H$6:$H$2005,Comprobantes!$C$6:$C$2005,"Gasto variable",Comprobantes!$D$6:$D$2005,A16,Comprobantes!$L$6:$L$2005,Configuracion!$B$7,Comprobantes!$M$6:$M$2005,7,Comprobantes!$O$6:$O$2005,"Confirmado")</f>
        <v/>
      </c>
      <c r="J16" s="89">
        <f>SUMIFS(Comprobantes!$H$6:$H$2005,Comprobantes!$C$6:$C$2005,"Gasto variable",Comprobantes!$D$6:$D$2005,A16,Comprobantes!$L$6:$L$2005,Configuracion!$B$7,Comprobantes!$M$6:$M$2005,8,Comprobantes!$O$6:$O$2005,"Confirmado")</f>
        <v/>
      </c>
      <c r="K16" s="89">
        <f>SUMIFS(Comprobantes!$H$6:$H$2005,Comprobantes!$C$6:$C$2005,"Gasto variable",Comprobantes!$D$6:$D$2005,A16,Comprobantes!$L$6:$L$2005,Configuracion!$B$7,Comprobantes!$M$6:$M$2005,9,Comprobantes!$O$6:$O$2005,"Confirmado")</f>
        <v/>
      </c>
      <c r="L16" s="89">
        <f>SUMIFS(Comprobantes!$H$6:$H$2005,Comprobantes!$C$6:$C$2005,"Gasto variable",Comprobantes!$D$6:$D$2005,A16,Comprobantes!$L$6:$L$2005,Configuracion!$B$7,Comprobantes!$M$6:$M$2005,10,Comprobantes!$O$6:$O$2005,"Confirmado")</f>
        <v/>
      </c>
      <c r="M16" s="89">
        <f>SUMIFS(Comprobantes!$H$6:$H$2005,Comprobantes!$C$6:$C$2005,"Gasto variable",Comprobantes!$D$6:$D$2005,A16,Comprobantes!$L$6:$L$2005,Configuracion!$B$7,Comprobantes!$M$6:$M$2005,11,Comprobantes!$O$6:$O$2005,"Confirmado")</f>
        <v/>
      </c>
      <c r="N16" s="89">
        <f>SUMIFS(Comprobantes!$H$6:$H$2005,Comprobantes!$C$6:$C$2005,"Gasto variable",Comprobantes!$D$6:$D$2005,A16,Comprobantes!$L$6:$L$2005,Configuracion!$B$7,Comprobantes!$M$6:$M$2005,12,Comprobantes!$O$6:$O$2005,"Confirmado")</f>
        <v/>
      </c>
      <c r="O16" s="30">
        <f>SUM(C16:N16)</f>
        <v/>
      </c>
      <c r="P16" s="30">
        <f>SUMIFS(Comprobantes!$J$6:$J$2005,Comprobantes!$C$6:$C$2005,"Gasto variable",Comprobantes!$D$6:$D$2005,A16,Comprobantes!$L$6:$L$2005,Configuracion!$B$7,Comprobantes!$O$6:$O$2005,"Confirmado")</f>
        <v/>
      </c>
      <c r="Q16" s="30">
        <f>IFERROR(INDEX(C16:N16,1,Configuracion!$B$8),0)</f>
        <v/>
      </c>
      <c r="R16" s="30">
        <f>SUMIFS(Comprobantes!$J$6:$J$2005,Comprobantes!$C$6:$C$2005,"Gasto variable",Comprobantes!$D$6:$D$2005,A16,Comprobantes!$L$6:$L$2005,Configuracion!$B$7,Comprobantes!$M$6:$M$2005,Configuracion!$B$8,Comprobantes!$O$6:$O$2005,"Confirmado")</f>
        <v/>
      </c>
    </row>
    <row r="17">
      <c r="A17" s="74" t="inlineStr">
        <is>
          <t>Permiso circulación / empadronamiento</t>
        </is>
      </c>
      <c r="B17" s="9" t="inlineStr">
        <is>
          <t>No</t>
        </is>
      </c>
      <c r="C17" s="89">
        <f>SUMIFS(Comprobantes!$H$6:$H$2005,Comprobantes!$C$6:$C$2005,"Gasto variable",Comprobantes!$D$6:$D$2005,A17,Comprobantes!$L$6:$L$2005,Configuracion!$B$7,Comprobantes!$M$6:$M$2005,1,Comprobantes!$O$6:$O$2005,"Confirmado")</f>
        <v/>
      </c>
      <c r="D17" s="89">
        <f>SUMIFS(Comprobantes!$H$6:$H$2005,Comprobantes!$C$6:$C$2005,"Gasto variable",Comprobantes!$D$6:$D$2005,A17,Comprobantes!$L$6:$L$2005,Configuracion!$B$7,Comprobantes!$M$6:$M$2005,2,Comprobantes!$O$6:$O$2005,"Confirmado")</f>
        <v/>
      </c>
      <c r="E17" s="89">
        <f>SUMIFS(Comprobantes!$H$6:$H$2005,Comprobantes!$C$6:$C$2005,"Gasto variable",Comprobantes!$D$6:$D$2005,A17,Comprobantes!$L$6:$L$2005,Configuracion!$B$7,Comprobantes!$M$6:$M$2005,3,Comprobantes!$O$6:$O$2005,"Confirmado")</f>
        <v/>
      </c>
      <c r="F17" s="89">
        <f>SUMIFS(Comprobantes!$H$6:$H$2005,Comprobantes!$C$6:$C$2005,"Gasto variable",Comprobantes!$D$6:$D$2005,A17,Comprobantes!$L$6:$L$2005,Configuracion!$B$7,Comprobantes!$M$6:$M$2005,4,Comprobantes!$O$6:$O$2005,"Confirmado")</f>
        <v/>
      </c>
      <c r="G17" s="89">
        <f>SUMIFS(Comprobantes!$H$6:$H$2005,Comprobantes!$C$6:$C$2005,"Gasto variable",Comprobantes!$D$6:$D$2005,A17,Comprobantes!$L$6:$L$2005,Configuracion!$B$7,Comprobantes!$M$6:$M$2005,5,Comprobantes!$O$6:$O$2005,"Confirmado")</f>
        <v/>
      </c>
      <c r="H17" s="89">
        <f>SUMIFS(Comprobantes!$H$6:$H$2005,Comprobantes!$C$6:$C$2005,"Gasto variable",Comprobantes!$D$6:$D$2005,A17,Comprobantes!$L$6:$L$2005,Configuracion!$B$7,Comprobantes!$M$6:$M$2005,6,Comprobantes!$O$6:$O$2005,"Confirmado")</f>
        <v/>
      </c>
      <c r="I17" s="89">
        <f>SUMIFS(Comprobantes!$H$6:$H$2005,Comprobantes!$C$6:$C$2005,"Gasto variable",Comprobantes!$D$6:$D$2005,A17,Comprobantes!$L$6:$L$2005,Configuracion!$B$7,Comprobantes!$M$6:$M$2005,7,Comprobantes!$O$6:$O$2005,"Confirmado")</f>
        <v/>
      </c>
      <c r="J17" s="89">
        <f>SUMIFS(Comprobantes!$H$6:$H$2005,Comprobantes!$C$6:$C$2005,"Gasto variable",Comprobantes!$D$6:$D$2005,A17,Comprobantes!$L$6:$L$2005,Configuracion!$B$7,Comprobantes!$M$6:$M$2005,8,Comprobantes!$O$6:$O$2005,"Confirmado")</f>
        <v/>
      </c>
      <c r="K17" s="89">
        <f>SUMIFS(Comprobantes!$H$6:$H$2005,Comprobantes!$C$6:$C$2005,"Gasto variable",Comprobantes!$D$6:$D$2005,A17,Comprobantes!$L$6:$L$2005,Configuracion!$B$7,Comprobantes!$M$6:$M$2005,9,Comprobantes!$O$6:$O$2005,"Confirmado")</f>
        <v/>
      </c>
      <c r="L17" s="89">
        <f>SUMIFS(Comprobantes!$H$6:$H$2005,Comprobantes!$C$6:$C$2005,"Gasto variable",Comprobantes!$D$6:$D$2005,A17,Comprobantes!$L$6:$L$2005,Configuracion!$B$7,Comprobantes!$M$6:$M$2005,10,Comprobantes!$O$6:$O$2005,"Confirmado")</f>
        <v/>
      </c>
      <c r="M17" s="89">
        <f>SUMIFS(Comprobantes!$H$6:$H$2005,Comprobantes!$C$6:$C$2005,"Gasto variable",Comprobantes!$D$6:$D$2005,A17,Comprobantes!$L$6:$L$2005,Configuracion!$B$7,Comprobantes!$M$6:$M$2005,11,Comprobantes!$O$6:$O$2005,"Confirmado")</f>
        <v/>
      </c>
      <c r="N17" s="89">
        <f>SUMIFS(Comprobantes!$H$6:$H$2005,Comprobantes!$C$6:$C$2005,"Gasto variable",Comprobantes!$D$6:$D$2005,A17,Comprobantes!$L$6:$L$2005,Configuracion!$B$7,Comprobantes!$M$6:$M$2005,12,Comprobantes!$O$6:$O$2005,"Confirmado")</f>
        <v/>
      </c>
      <c r="O17" s="30">
        <f>SUM(C17:N17)</f>
        <v/>
      </c>
      <c r="P17" s="30">
        <f>SUMIFS(Comprobantes!$J$6:$J$2005,Comprobantes!$C$6:$C$2005,"Gasto variable",Comprobantes!$D$6:$D$2005,A17,Comprobantes!$L$6:$L$2005,Configuracion!$B$7,Comprobantes!$O$6:$O$2005,"Confirmado")</f>
        <v/>
      </c>
      <c r="Q17" s="30">
        <f>IFERROR(INDEX(C17:N17,1,Configuracion!$B$8),0)</f>
        <v/>
      </c>
      <c r="R17" s="30">
        <f>SUMIFS(Comprobantes!$J$6:$J$2005,Comprobantes!$C$6:$C$2005,"Gasto variable",Comprobantes!$D$6:$D$2005,A17,Comprobantes!$L$6:$L$2005,Configuracion!$B$7,Comprobantes!$M$6:$M$2005,Configuracion!$B$8,Comprobantes!$O$6:$O$2005,"Confirmado")</f>
        <v/>
      </c>
    </row>
    <row r="18">
      <c r="A18" s="74" t="inlineStr">
        <is>
          <t>Mantención de unidades en stock</t>
        </is>
      </c>
      <c r="B18" s="9" t="inlineStr">
        <is>
          <t>Sí</t>
        </is>
      </c>
      <c r="C18" s="89">
        <f>SUMIFS(Comprobantes!$H$6:$H$2005,Comprobantes!$C$6:$C$2005,"Gasto variable",Comprobantes!$D$6:$D$2005,A18,Comprobantes!$L$6:$L$2005,Configuracion!$B$7,Comprobantes!$M$6:$M$2005,1,Comprobantes!$O$6:$O$2005,"Confirmado")</f>
        <v/>
      </c>
      <c r="D18" s="89">
        <f>SUMIFS(Comprobantes!$H$6:$H$2005,Comprobantes!$C$6:$C$2005,"Gasto variable",Comprobantes!$D$6:$D$2005,A18,Comprobantes!$L$6:$L$2005,Configuracion!$B$7,Comprobantes!$M$6:$M$2005,2,Comprobantes!$O$6:$O$2005,"Confirmado")</f>
        <v/>
      </c>
      <c r="E18" s="89">
        <f>SUMIFS(Comprobantes!$H$6:$H$2005,Comprobantes!$C$6:$C$2005,"Gasto variable",Comprobantes!$D$6:$D$2005,A18,Comprobantes!$L$6:$L$2005,Configuracion!$B$7,Comprobantes!$M$6:$M$2005,3,Comprobantes!$O$6:$O$2005,"Confirmado")</f>
        <v/>
      </c>
      <c r="F18" s="89">
        <f>SUMIFS(Comprobantes!$H$6:$H$2005,Comprobantes!$C$6:$C$2005,"Gasto variable",Comprobantes!$D$6:$D$2005,A18,Comprobantes!$L$6:$L$2005,Configuracion!$B$7,Comprobantes!$M$6:$M$2005,4,Comprobantes!$O$6:$O$2005,"Confirmado")</f>
        <v/>
      </c>
      <c r="G18" s="89">
        <f>SUMIFS(Comprobantes!$H$6:$H$2005,Comprobantes!$C$6:$C$2005,"Gasto variable",Comprobantes!$D$6:$D$2005,A18,Comprobantes!$L$6:$L$2005,Configuracion!$B$7,Comprobantes!$M$6:$M$2005,5,Comprobantes!$O$6:$O$2005,"Confirmado")</f>
        <v/>
      </c>
      <c r="H18" s="89">
        <f>SUMIFS(Comprobantes!$H$6:$H$2005,Comprobantes!$C$6:$C$2005,"Gasto variable",Comprobantes!$D$6:$D$2005,A18,Comprobantes!$L$6:$L$2005,Configuracion!$B$7,Comprobantes!$M$6:$M$2005,6,Comprobantes!$O$6:$O$2005,"Confirmado")</f>
        <v/>
      </c>
      <c r="I18" s="89">
        <f>SUMIFS(Comprobantes!$H$6:$H$2005,Comprobantes!$C$6:$C$2005,"Gasto variable",Comprobantes!$D$6:$D$2005,A18,Comprobantes!$L$6:$L$2005,Configuracion!$B$7,Comprobantes!$M$6:$M$2005,7,Comprobantes!$O$6:$O$2005,"Confirmado")</f>
        <v/>
      </c>
      <c r="J18" s="89">
        <f>SUMIFS(Comprobantes!$H$6:$H$2005,Comprobantes!$C$6:$C$2005,"Gasto variable",Comprobantes!$D$6:$D$2005,A18,Comprobantes!$L$6:$L$2005,Configuracion!$B$7,Comprobantes!$M$6:$M$2005,8,Comprobantes!$O$6:$O$2005,"Confirmado")</f>
        <v/>
      </c>
      <c r="K18" s="89">
        <f>SUMIFS(Comprobantes!$H$6:$H$2005,Comprobantes!$C$6:$C$2005,"Gasto variable",Comprobantes!$D$6:$D$2005,A18,Comprobantes!$L$6:$L$2005,Configuracion!$B$7,Comprobantes!$M$6:$M$2005,9,Comprobantes!$O$6:$O$2005,"Confirmado")</f>
        <v/>
      </c>
      <c r="L18" s="89">
        <f>SUMIFS(Comprobantes!$H$6:$H$2005,Comprobantes!$C$6:$C$2005,"Gasto variable",Comprobantes!$D$6:$D$2005,A18,Comprobantes!$L$6:$L$2005,Configuracion!$B$7,Comprobantes!$M$6:$M$2005,10,Comprobantes!$O$6:$O$2005,"Confirmado")</f>
        <v/>
      </c>
      <c r="M18" s="89">
        <f>SUMIFS(Comprobantes!$H$6:$H$2005,Comprobantes!$C$6:$C$2005,"Gasto variable",Comprobantes!$D$6:$D$2005,A18,Comprobantes!$L$6:$L$2005,Configuracion!$B$7,Comprobantes!$M$6:$M$2005,11,Comprobantes!$O$6:$O$2005,"Confirmado")</f>
        <v/>
      </c>
      <c r="N18" s="89">
        <f>SUMIFS(Comprobantes!$H$6:$H$2005,Comprobantes!$C$6:$C$2005,"Gasto variable",Comprobantes!$D$6:$D$2005,A18,Comprobantes!$L$6:$L$2005,Configuracion!$B$7,Comprobantes!$M$6:$M$2005,12,Comprobantes!$O$6:$O$2005,"Confirmado")</f>
        <v/>
      </c>
      <c r="O18" s="30">
        <f>SUM(C18:N18)</f>
        <v/>
      </c>
      <c r="P18" s="30">
        <f>SUMIFS(Comprobantes!$J$6:$J$2005,Comprobantes!$C$6:$C$2005,"Gasto variable",Comprobantes!$D$6:$D$2005,A18,Comprobantes!$L$6:$L$2005,Configuracion!$B$7,Comprobantes!$O$6:$O$2005,"Confirmado")</f>
        <v/>
      </c>
      <c r="Q18" s="30">
        <f>IFERROR(INDEX(C18:N18,1,Configuracion!$B$8),0)</f>
        <v/>
      </c>
      <c r="R18" s="30">
        <f>SUMIFS(Comprobantes!$J$6:$J$2005,Comprobantes!$C$6:$C$2005,"Gasto variable",Comprobantes!$D$6:$D$2005,A18,Comprobantes!$L$6:$L$2005,Configuracion!$B$7,Comprobantes!$M$6:$M$2005,Configuracion!$B$8,Comprobantes!$O$6:$O$2005,"Confirmado")</f>
        <v/>
      </c>
    </row>
    <row r="19">
      <c r="A19" s="74" t="inlineStr">
        <is>
          <t>Comisiones marketplace / portales extra</t>
        </is>
      </c>
      <c r="B19" s="9" t="inlineStr">
        <is>
          <t>Sí</t>
        </is>
      </c>
      <c r="C19" s="89">
        <f>SUMIFS(Comprobantes!$H$6:$H$2005,Comprobantes!$C$6:$C$2005,"Gasto variable",Comprobantes!$D$6:$D$2005,A19,Comprobantes!$L$6:$L$2005,Configuracion!$B$7,Comprobantes!$M$6:$M$2005,1,Comprobantes!$O$6:$O$2005,"Confirmado")</f>
        <v/>
      </c>
      <c r="D19" s="89">
        <f>SUMIFS(Comprobantes!$H$6:$H$2005,Comprobantes!$C$6:$C$2005,"Gasto variable",Comprobantes!$D$6:$D$2005,A19,Comprobantes!$L$6:$L$2005,Configuracion!$B$7,Comprobantes!$M$6:$M$2005,2,Comprobantes!$O$6:$O$2005,"Confirmado")</f>
        <v/>
      </c>
      <c r="E19" s="89">
        <f>SUMIFS(Comprobantes!$H$6:$H$2005,Comprobantes!$C$6:$C$2005,"Gasto variable",Comprobantes!$D$6:$D$2005,A19,Comprobantes!$L$6:$L$2005,Configuracion!$B$7,Comprobantes!$M$6:$M$2005,3,Comprobantes!$O$6:$O$2005,"Confirmado")</f>
        <v/>
      </c>
      <c r="F19" s="89">
        <f>SUMIFS(Comprobantes!$H$6:$H$2005,Comprobantes!$C$6:$C$2005,"Gasto variable",Comprobantes!$D$6:$D$2005,A19,Comprobantes!$L$6:$L$2005,Configuracion!$B$7,Comprobantes!$M$6:$M$2005,4,Comprobantes!$O$6:$O$2005,"Confirmado")</f>
        <v/>
      </c>
      <c r="G19" s="89">
        <f>SUMIFS(Comprobantes!$H$6:$H$2005,Comprobantes!$C$6:$C$2005,"Gasto variable",Comprobantes!$D$6:$D$2005,A19,Comprobantes!$L$6:$L$2005,Configuracion!$B$7,Comprobantes!$M$6:$M$2005,5,Comprobantes!$O$6:$O$2005,"Confirmado")</f>
        <v/>
      </c>
      <c r="H19" s="89">
        <f>SUMIFS(Comprobantes!$H$6:$H$2005,Comprobantes!$C$6:$C$2005,"Gasto variable",Comprobantes!$D$6:$D$2005,A19,Comprobantes!$L$6:$L$2005,Configuracion!$B$7,Comprobantes!$M$6:$M$2005,6,Comprobantes!$O$6:$O$2005,"Confirmado")</f>
        <v/>
      </c>
      <c r="I19" s="89">
        <f>SUMIFS(Comprobantes!$H$6:$H$2005,Comprobantes!$C$6:$C$2005,"Gasto variable",Comprobantes!$D$6:$D$2005,A19,Comprobantes!$L$6:$L$2005,Configuracion!$B$7,Comprobantes!$M$6:$M$2005,7,Comprobantes!$O$6:$O$2005,"Confirmado")</f>
        <v/>
      </c>
      <c r="J19" s="89">
        <f>SUMIFS(Comprobantes!$H$6:$H$2005,Comprobantes!$C$6:$C$2005,"Gasto variable",Comprobantes!$D$6:$D$2005,A19,Comprobantes!$L$6:$L$2005,Configuracion!$B$7,Comprobantes!$M$6:$M$2005,8,Comprobantes!$O$6:$O$2005,"Confirmado")</f>
        <v/>
      </c>
      <c r="K19" s="89">
        <f>SUMIFS(Comprobantes!$H$6:$H$2005,Comprobantes!$C$6:$C$2005,"Gasto variable",Comprobantes!$D$6:$D$2005,A19,Comprobantes!$L$6:$L$2005,Configuracion!$B$7,Comprobantes!$M$6:$M$2005,9,Comprobantes!$O$6:$O$2005,"Confirmado")</f>
        <v/>
      </c>
      <c r="L19" s="89">
        <f>SUMIFS(Comprobantes!$H$6:$H$2005,Comprobantes!$C$6:$C$2005,"Gasto variable",Comprobantes!$D$6:$D$2005,A19,Comprobantes!$L$6:$L$2005,Configuracion!$B$7,Comprobantes!$M$6:$M$2005,10,Comprobantes!$O$6:$O$2005,"Confirmado")</f>
        <v/>
      </c>
      <c r="M19" s="89">
        <f>SUMIFS(Comprobantes!$H$6:$H$2005,Comprobantes!$C$6:$C$2005,"Gasto variable",Comprobantes!$D$6:$D$2005,A19,Comprobantes!$L$6:$L$2005,Configuracion!$B$7,Comprobantes!$M$6:$M$2005,11,Comprobantes!$O$6:$O$2005,"Confirmado")</f>
        <v/>
      </c>
      <c r="N19" s="89">
        <f>SUMIFS(Comprobantes!$H$6:$H$2005,Comprobantes!$C$6:$C$2005,"Gasto variable",Comprobantes!$D$6:$D$2005,A19,Comprobantes!$L$6:$L$2005,Configuracion!$B$7,Comprobantes!$M$6:$M$2005,12,Comprobantes!$O$6:$O$2005,"Confirmado")</f>
        <v/>
      </c>
      <c r="O19" s="30">
        <f>SUM(C19:N19)</f>
        <v/>
      </c>
      <c r="P19" s="30">
        <f>SUMIFS(Comprobantes!$J$6:$J$2005,Comprobantes!$C$6:$C$2005,"Gasto variable",Comprobantes!$D$6:$D$2005,A19,Comprobantes!$L$6:$L$2005,Configuracion!$B$7,Comprobantes!$O$6:$O$2005,"Confirmado")</f>
        <v/>
      </c>
      <c r="Q19" s="30">
        <f>IFERROR(INDEX(C19:N19,1,Configuracion!$B$8),0)</f>
        <v/>
      </c>
      <c r="R19" s="30">
        <f>SUMIFS(Comprobantes!$J$6:$J$2005,Comprobantes!$C$6:$C$2005,"Gasto variable",Comprobantes!$D$6:$D$2005,A19,Comprobantes!$L$6:$L$2005,Configuracion!$B$7,Comprobantes!$M$6:$M$2005,Configuracion!$B$8,Comprobantes!$O$6:$O$2005,"Confirmado")</f>
        <v/>
      </c>
    </row>
    <row r="20">
      <c r="A20" s="74" t="inlineStr">
        <is>
          <t>Otros gastos variables</t>
        </is>
      </c>
      <c r="B20" s="9" t="inlineStr">
        <is>
          <t>Sí</t>
        </is>
      </c>
      <c r="C20" s="89">
        <f>SUMIFS(Comprobantes!$H$6:$H$2005,Comprobantes!$C$6:$C$2005,"Gasto variable",Comprobantes!$D$6:$D$2005,A20,Comprobantes!$L$6:$L$2005,Configuracion!$B$7,Comprobantes!$M$6:$M$2005,1,Comprobantes!$O$6:$O$2005,"Confirmado")</f>
        <v/>
      </c>
      <c r="D20" s="89">
        <f>SUMIFS(Comprobantes!$H$6:$H$2005,Comprobantes!$C$6:$C$2005,"Gasto variable",Comprobantes!$D$6:$D$2005,A20,Comprobantes!$L$6:$L$2005,Configuracion!$B$7,Comprobantes!$M$6:$M$2005,2,Comprobantes!$O$6:$O$2005,"Confirmado")</f>
        <v/>
      </c>
      <c r="E20" s="89">
        <f>SUMIFS(Comprobantes!$H$6:$H$2005,Comprobantes!$C$6:$C$2005,"Gasto variable",Comprobantes!$D$6:$D$2005,A20,Comprobantes!$L$6:$L$2005,Configuracion!$B$7,Comprobantes!$M$6:$M$2005,3,Comprobantes!$O$6:$O$2005,"Confirmado")</f>
        <v/>
      </c>
      <c r="F20" s="89">
        <f>SUMIFS(Comprobantes!$H$6:$H$2005,Comprobantes!$C$6:$C$2005,"Gasto variable",Comprobantes!$D$6:$D$2005,A20,Comprobantes!$L$6:$L$2005,Configuracion!$B$7,Comprobantes!$M$6:$M$2005,4,Comprobantes!$O$6:$O$2005,"Confirmado")</f>
        <v/>
      </c>
      <c r="G20" s="89">
        <f>SUMIFS(Comprobantes!$H$6:$H$2005,Comprobantes!$C$6:$C$2005,"Gasto variable",Comprobantes!$D$6:$D$2005,A20,Comprobantes!$L$6:$L$2005,Configuracion!$B$7,Comprobantes!$M$6:$M$2005,5,Comprobantes!$O$6:$O$2005,"Confirmado")</f>
        <v/>
      </c>
      <c r="H20" s="89">
        <f>SUMIFS(Comprobantes!$H$6:$H$2005,Comprobantes!$C$6:$C$2005,"Gasto variable",Comprobantes!$D$6:$D$2005,A20,Comprobantes!$L$6:$L$2005,Configuracion!$B$7,Comprobantes!$M$6:$M$2005,6,Comprobantes!$O$6:$O$2005,"Confirmado")</f>
        <v/>
      </c>
      <c r="I20" s="89">
        <f>SUMIFS(Comprobantes!$H$6:$H$2005,Comprobantes!$C$6:$C$2005,"Gasto variable",Comprobantes!$D$6:$D$2005,A20,Comprobantes!$L$6:$L$2005,Configuracion!$B$7,Comprobantes!$M$6:$M$2005,7,Comprobantes!$O$6:$O$2005,"Confirmado")</f>
        <v/>
      </c>
      <c r="J20" s="89">
        <f>SUMIFS(Comprobantes!$H$6:$H$2005,Comprobantes!$C$6:$C$2005,"Gasto variable",Comprobantes!$D$6:$D$2005,A20,Comprobantes!$L$6:$L$2005,Configuracion!$B$7,Comprobantes!$M$6:$M$2005,8,Comprobantes!$O$6:$O$2005,"Confirmado")</f>
        <v/>
      </c>
      <c r="K20" s="89">
        <f>SUMIFS(Comprobantes!$H$6:$H$2005,Comprobantes!$C$6:$C$2005,"Gasto variable",Comprobantes!$D$6:$D$2005,A20,Comprobantes!$L$6:$L$2005,Configuracion!$B$7,Comprobantes!$M$6:$M$2005,9,Comprobantes!$O$6:$O$2005,"Confirmado")</f>
        <v/>
      </c>
      <c r="L20" s="89">
        <f>SUMIFS(Comprobantes!$H$6:$H$2005,Comprobantes!$C$6:$C$2005,"Gasto variable",Comprobantes!$D$6:$D$2005,A20,Comprobantes!$L$6:$L$2005,Configuracion!$B$7,Comprobantes!$M$6:$M$2005,10,Comprobantes!$O$6:$O$2005,"Confirmado")</f>
        <v/>
      </c>
      <c r="M20" s="89">
        <f>SUMIFS(Comprobantes!$H$6:$H$2005,Comprobantes!$C$6:$C$2005,"Gasto variable",Comprobantes!$D$6:$D$2005,A20,Comprobantes!$L$6:$L$2005,Configuracion!$B$7,Comprobantes!$M$6:$M$2005,11,Comprobantes!$O$6:$O$2005,"Confirmado")</f>
        <v/>
      </c>
      <c r="N20" s="89">
        <f>SUMIFS(Comprobantes!$H$6:$H$2005,Comprobantes!$C$6:$C$2005,"Gasto variable",Comprobantes!$D$6:$D$2005,A20,Comprobantes!$L$6:$L$2005,Configuracion!$B$7,Comprobantes!$M$6:$M$2005,12,Comprobantes!$O$6:$O$2005,"Confirmado")</f>
        <v/>
      </c>
      <c r="O20" s="30">
        <f>SUM(C20:N20)</f>
        <v/>
      </c>
      <c r="P20" s="30">
        <f>SUMIFS(Comprobantes!$J$6:$J$2005,Comprobantes!$C$6:$C$2005,"Gasto variable",Comprobantes!$D$6:$D$2005,A20,Comprobantes!$L$6:$L$2005,Configuracion!$B$7,Comprobantes!$O$6:$O$2005,"Confirmado")</f>
        <v/>
      </c>
      <c r="Q20" s="30">
        <f>IFERROR(INDEX(C20:N20,1,Configuracion!$B$8),0)</f>
        <v/>
      </c>
      <c r="R20" s="30">
        <f>SUMIFS(Comprobantes!$J$6:$J$2005,Comprobantes!$C$6:$C$2005,"Gasto variable",Comprobantes!$D$6:$D$2005,A20,Comprobantes!$L$6:$L$2005,Configuracion!$B$7,Comprobantes!$M$6:$M$2005,Configuracion!$B$8,Comprobantes!$O$6:$O$2005,"Confirmado")</f>
        <v/>
      </c>
    </row>
    <row r="21">
      <c r="A21" s="42" t="inlineStr">
        <is>
          <t>TOTAL</t>
        </is>
      </c>
      <c r="B21" s="42" t="n"/>
      <c r="C21" s="68">
        <f>SUM(C6:C20)</f>
        <v/>
      </c>
      <c r="D21" s="68">
        <f>SUM(D6:D20)</f>
        <v/>
      </c>
      <c r="E21" s="68">
        <f>SUM(E6:E20)</f>
        <v/>
      </c>
      <c r="F21" s="68">
        <f>SUM(F6:F20)</f>
        <v/>
      </c>
      <c r="G21" s="68">
        <f>SUM(G6:G20)</f>
        <v/>
      </c>
      <c r="H21" s="68">
        <f>SUM(H6:H20)</f>
        <v/>
      </c>
      <c r="I21" s="68">
        <f>SUM(I6:I20)</f>
        <v/>
      </c>
      <c r="J21" s="68">
        <f>SUM(J6:J20)</f>
        <v/>
      </c>
      <c r="K21" s="68">
        <f>SUM(K6:K20)</f>
        <v/>
      </c>
      <c r="L21" s="68">
        <f>SUM(L6:L20)</f>
        <v/>
      </c>
      <c r="M21" s="68">
        <f>SUM(M6:M20)</f>
        <v/>
      </c>
      <c r="N21" s="68">
        <f>SUM(N6:N20)</f>
        <v/>
      </c>
      <c r="O21" s="68">
        <f>SUM(O6:O20)</f>
        <v/>
      </c>
      <c r="P21" s="68">
        <f>SUM(P6:P20)</f>
        <v/>
      </c>
      <c r="Q21" s="68">
        <f>SUM(Q6:Q20)</f>
        <v/>
      </c>
      <c r="R21" s="68">
        <f>SUM(R6:R20)</f>
        <v/>
      </c>
    </row>
  </sheetData>
  <autoFilter ref="A5:R20"/>
  <mergeCells count="3">
    <mergeCell ref="A3:R3"/>
    <mergeCell ref="A2:R2"/>
    <mergeCell ref="A1:R1"/>
  </mergeCells>
  <dataValidations count="1">
    <dataValidation sqref="B6:B20" showDropDown="0" showInputMessage="1" showErrorMessage="1" allowBlank="1" errorTitle="Valor no válido" error="Use un valor de la lista." promptTitle="Lista" prompt="Elija un valor" type="list">
      <formula1>"Sí,No"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>&amp;LControl financiero automotora</oddHeader>
    <oddFooter>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C53030"/>
    <outlinePr summaryBelow="1" summaryRight="1"/>
    <pageSetUpPr fitToPage="1"/>
  </sheetPr>
  <dimension ref="A1:N26"/>
  <sheetViews>
    <sheetView showGridLines="0" zoomScale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1" t="inlineStr">
        <is>
          <t xml:space="preserve">  IVA mensual</t>
        </is>
      </c>
    </row>
    <row r="2" ht="20" customHeight="1">
      <c r="A2" s="3" t="inlineStr">
        <is>
          <t xml:space="preserve">  Débito de ventas − crédito de compras. El remanente se arrastra. No edites las fórmulas.</t>
        </is>
      </c>
    </row>
    <row r="3">
      <c r="A3" s="6" t="inlineStr">
        <is>
          <t>El IVA se declara en el F29 del mes siguiente (normalmente hasta el día 12).</t>
        </is>
      </c>
    </row>
    <row r="4">
      <c r="A4" s="26" t="inlineStr">
        <is>
          <t>Concepto</t>
        </is>
      </c>
      <c r="B4" s="26" t="inlineStr">
        <is>
          <t>Enero</t>
        </is>
      </c>
      <c r="C4" s="26" t="inlineStr">
        <is>
          <t>Febrero</t>
        </is>
      </c>
      <c r="D4" s="26" t="inlineStr">
        <is>
          <t>Marzo</t>
        </is>
      </c>
      <c r="E4" s="26" t="inlineStr">
        <is>
          <t>Abril</t>
        </is>
      </c>
      <c r="F4" s="26" t="inlineStr">
        <is>
          <t>Mayo</t>
        </is>
      </c>
      <c r="G4" s="26" t="inlineStr">
        <is>
          <t>Junio</t>
        </is>
      </c>
      <c r="H4" s="26" t="inlineStr">
        <is>
          <t>Julio</t>
        </is>
      </c>
      <c r="I4" s="26" t="inlineStr">
        <is>
          <t>Agosto</t>
        </is>
      </c>
      <c r="J4" s="26" t="inlineStr">
        <is>
          <t>Septiembre</t>
        </is>
      </c>
      <c r="K4" s="26" t="inlineStr">
        <is>
          <t>Octubre</t>
        </is>
      </c>
      <c r="L4" s="26" t="inlineStr">
        <is>
          <t>Noviembre</t>
        </is>
      </c>
      <c r="M4" s="26" t="inlineStr">
        <is>
          <t>Diciembre</t>
        </is>
      </c>
      <c r="N4" s="48" t="inlineStr">
        <is>
          <t>Total año</t>
        </is>
      </c>
    </row>
    <row r="6" ht="20" customHeight="1">
      <c r="A6" s="75" t="inlineStr">
        <is>
          <t>IVA DÉBITO</t>
        </is>
      </c>
      <c r="B6" s="97" t="n"/>
      <c r="C6" s="97" t="n"/>
      <c r="D6" s="97" t="n"/>
      <c r="E6" s="97" t="n"/>
      <c r="F6" s="97" t="n"/>
      <c r="G6" s="97" t="n"/>
      <c r="H6" s="97" t="n"/>
      <c r="I6" s="97" t="n"/>
      <c r="J6" s="97" t="n"/>
      <c r="K6" s="97" t="n"/>
      <c r="L6" s="97" t="n"/>
      <c r="M6" s="97" t="n"/>
      <c r="N6" s="98" t="n"/>
    </row>
    <row r="7">
      <c r="A7" s="50" t="inlineStr">
        <is>
          <t>Débito ventas de autos / comisiones</t>
        </is>
      </c>
      <c r="B7" s="51">
        <f>SUMIFS(Ventas_Autos!$X$6:$X$205,Ventas_Autos!$U$6:$U$205,Configuracion!$B$7,Ventas_Autos!$V$6:$V$205,1,Ventas_Autos!$Q$6:$Q$205,"Vendido")</f>
        <v/>
      </c>
      <c r="C7" s="51">
        <f>SUMIFS(Ventas_Autos!$X$6:$X$205,Ventas_Autos!$U$6:$U$205,Configuracion!$B$7,Ventas_Autos!$V$6:$V$205,2,Ventas_Autos!$Q$6:$Q$205,"Vendido")</f>
        <v/>
      </c>
      <c r="D7" s="51">
        <f>SUMIFS(Ventas_Autos!$X$6:$X$205,Ventas_Autos!$U$6:$U$205,Configuracion!$B$7,Ventas_Autos!$V$6:$V$205,3,Ventas_Autos!$Q$6:$Q$205,"Vendido")</f>
        <v/>
      </c>
      <c r="E7" s="51">
        <f>SUMIFS(Ventas_Autos!$X$6:$X$205,Ventas_Autos!$U$6:$U$205,Configuracion!$B$7,Ventas_Autos!$V$6:$V$205,4,Ventas_Autos!$Q$6:$Q$205,"Vendido")</f>
        <v/>
      </c>
      <c r="F7" s="51">
        <f>SUMIFS(Ventas_Autos!$X$6:$X$205,Ventas_Autos!$U$6:$U$205,Configuracion!$B$7,Ventas_Autos!$V$6:$V$205,5,Ventas_Autos!$Q$6:$Q$205,"Vendido")</f>
        <v/>
      </c>
      <c r="G7" s="51">
        <f>SUMIFS(Ventas_Autos!$X$6:$X$205,Ventas_Autos!$U$6:$U$205,Configuracion!$B$7,Ventas_Autos!$V$6:$V$205,6,Ventas_Autos!$Q$6:$Q$205,"Vendido")</f>
        <v/>
      </c>
      <c r="H7" s="51">
        <f>SUMIFS(Ventas_Autos!$X$6:$X$205,Ventas_Autos!$U$6:$U$205,Configuracion!$B$7,Ventas_Autos!$V$6:$V$205,7,Ventas_Autos!$Q$6:$Q$205,"Vendido")</f>
        <v/>
      </c>
      <c r="I7" s="51">
        <f>SUMIFS(Ventas_Autos!$X$6:$X$205,Ventas_Autos!$U$6:$U$205,Configuracion!$B$7,Ventas_Autos!$V$6:$V$205,8,Ventas_Autos!$Q$6:$Q$205,"Vendido")</f>
        <v/>
      </c>
      <c r="J7" s="51">
        <f>SUMIFS(Ventas_Autos!$X$6:$X$205,Ventas_Autos!$U$6:$U$205,Configuracion!$B$7,Ventas_Autos!$V$6:$V$205,9,Ventas_Autos!$Q$6:$Q$205,"Vendido")</f>
        <v/>
      </c>
      <c r="K7" s="51">
        <f>SUMIFS(Ventas_Autos!$X$6:$X$205,Ventas_Autos!$U$6:$U$205,Configuracion!$B$7,Ventas_Autos!$V$6:$V$205,10,Ventas_Autos!$Q$6:$Q$205,"Vendido")</f>
        <v/>
      </c>
      <c r="L7" s="51">
        <f>SUMIFS(Ventas_Autos!$X$6:$X$205,Ventas_Autos!$U$6:$U$205,Configuracion!$B$7,Ventas_Autos!$V$6:$V$205,11,Ventas_Autos!$Q$6:$Q$205,"Vendido")</f>
        <v/>
      </c>
      <c r="M7" s="51">
        <f>SUMIFS(Ventas_Autos!$X$6:$X$205,Ventas_Autos!$U$6:$U$205,Configuracion!$B$7,Ventas_Autos!$V$6:$V$205,12,Ventas_Autos!$Q$6:$Q$205,"Vendido")</f>
        <v/>
      </c>
      <c r="N7" s="78">
        <f>SUM(B7:M7)</f>
        <v/>
      </c>
    </row>
    <row r="8">
      <c r="A8" s="50" t="inlineStr">
        <is>
          <t>Débito taller y repuestos</t>
        </is>
      </c>
      <c r="B8" s="51">
        <f>SUMIFS(Taller_Repuestos!$G$6:$G$205,Taller_Repuestos!$M$6:$M$205,Configuracion!$B$7,Taller_Repuestos!$N$6:$N$205,1)</f>
        <v/>
      </c>
      <c r="C8" s="51">
        <f>SUMIFS(Taller_Repuestos!$G$6:$G$205,Taller_Repuestos!$M$6:$M$205,Configuracion!$B$7,Taller_Repuestos!$N$6:$N$205,2)</f>
        <v/>
      </c>
      <c r="D8" s="51">
        <f>SUMIFS(Taller_Repuestos!$G$6:$G$205,Taller_Repuestos!$M$6:$M$205,Configuracion!$B$7,Taller_Repuestos!$N$6:$N$205,3)</f>
        <v/>
      </c>
      <c r="E8" s="51">
        <f>SUMIFS(Taller_Repuestos!$G$6:$G$205,Taller_Repuestos!$M$6:$M$205,Configuracion!$B$7,Taller_Repuestos!$N$6:$N$205,4)</f>
        <v/>
      </c>
      <c r="F8" s="51">
        <f>SUMIFS(Taller_Repuestos!$G$6:$G$205,Taller_Repuestos!$M$6:$M$205,Configuracion!$B$7,Taller_Repuestos!$N$6:$N$205,5)</f>
        <v/>
      </c>
      <c r="G8" s="51">
        <f>SUMIFS(Taller_Repuestos!$G$6:$G$205,Taller_Repuestos!$M$6:$M$205,Configuracion!$B$7,Taller_Repuestos!$N$6:$N$205,6)</f>
        <v/>
      </c>
      <c r="H8" s="51">
        <f>SUMIFS(Taller_Repuestos!$G$6:$G$205,Taller_Repuestos!$M$6:$M$205,Configuracion!$B$7,Taller_Repuestos!$N$6:$N$205,7)</f>
        <v/>
      </c>
      <c r="I8" s="51">
        <f>SUMIFS(Taller_Repuestos!$G$6:$G$205,Taller_Repuestos!$M$6:$M$205,Configuracion!$B$7,Taller_Repuestos!$N$6:$N$205,8)</f>
        <v/>
      </c>
      <c r="J8" s="51">
        <f>SUMIFS(Taller_Repuestos!$G$6:$G$205,Taller_Repuestos!$M$6:$M$205,Configuracion!$B$7,Taller_Repuestos!$N$6:$N$205,9)</f>
        <v/>
      </c>
      <c r="K8" s="51">
        <f>SUMIFS(Taller_Repuestos!$G$6:$G$205,Taller_Repuestos!$M$6:$M$205,Configuracion!$B$7,Taller_Repuestos!$N$6:$N$205,10)</f>
        <v/>
      </c>
      <c r="L8" s="51">
        <f>SUMIFS(Taller_Repuestos!$G$6:$G$205,Taller_Repuestos!$M$6:$M$205,Configuracion!$B$7,Taller_Repuestos!$N$6:$N$205,11)</f>
        <v/>
      </c>
      <c r="M8" s="51">
        <f>SUMIFS(Taller_Repuestos!$G$6:$G$205,Taller_Repuestos!$M$6:$M$205,Configuracion!$B$7,Taller_Repuestos!$N$6:$N$205,12)</f>
        <v/>
      </c>
      <c r="N8" s="78">
        <f>SUM(B8:M8)</f>
        <v/>
      </c>
    </row>
    <row r="9">
      <c r="A9" s="50" t="inlineStr">
        <is>
          <t>Débito otros ingresos</t>
        </is>
      </c>
      <c r="B9" s="51">
        <f>SUMIFS(Otros_Ingresos!$F$6:$F$105,Otros_Ingresos!$H$6:$H$105,Configuracion!$B$7,Otros_Ingresos!$I$6:$I$105,1)</f>
        <v/>
      </c>
      <c r="C9" s="51">
        <f>SUMIFS(Otros_Ingresos!$F$6:$F$105,Otros_Ingresos!$H$6:$H$105,Configuracion!$B$7,Otros_Ingresos!$I$6:$I$105,2)</f>
        <v/>
      </c>
      <c r="D9" s="51">
        <f>SUMIFS(Otros_Ingresos!$F$6:$F$105,Otros_Ingresos!$H$6:$H$105,Configuracion!$B$7,Otros_Ingresos!$I$6:$I$105,3)</f>
        <v/>
      </c>
      <c r="E9" s="51">
        <f>SUMIFS(Otros_Ingresos!$F$6:$F$105,Otros_Ingresos!$H$6:$H$105,Configuracion!$B$7,Otros_Ingresos!$I$6:$I$105,4)</f>
        <v/>
      </c>
      <c r="F9" s="51">
        <f>SUMIFS(Otros_Ingresos!$F$6:$F$105,Otros_Ingresos!$H$6:$H$105,Configuracion!$B$7,Otros_Ingresos!$I$6:$I$105,5)</f>
        <v/>
      </c>
      <c r="G9" s="51">
        <f>SUMIFS(Otros_Ingresos!$F$6:$F$105,Otros_Ingresos!$H$6:$H$105,Configuracion!$B$7,Otros_Ingresos!$I$6:$I$105,6)</f>
        <v/>
      </c>
      <c r="H9" s="51">
        <f>SUMIFS(Otros_Ingresos!$F$6:$F$105,Otros_Ingresos!$H$6:$H$105,Configuracion!$B$7,Otros_Ingresos!$I$6:$I$105,7)</f>
        <v/>
      </c>
      <c r="I9" s="51">
        <f>SUMIFS(Otros_Ingresos!$F$6:$F$105,Otros_Ingresos!$H$6:$H$105,Configuracion!$B$7,Otros_Ingresos!$I$6:$I$105,8)</f>
        <v/>
      </c>
      <c r="J9" s="51">
        <f>SUMIFS(Otros_Ingresos!$F$6:$F$105,Otros_Ingresos!$H$6:$H$105,Configuracion!$B$7,Otros_Ingresos!$I$6:$I$105,9)</f>
        <v/>
      </c>
      <c r="K9" s="51">
        <f>SUMIFS(Otros_Ingresos!$F$6:$F$105,Otros_Ingresos!$H$6:$H$105,Configuracion!$B$7,Otros_Ingresos!$I$6:$I$105,10)</f>
        <v/>
      </c>
      <c r="L9" s="51">
        <f>SUMIFS(Otros_Ingresos!$F$6:$F$105,Otros_Ingresos!$H$6:$H$105,Configuracion!$B$7,Otros_Ingresos!$I$6:$I$105,11)</f>
        <v/>
      </c>
      <c r="M9" s="51">
        <f>SUMIFS(Otros_Ingresos!$F$6:$F$105,Otros_Ingresos!$H$6:$H$105,Configuracion!$B$7,Otros_Ingresos!$I$6:$I$105,12)</f>
        <v/>
      </c>
      <c r="N9" s="78">
        <f>SUM(B9:M9)</f>
        <v/>
      </c>
    </row>
    <row r="10">
      <c r="A10" s="53" t="inlineStr">
        <is>
          <t>TOTAL DÉBITO</t>
        </is>
      </c>
      <c r="B10" s="54">
        <f>B7+B8+B9</f>
        <v/>
      </c>
      <c r="C10" s="54">
        <f>C7+C8+C9</f>
        <v/>
      </c>
      <c r="D10" s="54">
        <f>D7+D8+D9</f>
        <v/>
      </c>
      <c r="E10" s="54">
        <f>E7+E8+E9</f>
        <v/>
      </c>
      <c r="F10" s="54">
        <f>F7+F8+F9</f>
        <v/>
      </c>
      <c r="G10" s="54">
        <f>G7+G8+G9</f>
        <v/>
      </c>
      <c r="H10" s="54">
        <f>H7+H8+H9</f>
        <v/>
      </c>
      <c r="I10" s="54">
        <f>I7+I8+I9</f>
        <v/>
      </c>
      <c r="J10" s="54">
        <f>J7+J8+J9</f>
        <v/>
      </c>
      <c r="K10" s="54">
        <f>K7+K8+K9</f>
        <v/>
      </c>
      <c r="L10" s="54">
        <f>L7+L8+L9</f>
        <v/>
      </c>
      <c r="M10" s="54">
        <f>M7+M8+M9</f>
        <v/>
      </c>
      <c r="N10" s="54">
        <f>SUM(B10:M10)</f>
        <v/>
      </c>
    </row>
    <row r="12" ht="20" customHeight="1">
      <c r="A12" s="75" t="inlineStr">
        <is>
          <t>IVA CRÉDITO</t>
        </is>
      </c>
      <c r="B12" s="97" t="n"/>
      <c r="C12" s="97" t="n"/>
      <c r="D12" s="97" t="n"/>
      <c r="E12" s="97" t="n"/>
      <c r="F12" s="97" t="n"/>
      <c r="G12" s="97" t="n"/>
      <c r="H12" s="97" t="n"/>
      <c r="I12" s="97" t="n"/>
      <c r="J12" s="97" t="n"/>
      <c r="K12" s="97" t="n"/>
      <c r="L12" s="97" t="n"/>
      <c r="M12" s="97" t="n"/>
      <c r="N12" s="98" t="n"/>
    </row>
    <row r="13">
      <c r="A13" s="50" t="inlineStr">
        <is>
          <t>Crédito compra de autos</t>
        </is>
      </c>
      <c r="B13" s="51">
        <f>SUMIFS(Ventas_Autos!$L$6:$L$205,Ventas_Autos!$S$6:$S$205,Configuracion!$B$7,Ventas_Autos!$T$6:$T$205,1,Ventas_Autos!$J$6:$J$205,"Sí")</f>
        <v/>
      </c>
      <c r="C13" s="51">
        <f>SUMIFS(Ventas_Autos!$L$6:$L$205,Ventas_Autos!$S$6:$S$205,Configuracion!$B$7,Ventas_Autos!$T$6:$T$205,2,Ventas_Autos!$J$6:$J$205,"Sí")</f>
        <v/>
      </c>
      <c r="D13" s="51">
        <f>SUMIFS(Ventas_Autos!$L$6:$L$205,Ventas_Autos!$S$6:$S$205,Configuracion!$B$7,Ventas_Autos!$T$6:$T$205,3,Ventas_Autos!$J$6:$J$205,"Sí")</f>
        <v/>
      </c>
      <c r="E13" s="51">
        <f>SUMIFS(Ventas_Autos!$L$6:$L$205,Ventas_Autos!$S$6:$S$205,Configuracion!$B$7,Ventas_Autos!$T$6:$T$205,4,Ventas_Autos!$J$6:$J$205,"Sí")</f>
        <v/>
      </c>
      <c r="F13" s="51">
        <f>SUMIFS(Ventas_Autos!$L$6:$L$205,Ventas_Autos!$S$6:$S$205,Configuracion!$B$7,Ventas_Autos!$T$6:$T$205,5,Ventas_Autos!$J$6:$J$205,"Sí")</f>
        <v/>
      </c>
      <c r="G13" s="51">
        <f>SUMIFS(Ventas_Autos!$L$6:$L$205,Ventas_Autos!$S$6:$S$205,Configuracion!$B$7,Ventas_Autos!$T$6:$T$205,6,Ventas_Autos!$J$6:$J$205,"Sí")</f>
        <v/>
      </c>
      <c r="H13" s="51">
        <f>SUMIFS(Ventas_Autos!$L$6:$L$205,Ventas_Autos!$S$6:$S$205,Configuracion!$B$7,Ventas_Autos!$T$6:$T$205,7,Ventas_Autos!$J$6:$J$205,"Sí")</f>
        <v/>
      </c>
      <c r="I13" s="51">
        <f>SUMIFS(Ventas_Autos!$L$6:$L$205,Ventas_Autos!$S$6:$S$205,Configuracion!$B$7,Ventas_Autos!$T$6:$T$205,8,Ventas_Autos!$J$6:$J$205,"Sí")</f>
        <v/>
      </c>
      <c r="J13" s="51">
        <f>SUMIFS(Ventas_Autos!$L$6:$L$205,Ventas_Autos!$S$6:$S$205,Configuracion!$B$7,Ventas_Autos!$T$6:$T$205,9,Ventas_Autos!$J$6:$J$205,"Sí")</f>
        <v/>
      </c>
      <c r="K13" s="51">
        <f>SUMIFS(Ventas_Autos!$L$6:$L$205,Ventas_Autos!$S$6:$S$205,Configuracion!$B$7,Ventas_Autos!$T$6:$T$205,10,Ventas_Autos!$J$6:$J$205,"Sí")</f>
        <v/>
      </c>
      <c r="L13" s="51">
        <f>SUMIFS(Ventas_Autos!$L$6:$L$205,Ventas_Autos!$S$6:$S$205,Configuracion!$B$7,Ventas_Autos!$T$6:$T$205,11,Ventas_Autos!$J$6:$J$205,"Sí")</f>
        <v/>
      </c>
      <c r="M13" s="51">
        <f>SUMIFS(Ventas_Autos!$L$6:$L$205,Ventas_Autos!$S$6:$S$205,Configuracion!$B$7,Ventas_Autos!$T$6:$T$205,12,Ventas_Autos!$J$6:$J$205,"Sí")</f>
        <v/>
      </c>
      <c r="N13" s="78">
        <f>SUM(B13:M13)</f>
        <v/>
      </c>
    </row>
    <row r="14">
      <c r="A14" s="50" t="inlineStr">
        <is>
          <t>Crédito costos de taller/repuestos</t>
        </is>
      </c>
      <c r="B14" s="51">
        <f>SUMIFS(Taller_Repuestos!$K$6:$K$205,Taller_Repuestos!$M$6:$M$205,Configuracion!$B$7,Taller_Repuestos!$N$6:$N$205,1)</f>
        <v/>
      </c>
      <c r="C14" s="51">
        <f>SUMIFS(Taller_Repuestos!$K$6:$K$205,Taller_Repuestos!$M$6:$M$205,Configuracion!$B$7,Taller_Repuestos!$N$6:$N$205,2)</f>
        <v/>
      </c>
      <c r="D14" s="51">
        <f>SUMIFS(Taller_Repuestos!$K$6:$K$205,Taller_Repuestos!$M$6:$M$205,Configuracion!$B$7,Taller_Repuestos!$N$6:$N$205,3)</f>
        <v/>
      </c>
      <c r="E14" s="51">
        <f>SUMIFS(Taller_Repuestos!$K$6:$K$205,Taller_Repuestos!$M$6:$M$205,Configuracion!$B$7,Taller_Repuestos!$N$6:$N$205,4)</f>
        <v/>
      </c>
      <c r="F14" s="51">
        <f>SUMIFS(Taller_Repuestos!$K$6:$K$205,Taller_Repuestos!$M$6:$M$205,Configuracion!$B$7,Taller_Repuestos!$N$6:$N$205,5)</f>
        <v/>
      </c>
      <c r="G14" s="51">
        <f>SUMIFS(Taller_Repuestos!$K$6:$K$205,Taller_Repuestos!$M$6:$M$205,Configuracion!$B$7,Taller_Repuestos!$N$6:$N$205,6)</f>
        <v/>
      </c>
      <c r="H14" s="51">
        <f>SUMIFS(Taller_Repuestos!$K$6:$K$205,Taller_Repuestos!$M$6:$M$205,Configuracion!$B$7,Taller_Repuestos!$N$6:$N$205,7)</f>
        <v/>
      </c>
      <c r="I14" s="51">
        <f>SUMIFS(Taller_Repuestos!$K$6:$K$205,Taller_Repuestos!$M$6:$M$205,Configuracion!$B$7,Taller_Repuestos!$N$6:$N$205,8)</f>
        <v/>
      </c>
      <c r="J14" s="51">
        <f>SUMIFS(Taller_Repuestos!$K$6:$K$205,Taller_Repuestos!$M$6:$M$205,Configuracion!$B$7,Taller_Repuestos!$N$6:$N$205,9)</f>
        <v/>
      </c>
      <c r="K14" s="51">
        <f>SUMIFS(Taller_Repuestos!$K$6:$K$205,Taller_Repuestos!$M$6:$M$205,Configuracion!$B$7,Taller_Repuestos!$N$6:$N$205,10)</f>
        <v/>
      </c>
      <c r="L14" s="51">
        <f>SUMIFS(Taller_Repuestos!$K$6:$K$205,Taller_Repuestos!$M$6:$M$205,Configuracion!$B$7,Taller_Repuestos!$N$6:$N$205,11)</f>
        <v/>
      </c>
      <c r="M14" s="51">
        <f>SUMIFS(Taller_Repuestos!$K$6:$K$205,Taller_Repuestos!$M$6:$M$205,Configuracion!$B$7,Taller_Repuestos!$N$6:$N$205,12)</f>
        <v/>
      </c>
      <c r="N14" s="78">
        <f>SUM(B14:M14)</f>
        <v/>
      </c>
    </row>
    <row r="15">
      <c r="A15" s="50" t="inlineStr">
        <is>
          <t>Crédito gastos fijos</t>
        </is>
      </c>
      <c r="B15" s="51">
        <f>SUMIFS(Comprobantes!$J$6:$J$2005,Comprobantes!$C$6:$C$2005,"Gasto fijo",Comprobantes!$L$6:$L$2005,Configuracion!$B$7,Comprobantes!$M$6:$M$2005,1,Comprobantes!$O$6:$O$2005,"Confirmado")</f>
        <v/>
      </c>
      <c r="C15" s="51">
        <f>SUMIFS(Comprobantes!$J$6:$J$2005,Comprobantes!$C$6:$C$2005,"Gasto fijo",Comprobantes!$L$6:$L$2005,Configuracion!$B$7,Comprobantes!$M$6:$M$2005,2,Comprobantes!$O$6:$O$2005,"Confirmado")</f>
        <v/>
      </c>
      <c r="D15" s="51">
        <f>SUMIFS(Comprobantes!$J$6:$J$2005,Comprobantes!$C$6:$C$2005,"Gasto fijo",Comprobantes!$L$6:$L$2005,Configuracion!$B$7,Comprobantes!$M$6:$M$2005,3,Comprobantes!$O$6:$O$2005,"Confirmado")</f>
        <v/>
      </c>
      <c r="E15" s="51">
        <f>SUMIFS(Comprobantes!$J$6:$J$2005,Comprobantes!$C$6:$C$2005,"Gasto fijo",Comprobantes!$L$6:$L$2005,Configuracion!$B$7,Comprobantes!$M$6:$M$2005,4,Comprobantes!$O$6:$O$2005,"Confirmado")</f>
        <v/>
      </c>
      <c r="F15" s="51">
        <f>SUMIFS(Comprobantes!$J$6:$J$2005,Comprobantes!$C$6:$C$2005,"Gasto fijo",Comprobantes!$L$6:$L$2005,Configuracion!$B$7,Comprobantes!$M$6:$M$2005,5,Comprobantes!$O$6:$O$2005,"Confirmado")</f>
        <v/>
      </c>
      <c r="G15" s="51">
        <f>SUMIFS(Comprobantes!$J$6:$J$2005,Comprobantes!$C$6:$C$2005,"Gasto fijo",Comprobantes!$L$6:$L$2005,Configuracion!$B$7,Comprobantes!$M$6:$M$2005,6,Comprobantes!$O$6:$O$2005,"Confirmado")</f>
        <v/>
      </c>
      <c r="H15" s="51">
        <f>SUMIFS(Comprobantes!$J$6:$J$2005,Comprobantes!$C$6:$C$2005,"Gasto fijo",Comprobantes!$L$6:$L$2005,Configuracion!$B$7,Comprobantes!$M$6:$M$2005,7,Comprobantes!$O$6:$O$2005,"Confirmado")</f>
        <v/>
      </c>
      <c r="I15" s="51">
        <f>SUMIFS(Comprobantes!$J$6:$J$2005,Comprobantes!$C$6:$C$2005,"Gasto fijo",Comprobantes!$L$6:$L$2005,Configuracion!$B$7,Comprobantes!$M$6:$M$2005,8,Comprobantes!$O$6:$O$2005,"Confirmado")</f>
        <v/>
      </c>
      <c r="J15" s="51">
        <f>SUMIFS(Comprobantes!$J$6:$J$2005,Comprobantes!$C$6:$C$2005,"Gasto fijo",Comprobantes!$L$6:$L$2005,Configuracion!$B$7,Comprobantes!$M$6:$M$2005,9,Comprobantes!$O$6:$O$2005,"Confirmado")</f>
        <v/>
      </c>
      <c r="K15" s="51">
        <f>SUMIFS(Comprobantes!$J$6:$J$2005,Comprobantes!$C$6:$C$2005,"Gasto fijo",Comprobantes!$L$6:$L$2005,Configuracion!$B$7,Comprobantes!$M$6:$M$2005,10,Comprobantes!$O$6:$O$2005,"Confirmado")</f>
        <v/>
      </c>
      <c r="L15" s="51">
        <f>SUMIFS(Comprobantes!$J$6:$J$2005,Comprobantes!$C$6:$C$2005,"Gasto fijo",Comprobantes!$L$6:$L$2005,Configuracion!$B$7,Comprobantes!$M$6:$M$2005,11,Comprobantes!$O$6:$O$2005,"Confirmado")</f>
        <v/>
      </c>
      <c r="M15" s="51">
        <f>SUMIFS(Comprobantes!$J$6:$J$2005,Comprobantes!$C$6:$C$2005,"Gasto fijo",Comprobantes!$L$6:$L$2005,Configuracion!$B$7,Comprobantes!$M$6:$M$2005,12,Comprobantes!$O$6:$O$2005,"Confirmado")</f>
        <v/>
      </c>
      <c r="N15" s="78">
        <f>SUM(B15:M15)</f>
        <v/>
      </c>
    </row>
    <row r="16">
      <c r="A16" s="50" t="inlineStr">
        <is>
          <t>Crédito gastos variables</t>
        </is>
      </c>
      <c r="B16" s="51">
        <f>SUMIFS(Comprobantes!$J$6:$J$2005,Comprobantes!$C$6:$C$2005,"Gasto variable",Comprobantes!$L$6:$L$2005,Configuracion!$B$7,Comprobantes!$M$6:$M$2005,1,Comprobantes!$O$6:$O$2005,"Confirmado")</f>
        <v/>
      </c>
      <c r="C16" s="51">
        <f>SUMIFS(Comprobantes!$J$6:$J$2005,Comprobantes!$C$6:$C$2005,"Gasto variable",Comprobantes!$L$6:$L$2005,Configuracion!$B$7,Comprobantes!$M$6:$M$2005,2,Comprobantes!$O$6:$O$2005,"Confirmado")</f>
        <v/>
      </c>
      <c r="D16" s="51">
        <f>SUMIFS(Comprobantes!$J$6:$J$2005,Comprobantes!$C$6:$C$2005,"Gasto variable",Comprobantes!$L$6:$L$2005,Configuracion!$B$7,Comprobantes!$M$6:$M$2005,3,Comprobantes!$O$6:$O$2005,"Confirmado")</f>
        <v/>
      </c>
      <c r="E16" s="51">
        <f>SUMIFS(Comprobantes!$J$6:$J$2005,Comprobantes!$C$6:$C$2005,"Gasto variable",Comprobantes!$L$6:$L$2005,Configuracion!$B$7,Comprobantes!$M$6:$M$2005,4,Comprobantes!$O$6:$O$2005,"Confirmado")</f>
        <v/>
      </c>
      <c r="F16" s="51">
        <f>SUMIFS(Comprobantes!$J$6:$J$2005,Comprobantes!$C$6:$C$2005,"Gasto variable",Comprobantes!$L$6:$L$2005,Configuracion!$B$7,Comprobantes!$M$6:$M$2005,5,Comprobantes!$O$6:$O$2005,"Confirmado")</f>
        <v/>
      </c>
      <c r="G16" s="51">
        <f>SUMIFS(Comprobantes!$J$6:$J$2005,Comprobantes!$C$6:$C$2005,"Gasto variable",Comprobantes!$L$6:$L$2005,Configuracion!$B$7,Comprobantes!$M$6:$M$2005,6,Comprobantes!$O$6:$O$2005,"Confirmado")</f>
        <v/>
      </c>
      <c r="H16" s="51">
        <f>SUMIFS(Comprobantes!$J$6:$J$2005,Comprobantes!$C$6:$C$2005,"Gasto variable",Comprobantes!$L$6:$L$2005,Configuracion!$B$7,Comprobantes!$M$6:$M$2005,7,Comprobantes!$O$6:$O$2005,"Confirmado")</f>
        <v/>
      </c>
      <c r="I16" s="51">
        <f>SUMIFS(Comprobantes!$J$6:$J$2005,Comprobantes!$C$6:$C$2005,"Gasto variable",Comprobantes!$L$6:$L$2005,Configuracion!$B$7,Comprobantes!$M$6:$M$2005,8,Comprobantes!$O$6:$O$2005,"Confirmado")</f>
        <v/>
      </c>
      <c r="J16" s="51">
        <f>SUMIFS(Comprobantes!$J$6:$J$2005,Comprobantes!$C$6:$C$2005,"Gasto variable",Comprobantes!$L$6:$L$2005,Configuracion!$B$7,Comprobantes!$M$6:$M$2005,9,Comprobantes!$O$6:$O$2005,"Confirmado")</f>
        <v/>
      </c>
      <c r="K16" s="51">
        <f>SUMIFS(Comprobantes!$J$6:$J$2005,Comprobantes!$C$6:$C$2005,"Gasto variable",Comprobantes!$L$6:$L$2005,Configuracion!$B$7,Comprobantes!$M$6:$M$2005,10,Comprobantes!$O$6:$O$2005,"Confirmado")</f>
        <v/>
      </c>
      <c r="L16" s="51">
        <f>SUMIFS(Comprobantes!$J$6:$J$2005,Comprobantes!$C$6:$C$2005,"Gasto variable",Comprobantes!$L$6:$L$2005,Configuracion!$B$7,Comprobantes!$M$6:$M$2005,11,Comprobantes!$O$6:$O$2005,"Confirmado")</f>
        <v/>
      </c>
      <c r="M16" s="51">
        <f>SUMIFS(Comprobantes!$J$6:$J$2005,Comprobantes!$C$6:$C$2005,"Gasto variable",Comprobantes!$L$6:$L$2005,Configuracion!$B$7,Comprobantes!$M$6:$M$2005,12,Comprobantes!$O$6:$O$2005,"Confirmado")</f>
        <v/>
      </c>
      <c r="N16" s="78">
        <f>SUM(B16:M16)</f>
        <v/>
      </c>
    </row>
    <row r="17">
      <c r="A17" s="55" t="inlineStr">
        <is>
          <t>TOTAL CRÉDITO</t>
        </is>
      </c>
      <c r="B17" s="56">
        <f>B13+B14+B15+B16</f>
        <v/>
      </c>
      <c r="C17" s="56">
        <f>C13+C14+C15+C16</f>
        <v/>
      </c>
      <c r="D17" s="56">
        <f>D13+D14+D15+D16</f>
        <v/>
      </c>
      <c r="E17" s="56">
        <f>E13+E14+E15+E16</f>
        <v/>
      </c>
      <c r="F17" s="56">
        <f>F13+F14+F15+F16</f>
        <v/>
      </c>
      <c r="G17" s="56">
        <f>G13+G14+G15+G16</f>
        <v/>
      </c>
      <c r="H17" s="56">
        <f>H13+H14+H15+H16</f>
        <v/>
      </c>
      <c r="I17" s="56">
        <f>I13+I14+I15+I16</f>
        <v/>
      </c>
      <c r="J17" s="56">
        <f>J13+J14+J15+J16</f>
        <v/>
      </c>
      <c r="K17" s="56">
        <f>K13+K14+K15+K16</f>
        <v/>
      </c>
      <c r="L17" s="56">
        <f>L13+L14+L15+L16</f>
        <v/>
      </c>
      <c r="M17" s="56">
        <f>M13+M14+M15+M16</f>
        <v/>
      </c>
      <c r="N17" s="56">
        <f>SUM(B17:M17)</f>
        <v/>
      </c>
    </row>
    <row r="19">
      <c r="A19" s="50" t="inlineStr">
        <is>
          <t>IVA determinado (débito − crédito)</t>
        </is>
      </c>
      <c r="B19" s="30">
        <f>B10-B17</f>
        <v/>
      </c>
      <c r="C19" s="30">
        <f>C10-C17</f>
        <v/>
      </c>
      <c r="D19" s="30">
        <f>D10-D17</f>
        <v/>
      </c>
      <c r="E19" s="30">
        <f>E10-E17</f>
        <v/>
      </c>
      <c r="F19" s="30">
        <f>F10-F17</f>
        <v/>
      </c>
      <c r="G19" s="30">
        <f>G10-G17</f>
        <v/>
      </c>
      <c r="H19" s="30">
        <f>H10-H17</f>
        <v/>
      </c>
      <c r="I19" s="30">
        <f>I10-I17</f>
        <v/>
      </c>
      <c r="J19" s="30">
        <f>J10-J17</f>
        <v/>
      </c>
      <c r="K19" s="30">
        <f>K10-K17</f>
        <v/>
      </c>
      <c r="L19" s="30">
        <f>L10-L17</f>
        <v/>
      </c>
      <c r="M19" s="30">
        <f>M10-M17</f>
        <v/>
      </c>
      <c r="N19" s="79">
        <f>SUM(B19:M19)</f>
        <v/>
      </c>
    </row>
    <row r="20">
      <c r="A20" s="50" t="inlineStr">
        <is>
          <t>Remanente de crédito del mes anterior</t>
        </is>
      </c>
      <c r="B20" s="80">
        <f>0</f>
        <v/>
      </c>
      <c r="C20" s="30">
        <f>B22</f>
        <v/>
      </c>
      <c r="D20" s="30">
        <f>C22</f>
        <v/>
      </c>
      <c r="E20" s="30">
        <f>D22</f>
        <v/>
      </c>
      <c r="F20" s="30">
        <f>E22</f>
        <v/>
      </c>
      <c r="G20" s="30">
        <f>F22</f>
        <v/>
      </c>
      <c r="H20" s="30">
        <f>G22</f>
        <v/>
      </c>
      <c r="I20" s="30">
        <f>H22</f>
        <v/>
      </c>
      <c r="J20" s="30">
        <f>I22</f>
        <v/>
      </c>
      <c r="K20" s="30">
        <f>J22</f>
        <v/>
      </c>
      <c r="L20" s="30">
        <f>K22</f>
        <v/>
      </c>
      <c r="M20" s="30">
        <f>L22</f>
        <v/>
      </c>
      <c r="N20" s="81" t="inlineStr"/>
    </row>
    <row r="21">
      <c r="A21" s="82" t="inlineStr">
        <is>
          <t>IVA A PAGAR</t>
        </is>
      </c>
      <c r="B21" s="54">
        <f>MAX(0,B19-B20)</f>
        <v/>
      </c>
      <c r="C21" s="54">
        <f>MAX(0,C19-C20)</f>
        <v/>
      </c>
      <c r="D21" s="54">
        <f>MAX(0,D19-D20)</f>
        <v/>
      </c>
      <c r="E21" s="54">
        <f>MAX(0,E19-E20)</f>
        <v/>
      </c>
      <c r="F21" s="54">
        <f>MAX(0,F19-F20)</f>
        <v/>
      </c>
      <c r="G21" s="54">
        <f>MAX(0,G19-G20)</f>
        <v/>
      </c>
      <c r="H21" s="54">
        <f>MAX(0,H19-H20)</f>
        <v/>
      </c>
      <c r="I21" s="54">
        <f>MAX(0,I19-I20)</f>
        <v/>
      </c>
      <c r="J21" s="54">
        <f>MAX(0,J19-J20)</f>
        <v/>
      </c>
      <c r="K21" s="54">
        <f>MAX(0,K19-K20)</f>
        <v/>
      </c>
      <c r="L21" s="54">
        <f>MAX(0,L19-L20)</f>
        <v/>
      </c>
      <c r="M21" s="54">
        <f>MAX(0,M19-M20)</f>
        <v/>
      </c>
      <c r="N21" s="52">
        <f>SUM(B21:M21)</f>
        <v/>
      </c>
    </row>
    <row r="22">
      <c r="A22" s="50" t="inlineStr">
        <is>
          <t>Remanente para el mes siguiente</t>
        </is>
      </c>
      <c r="B22" s="30">
        <f>MAX(0,B20-B19)</f>
        <v/>
      </c>
      <c r="C22" s="30">
        <f>MAX(0,C20-C19)</f>
        <v/>
      </c>
      <c r="D22" s="30">
        <f>MAX(0,D20-D19)</f>
        <v/>
      </c>
      <c r="E22" s="30">
        <f>MAX(0,E20-E19)</f>
        <v/>
      </c>
      <c r="F22" s="30">
        <f>MAX(0,F20-F19)</f>
        <v/>
      </c>
      <c r="G22" s="30">
        <f>MAX(0,G20-G19)</f>
        <v/>
      </c>
      <c r="H22" s="30">
        <f>MAX(0,H20-H19)</f>
        <v/>
      </c>
      <c r="I22" s="30">
        <f>MAX(0,I20-I19)</f>
        <v/>
      </c>
      <c r="J22" s="30">
        <f>MAX(0,J20-J19)</f>
        <v/>
      </c>
      <c r="K22" s="30">
        <f>MAX(0,K20-K19)</f>
        <v/>
      </c>
      <c r="L22" s="30">
        <f>MAX(0,L20-L19)</f>
        <v/>
      </c>
      <c r="M22" s="30">
        <f>MAX(0,M20-M19)</f>
        <v/>
      </c>
      <c r="N22" s="83" t="inlineStr"/>
    </row>
    <row r="24">
      <c r="A24" s="7" t="inlineStr">
        <is>
          <t>Cómo leerlo</t>
        </is>
      </c>
    </row>
    <row r="25" ht="40" customHeight="1">
      <c r="A25" s="84" t="inlineStr">
        <is>
          <t>Si IVA a pagar &gt; 0, ese monto va en el F29 junto con el PPM. Si remanente &gt; 0, no pagas IVA ese mes y el saldo baja el IVA de los meses siguientes. El crédito de autos entra en el mes de la COMPRA (fecha compra), el débito en el mes de la VENTA.</t>
        </is>
      </c>
    </row>
    <row r="26"/>
  </sheetData>
  <mergeCells count="6">
    <mergeCell ref="A3:N3"/>
    <mergeCell ref="A6:N6"/>
    <mergeCell ref="A25:N26"/>
    <mergeCell ref="A12:N12"/>
    <mergeCell ref="A2:N2"/>
    <mergeCell ref="A1:N1"/>
  </mergeCells>
  <printOptions horizontalCentered="1"/>
  <pageMargins left="0.4" right="0.4" top="0.5" bottom="0.5" header="0.5" footer="0.5"/>
  <pageSetup orientation="landscape" paperSize="9" fitToHeight="0" fitToWidth="1"/>
  <headerFooter>
    <oddHeader>&amp;LControl financiero automotora</oddHeader>
    <oddFooter>&amp;RPágina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C53030"/>
    <outlinePr summaryBelow="1" summaryRight="1"/>
    <pageSetUpPr fitToPage="1"/>
  </sheetPr>
  <dimension ref="A1:N22"/>
  <sheetViews>
    <sheetView showGridLines="0" zoomScale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8" customHeight="1">
      <c r="A1" s="1" t="inlineStr">
        <is>
          <t xml:space="preserve">  PPM e impuesto a la renta</t>
        </is>
      </c>
    </row>
    <row r="2" ht="20" customHeight="1">
      <c r="A2" s="3" t="inlineStr">
        <is>
          <t xml:space="preserve">  PPM = ingresos netos del mes × tasa. Se paga en el F29. No es un gasto; es un anticipo del impuesto anual.</t>
        </is>
      </c>
    </row>
    <row r="4">
      <c r="A4" s="26" t="inlineStr">
        <is>
          <t>Concepto</t>
        </is>
      </c>
      <c r="B4" s="26" t="inlineStr">
        <is>
          <t>Enero</t>
        </is>
      </c>
      <c r="C4" s="26" t="inlineStr">
        <is>
          <t>Febrero</t>
        </is>
      </c>
      <c r="D4" s="26" t="inlineStr">
        <is>
          <t>Marzo</t>
        </is>
      </c>
      <c r="E4" s="26" t="inlineStr">
        <is>
          <t>Abril</t>
        </is>
      </c>
      <c r="F4" s="26" t="inlineStr">
        <is>
          <t>Mayo</t>
        </is>
      </c>
      <c r="G4" s="26" t="inlineStr">
        <is>
          <t>Junio</t>
        </is>
      </c>
      <c r="H4" s="26" t="inlineStr">
        <is>
          <t>Julio</t>
        </is>
      </c>
      <c r="I4" s="26" t="inlineStr">
        <is>
          <t>Agosto</t>
        </is>
      </c>
      <c r="J4" s="26" t="inlineStr">
        <is>
          <t>Septiembre</t>
        </is>
      </c>
      <c r="K4" s="26" t="inlineStr">
        <is>
          <t>Octubre</t>
        </is>
      </c>
      <c r="L4" s="26" t="inlineStr">
        <is>
          <t>Noviembre</t>
        </is>
      </c>
      <c r="M4" s="26" t="inlineStr">
        <is>
          <t>Diciembre</t>
        </is>
      </c>
      <c r="N4" s="48" t="inlineStr">
        <is>
          <t>Total año</t>
        </is>
      </c>
    </row>
    <row r="5" ht="20" customHeight="1">
      <c r="A5" s="49" t="inlineStr">
        <is>
          <t>PAGO PROVISIONAL MENSUAL</t>
        </is>
      </c>
    </row>
    <row r="6">
      <c r="A6" s="50" t="inlineStr">
        <is>
          <t>Base PPM (ingresos netos del mes)</t>
        </is>
      </c>
      <c r="B6" s="30">
        <f>Estado_Resultados!B13</f>
        <v/>
      </c>
      <c r="C6" s="30">
        <f>Estado_Resultados!C13</f>
        <v/>
      </c>
      <c r="D6" s="30">
        <f>Estado_Resultados!D13</f>
        <v/>
      </c>
      <c r="E6" s="30">
        <f>Estado_Resultados!E13</f>
        <v/>
      </c>
      <c r="F6" s="30">
        <f>Estado_Resultados!F13</f>
        <v/>
      </c>
      <c r="G6" s="30">
        <f>Estado_Resultados!G13</f>
        <v/>
      </c>
      <c r="H6" s="30">
        <f>Estado_Resultados!H13</f>
        <v/>
      </c>
      <c r="I6" s="30">
        <f>Estado_Resultados!I13</f>
        <v/>
      </c>
      <c r="J6" s="30">
        <f>Estado_Resultados!J13</f>
        <v/>
      </c>
      <c r="K6" s="30">
        <f>Estado_Resultados!K13</f>
        <v/>
      </c>
      <c r="L6" s="30">
        <f>Estado_Resultados!L13</f>
        <v/>
      </c>
      <c r="M6" s="30">
        <f>Estado_Resultados!M13</f>
        <v/>
      </c>
      <c r="N6" s="78">
        <f>SUM(B6:M6)</f>
        <v/>
      </c>
    </row>
    <row r="7">
      <c r="A7" s="50" t="inlineStr">
        <is>
          <t>Tasa PPM</t>
        </is>
      </c>
      <c r="B7" s="31">
        <f>Configuracion!$B$12</f>
        <v/>
      </c>
      <c r="C7" s="31">
        <f>Configuracion!$B$12</f>
        <v/>
      </c>
      <c r="D7" s="31">
        <f>Configuracion!$B$12</f>
        <v/>
      </c>
      <c r="E7" s="31">
        <f>Configuracion!$B$12</f>
        <v/>
      </c>
      <c r="F7" s="31">
        <f>Configuracion!$B$12</f>
        <v/>
      </c>
      <c r="G7" s="31">
        <f>Configuracion!$B$12</f>
        <v/>
      </c>
      <c r="H7" s="31">
        <f>Configuracion!$B$12</f>
        <v/>
      </c>
      <c r="I7" s="31">
        <f>Configuracion!$B$12</f>
        <v/>
      </c>
      <c r="J7" s="31">
        <f>Configuracion!$B$12</f>
        <v/>
      </c>
      <c r="K7" s="31">
        <f>Configuracion!$B$12</f>
        <v/>
      </c>
      <c r="L7" s="31">
        <f>Configuracion!$B$12</f>
        <v/>
      </c>
      <c r="M7" s="31">
        <f>Configuracion!$B$12</f>
        <v/>
      </c>
      <c r="N7" s="85">
        <f>Configuracion!$B$12</f>
        <v/>
      </c>
    </row>
    <row r="8">
      <c r="A8" s="53" t="inlineStr">
        <is>
          <t>PPM DEL MES</t>
        </is>
      </c>
      <c r="B8" s="54">
        <f>ROUND(B6*B7,0)</f>
        <v/>
      </c>
      <c r="C8" s="54">
        <f>ROUND(C6*C7,0)</f>
        <v/>
      </c>
      <c r="D8" s="54">
        <f>ROUND(D6*D7,0)</f>
        <v/>
      </c>
      <c r="E8" s="54">
        <f>ROUND(E6*E7,0)</f>
        <v/>
      </c>
      <c r="F8" s="54">
        <f>ROUND(F6*F7,0)</f>
        <v/>
      </c>
      <c r="G8" s="54">
        <f>ROUND(G6*G7,0)</f>
        <v/>
      </c>
      <c r="H8" s="54">
        <f>ROUND(H6*H7,0)</f>
        <v/>
      </c>
      <c r="I8" s="54">
        <f>ROUND(I6*I7,0)</f>
        <v/>
      </c>
      <c r="J8" s="54">
        <f>ROUND(J6*J7,0)</f>
        <v/>
      </c>
      <c r="K8" s="54">
        <f>ROUND(K6*K7,0)</f>
        <v/>
      </c>
      <c r="L8" s="54">
        <f>ROUND(L6*L7,0)</f>
        <v/>
      </c>
      <c r="M8" s="54">
        <f>ROUND(M6*M7,0)</f>
        <v/>
      </c>
      <c r="N8" s="78">
        <f>SUM(B8:M8)</f>
        <v/>
      </c>
    </row>
    <row r="9">
      <c r="A9" s="50" t="inlineStr">
        <is>
          <t>PPM acumulado del año</t>
        </is>
      </c>
      <c r="B9" s="30">
        <f>B8</f>
        <v/>
      </c>
      <c r="C9" s="30">
        <f>B9+C8</f>
        <v/>
      </c>
      <c r="D9" s="30">
        <f>C9+D8</f>
        <v/>
      </c>
      <c r="E9" s="30">
        <f>D9+E8</f>
        <v/>
      </c>
      <c r="F9" s="30">
        <f>E9+F8</f>
        <v/>
      </c>
      <c r="G9" s="30">
        <f>F9+G8</f>
        <v/>
      </c>
      <c r="H9" s="30">
        <f>G9+H8</f>
        <v/>
      </c>
      <c r="I9" s="30">
        <f>H9+I8</f>
        <v/>
      </c>
      <c r="J9" s="30">
        <f>I9+J8</f>
        <v/>
      </c>
      <c r="K9" s="30">
        <f>J9+K8</f>
        <v/>
      </c>
      <c r="L9" s="30">
        <f>K9+L8</f>
        <v/>
      </c>
      <c r="M9" s="30">
        <f>L9+M8</f>
        <v/>
      </c>
      <c r="N9" s="78">
        <f>M9</f>
        <v/>
      </c>
    </row>
    <row r="10" ht="20" customHeight="1">
      <c r="A10" s="49" t="inlineStr">
        <is>
          <t>CRUCE CON IMPUESTO A LA RENTA (estimado)</t>
        </is>
      </c>
    </row>
    <row r="11">
      <c r="A11" s="50" t="inlineStr">
        <is>
          <t>Utilidad operacional del mes</t>
        </is>
      </c>
      <c r="B11" s="30">
        <f>Estado_Resultados!B27</f>
        <v/>
      </c>
      <c r="C11" s="30">
        <f>Estado_Resultados!C27</f>
        <v/>
      </c>
      <c r="D11" s="30">
        <f>Estado_Resultados!D27</f>
        <v/>
      </c>
      <c r="E11" s="30">
        <f>Estado_Resultados!E27</f>
        <v/>
      </c>
      <c r="F11" s="30">
        <f>Estado_Resultados!F27</f>
        <v/>
      </c>
      <c r="G11" s="30">
        <f>Estado_Resultados!G27</f>
        <v/>
      </c>
      <c r="H11" s="30">
        <f>Estado_Resultados!H27</f>
        <v/>
      </c>
      <c r="I11" s="30">
        <f>Estado_Resultados!I27</f>
        <v/>
      </c>
      <c r="J11" s="30">
        <f>Estado_Resultados!J27</f>
        <v/>
      </c>
      <c r="K11" s="30">
        <f>Estado_Resultados!K27</f>
        <v/>
      </c>
      <c r="L11" s="30">
        <f>Estado_Resultados!L27</f>
        <v/>
      </c>
      <c r="M11" s="30">
        <f>Estado_Resultados!M27</f>
        <v/>
      </c>
      <c r="N11" s="78">
        <f>SUM(B11:M11)</f>
        <v/>
      </c>
    </row>
    <row r="12">
      <c r="A12" s="50" t="inlineStr">
        <is>
          <t>Provisión 1ª categoría del mes</t>
        </is>
      </c>
      <c r="B12" s="30">
        <f>Estado_Resultados!B31</f>
        <v/>
      </c>
      <c r="C12" s="30">
        <f>Estado_Resultados!C31</f>
        <v/>
      </c>
      <c r="D12" s="30">
        <f>Estado_Resultados!D31</f>
        <v/>
      </c>
      <c r="E12" s="30">
        <f>Estado_Resultados!E31</f>
        <v/>
      </c>
      <c r="F12" s="30">
        <f>Estado_Resultados!F31</f>
        <v/>
      </c>
      <c r="G12" s="30">
        <f>Estado_Resultados!G31</f>
        <v/>
      </c>
      <c r="H12" s="30">
        <f>Estado_Resultados!H31</f>
        <v/>
      </c>
      <c r="I12" s="30">
        <f>Estado_Resultados!I31</f>
        <v/>
      </c>
      <c r="J12" s="30">
        <f>Estado_Resultados!J31</f>
        <v/>
      </c>
      <c r="K12" s="30">
        <f>Estado_Resultados!K31</f>
        <v/>
      </c>
      <c r="L12" s="30">
        <f>Estado_Resultados!L31</f>
        <v/>
      </c>
      <c r="M12" s="30">
        <f>Estado_Resultados!M31</f>
        <v/>
      </c>
      <c r="N12" s="78">
        <f>SUM(B12:M12)</f>
        <v/>
      </c>
    </row>
    <row r="13">
      <c r="A13" s="50" t="inlineStr">
        <is>
          <t>PPM del mes (anticipo)</t>
        </is>
      </c>
      <c r="B13" s="30">
        <f>B8</f>
        <v/>
      </c>
      <c r="C13" s="30">
        <f>C8</f>
        <v/>
      </c>
      <c r="D13" s="30">
        <f>D8</f>
        <v/>
      </c>
      <c r="E13" s="30">
        <f>E8</f>
        <v/>
      </c>
      <c r="F13" s="30">
        <f>F8</f>
        <v/>
      </c>
      <c r="G13" s="30">
        <f>G8</f>
        <v/>
      </c>
      <c r="H13" s="30">
        <f>H8</f>
        <v/>
      </c>
      <c r="I13" s="30">
        <f>I8</f>
        <v/>
      </c>
      <c r="J13" s="30">
        <f>J8</f>
        <v/>
      </c>
      <c r="K13" s="30">
        <f>K8</f>
        <v/>
      </c>
      <c r="L13" s="30">
        <f>L8</f>
        <v/>
      </c>
      <c r="M13" s="30">
        <f>M8</f>
        <v/>
      </c>
      <c r="N13" s="78">
        <f>SUM(B13:M13)</f>
        <v/>
      </c>
    </row>
    <row r="14">
      <c r="A14" s="50" t="inlineStr">
        <is>
          <t>Saldo renta del mes (provisión − PPM)</t>
        </is>
      </c>
      <c r="B14" s="30">
        <f>B12-B13</f>
        <v/>
      </c>
      <c r="C14" s="30">
        <f>C12-C13</f>
        <v/>
      </c>
      <c r="D14" s="30">
        <f>D12-D13</f>
        <v/>
      </c>
      <c r="E14" s="30">
        <f>E12-E13</f>
        <v/>
      </c>
      <c r="F14" s="30">
        <f>F12-F13</f>
        <v/>
      </c>
      <c r="G14" s="30">
        <f>G12-G13</f>
        <v/>
      </c>
      <c r="H14" s="30">
        <f>H12-H13</f>
        <v/>
      </c>
      <c r="I14" s="30">
        <f>I12-I13</f>
        <v/>
      </c>
      <c r="J14" s="30">
        <f>J12-J13</f>
        <v/>
      </c>
      <c r="K14" s="30">
        <f>K12-K13</f>
        <v/>
      </c>
      <c r="L14" s="30">
        <f>L12-L13</f>
        <v/>
      </c>
      <c r="M14" s="30">
        <f>M12-M13</f>
        <v/>
      </c>
      <c r="N14" s="78">
        <f>N12-N13</f>
        <v/>
      </c>
    </row>
    <row r="15" ht="20" customHeight="1">
      <c r="A15" s="49" t="inlineStr">
        <is>
          <t>CIERRE DE AÑO (acumulado)</t>
        </is>
      </c>
    </row>
    <row r="16">
      <c r="A16" s="50" t="inlineStr">
        <is>
          <t>Provisión 1ª categoría acumulada</t>
        </is>
      </c>
      <c r="B16" s="30">
        <f>B12</f>
        <v/>
      </c>
      <c r="C16" s="30">
        <f>B16+C12</f>
        <v/>
      </c>
      <c r="D16" s="30">
        <f>C16+D12</f>
        <v/>
      </c>
      <c r="E16" s="30">
        <f>D16+E12</f>
        <v/>
      </c>
      <c r="F16" s="30">
        <f>E16+F12</f>
        <v/>
      </c>
      <c r="G16" s="30">
        <f>F16+G12</f>
        <v/>
      </c>
      <c r="H16" s="30">
        <f>G16+H12</f>
        <v/>
      </c>
      <c r="I16" s="30">
        <f>H16+I12</f>
        <v/>
      </c>
      <c r="J16" s="30">
        <f>I16+J12</f>
        <v/>
      </c>
      <c r="K16" s="30">
        <f>J16+K12</f>
        <v/>
      </c>
      <c r="L16" s="30">
        <f>K16+L12</f>
        <v/>
      </c>
      <c r="M16" s="30">
        <f>L16+M12</f>
        <v/>
      </c>
      <c r="N16" s="78">
        <f>M16</f>
        <v/>
      </c>
    </row>
    <row r="17">
      <c r="A17" s="50" t="inlineStr">
        <is>
          <t>PPM acumulado</t>
        </is>
      </c>
      <c r="B17" s="30">
        <f>B8</f>
        <v/>
      </c>
      <c r="C17" s="30">
        <f>B17+C8</f>
        <v/>
      </c>
      <c r="D17" s="30">
        <f>C17+D8</f>
        <v/>
      </c>
      <c r="E17" s="30">
        <f>D17+E8</f>
        <v/>
      </c>
      <c r="F17" s="30">
        <f>E17+F8</f>
        <v/>
      </c>
      <c r="G17" s="30">
        <f>F17+G8</f>
        <v/>
      </c>
      <c r="H17" s="30">
        <f>G17+H8</f>
        <v/>
      </c>
      <c r="I17" s="30">
        <f>H17+I8</f>
        <v/>
      </c>
      <c r="J17" s="30">
        <f>I17+J8</f>
        <v/>
      </c>
      <c r="K17" s="30">
        <f>J17+K8</f>
        <v/>
      </c>
      <c r="L17" s="30">
        <f>K17+L8</f>
        <v/>
      </c>
      <c r="M17" s="30">
        <f>L17+M8</f>
        <v/>
      </c>
      <c r="N17" s="78">
        <f>M17</f>
        <v/>
      </c>
    </row>
    <row r="18">
      <c r="A18" s="67" t="inlineStr">
        <is>
          <t>SALDO ESTIMADO RENTA DEL AÑO</t>
        </is>
      </c>
      <c r="B18" s="68">
        <f>B16-B17</f>
        <v/>
      </c>
      <c r="C18" s="68">
        <f>C16-C17</f>
        <v/>
      </c>
      <c r="D18" s="68">
        <f>D16-D17</f>
        <v/>
      </c>
      <c r="E18" s="68">
        <f>E16-E17</f>
        <v/>
      </c>
      <c r="F18" s="68">
        <f>F16-F17</f>
        <v/>
      </c>
      <c r="G18" s="68">
        <f>G16-G17</f>
        <v/>
      </c>
      <c r="H18" s="68">
        <f>H16-H17</f>
        <v/>
      </c>
      <c r="I18" s="68">
        <f>I16-I17</f>
        <v/>
      </c>
      <c r="J18" s="68">
        <f>J16-J17</f>
        <v/>
      </c>
      <c r="K18" s="68">
        <f>K16-K17</f>
        <v/>
      </c>
      <c r="L18" s="68">
        <f>L16-L17</f>
        <v/>
      </c>
      <c r="M18" s="68">
        <f>M16-M17</f>
        <v/>
      </c>
      <c r="N18" s="78">
        <f>M18</f>
        <v/>
      </c>
    </row>
    <row r="20" ht="56" customHeight="1">
      <c r="A20" s="84" t="inlineStr">
        <is>
          <t>Si el SALDO ESTIMADO RENTA DEL AÑO es positivo, es lo que aproximadamente faltaría por pagar en abril (Renta). Si es negativo, el PPM se te habría ido de más y queda como saldo a favor. Es una estimación de gestión: el F22/F29 oficial lo hace el contador con el Formulario 22 al cierre. Recuerda: el PPM se calcula sobre ingresos, aunque el mes esté a pérdida.</t>
        </is>
      </c>
    </row>
    <row r="21"/>
    <row r="22"/>
  </sheetData>
  <mergeCells count="6">
    <mergeCell ref="A2:N2"/>
    <mergeCell ref="A15:N15"/>
    <mergeCell ref="A20:N22"/>
    <mergeCell ref="A10:N10"/>
    <mergeCell ref="A5:N5"/>
    <mergeCell ref="A1:N1"/>
  </mergeCells>
  <printOptions horizontalCentered="1"/>
  <pageMargins left="0.4" right="0.4" top="0.5" bottom="0.5" header="0.5" footer="0.5"/>
  <pageSetup orientation="landscape" paperSize="9" fitToHeight="0" fitToWidth="1"/>
  <headerFooter>
    <oddHeader>&amp;LControl financiero automotora</oddHeader>
    <oddFooter>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Cursor</dc:creator>
  <dc:title>Control Financiero Automotora</dc:title>
  <dc:description>Ingresos, gastos fijos y variables, IVA y PPM para automotora (Chile).</dc:description>
  <dcterms:created xsi:type="dcterms:W3CDTF">2026-08-25T08:19:44Z</dcterms:created>
  <dcterms:modified xsi:type="dcterms:W3CDTF">2026-09-24T09:11:49Z</dcterms:modified>
</cp:coreProperties>
</file>